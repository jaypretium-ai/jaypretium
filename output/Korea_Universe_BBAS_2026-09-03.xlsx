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ummary" sheetId="2" state="visible" r:id="rId4"/>
    <sheet name="Special_Situations" sheetId="3" state="visible" r:id="rId5"/>
    <sheet name="Params" sheetId="4" state="visible" r:id="rId6"/>
    <sheet name="Universe" sheetId="5" state="visible" r:id="rId7"/>
    <sheet name="Pref_Pairs" sheetId="6" state="visible" r:id="rId8"/>
    <sheet name="Holdco_NAV" sheetId="7" state="visible" r:id="rId9"/>
    <sheet name="Ideas" sheetId="8" state="visible" r:id="rId10"/>
    <sheet name="Excluded" sheetId="9" state="visible" r:id="rId11"/>
    <sheet name="CIQ_Fields" sheetId="10" state="visible" r:id="rId12"/>
  </sheets>
  <definedNames>
    <definedName function="false" hidden="true" localSheetId="2" name="_xlnm._FilterDatabase" vbProcedure="false">Special_Situations!$A$3:$R$110</definedName>
    <definedName function="false" hidden="true" localSheetId="4" name="_xlnm._FilterDatabase" vbProcedure="false">Universe!$A$3:$AU$495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3" authorId="0">
      <text>
        <r>
          <rPr>
            <sz val="10"/>
            <rFont val="WenQuanYi Zen Hei"/>
            <family val="2"/>
          </rPr>
          <t xml:space="preserve">모델 지식 기반 태그</t>
        </r>
        <r>
          <rPr>
            <sz val="10"/>
            <rFont val="Arial"/>
            <family val="2"/>
          </rPr>
          <t xml:space="preserve">(2026</t>
        </r>
        <r>
          <rPr>
            <sz val="10"/>
            <rFont val="WenQuanYi Zen Hei"/>
            <family val="2"/>
          </rPr>
          <t xml:space="preserve">년 중반 이전 정보</t>
        </r>
        <r>
          <rPr>
            <sz val="10"/>
            <rFont val="Arial"/>
            <family val="2"/>
          </rPr>
          <t xml:space="preserve">). DART/CIQ</t>
        </r>
        <r>
          <rPr>
            <sz val="10"/>
            <rFont val="WenQuanYi Zen Hei"/>
            <family val="2"/>
          </rPr>
          <t xml:space="preserve">로 검증 필요</t>
        </r>
        <r>
          <rPr>
            <sz val="10"/>
            <rFont val="Arial"/>
            <family val="2"/>
          </rPr>
          <t xml:space="preserve">.</t>
        </r>
      </text>
    </comment>
    <comment ref="O3" authorId="0">
      <text>
        <r>
          <rPr>
            <sz val="10"/>
            <rFont val="WenQuanYi Zen Hei"/>
            <family val="2"/>
          </rPr>
          <t xml:space="preserve">최근 </t>
        </r>
        <r>
          <rPr>
            <sz val="10"/>
            <rFont val="Arial"/>
            <family val="2"/>
          </rPr>
          <t xml:space="preserve">20</t>
        </r>
        <r>
          <rPr>
            <sz val="10"/>
            <rFont val="WenQuanYi Zen Hei"/>
            <family val="2"/>
          </rPr>
          <t xml:space="preserve">영업일 평균 시가총액 </t>
        </r>
        <r>
          <rPr>
            <sz val="10"/>
            <rFont val="Arial"/>
            <family val="2"/>
          </rPr>
          <t xml:space="preserve">(BBAS </t>
        </r>
        <r>
          <rPr>
            <sz val="10"/>
            <rFont val="WenQuanYi Zen Hei"/>
            <family val="2"/>
          </rPr>
          <t xml:space="preserve">참고</t>
        </r>
        <r>
          <rPr>
            <sz val="10"/>
            <rFont val="Arial"/>
            <family val="2"/>
          </rPr>
          <t xml:space="preserve">: 1</t>
        </r>
        <r>
          <rPr>
            <sz val="10"/>
            <rFont val="WenQuanYi Zen Hei"/>
            <family val="2"/>
          </rPr>
          <t xml:space="preserve">개월 평균 시총 적용 가능</t>
        </r>
        <r>
          <rPr>
            <sz val="10"/>
            <rFont val="Arial"/>
            <family val="2"/>
          </rPr>
          <t xml:space="preserve">).</t>
        </r>
      </text>
    </comment>
    <comment ref="R3" authorId="0">
      <text>
        <r>
          <rPr>
            <sz val="10"/>
            <rFont val="Arial"/>
            <family val="2"/>
          </rPr>
          <t xml:space="preserve">min(20D,60D) </t>
        </r>
        <r>
          <rPr>
            <sz val="10"/>
            <rFont val="WenQuanYi Zen Hei"/>
            <family val="2"/>
          </rPr>
          <t xml:space="preserve">평균 거래대금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거래정지일 제외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억원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<sst xmlns="http://schemas.openxmlformats.org/spreadsheetml/2006/main" count="6507" uniqueCount="3074">
  <si>
    <t xml:space="preserve">Billionfold Korea L/S — Liquidity-Screened Universe</t>
  </si>
  <si>
    <r>
      <rPr>
        <sz val="9"/>
        <rFont val="Arial"/>
        <family val="0"/>
        <charset val="1"/>
      </rPr>
      <t xml:space="preserve">Data as of 2026-09-03 (KRX close). Source: KRX </t>
    </r>
    <r>
      <rPr>
        <sz val="9"/>
        <rFont val="WenQuanYi Zen Hei"/>
        <family val="2"/>
      </rPr>
      <t xml:space="preserve">전종목시세 </t>
    </r>
    <r>
      <rPr>
        <sz val="9"/>
        <rFont val="Arial"/>
        <family val="0"/>
        <charset val="1"/>
      </rPr>
      <t xml:space="preserve">via FinanceData/marcap (github, </t>
    </r>
    <r>
      <rPr>
        <sz val="9"/>
        <rFont val="WenQuanYi Zen Hei"/>
        <family val="2"/>
      </rPr>
      <t xml:space="preserve">일별 갱신</t>
    </r>
    <r>
      <rPr>
        <sz val="9"/>
        <rFont val="Arial"/>
        <family val="0"/>
        <charset val="1"/>
      </rPr>
      <t xml:space="preserve">). </t>
    </r>
    <r>
      <rPr>
        <sz val="9"/>
        <rFont val="WenQuanYi Zen Hei"/>
        <family val="2"/>
      </rPr>
      <t xml:space="preserve">섹터</t>
    </r>
    <r>
      <rPr>
        <sz val="9"/>
        <rFont val="Arial"/>
        <family val="0"/>
        <charset val="1"/>
      </rPr>
      <t xml:space="preserve">: FinanceData/stock_master(2018 </t>
    </r>
    <r>
      <rPr>
        <sz val="9"/>
        <rFont val="WenQuanYi Zen Hei"/>
        <family val="2"/>
      </rPr>
      <t xml:space="preserve">스냅샷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커버리지 </t>
    </r>
    <r>
      <rPr>
        <sz val="9"/>
        <rFont val="Arial"/>
        <family val="0"/>
        <charset val="1"/>
      </rPr>
      <t xml:space="preserve">~75%).</t>
    </r>
  </si>
  <si>
    <r>
      <rPr>
        <b val="true"/>
        <sz val="9"/>
        <rFont val="Arial"/>
        <family val="0"/>
        <charset val="1"/>
      </rPr>
      <t xml:space="preserve">1. </t>
    </r>
    <r>
      <rPr>
        <b val="true"/>
        <sz val="9"/>
        <rFont val="WenQuanYi Zen Hei"/>
        <family val="2"/>
      </rPr>
      <t xml:space="preserve">목적</t>
    </r>
  </si>
  <si>
    <r>
      <rPr>
        <sz val="9"/>
        <rFont val="Arial"/>
        <family val="0"/>
        <charset val="1"/>
      </rPr>
      <t xml:space="preserve">BBAS Rule(2026-07-31)</t>
    </r>
    <r>
      <rPr>
        <sz val="9"/>
        <rFont val="WenQuanYi Zen Hei"/>
        <family val="2"/>
      </rPr>
      <t xml:space="preserve">과 </t>
    </r>
    <r>
      <rPr>
        <sz val="9"/>
        <rFont val="Arial"/>
        <family val="0"/>
        <charset val="1"/>
      </rPr>
      <t xml:space="preserve">Junior Guide(2026-09-05)</t>
    </r>
    <r>
      <rPr>
        <sz val="9"/>
        <rFont val="WenQuanYi Zen Hei"/>
        <family val="2"/>
      </rPr>
      <t xml:space="preserve">의 편입비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시총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유동성 제한을 </t>
    </r>
    <r>
      <rPr>
        <sz val="9"/>
        <rFont val="Arial"/>
        <family val="0"/>
        <charset val="1"/>
      </rPr>
      <t xml:space="preserve">KRX </t>
    </r>
    <r>
      <rPr>
        <sz val="9"/>
        <rFont val="WenQuanYi Zen Hei"/>
        <family val="2"/>
      </rPr>
      <t xml:space="preserve">전종목에 적용해 실제 운용 가능한 한국 종목 유니버스를 정의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특수상황</t>
    </r>
    <r>
      <rPr>
        <sz val="9"/>
        <rFont val="Arial"/>
        <family val="0"/>
        <charset val="1"/>
      </rPr>
      <t xml:space="preserve">(Special Situation) </t>
    </r>
    <r>
      <rPr>
        <sz val="9"/>
        <rFont val="WenQuanYi Zen Hei"/>
        <family val="2"/>
      </rPr>
      <t xml:space="preserve">종목을 하이라이트</t>
    </r>
    <r>
      <rPr>
        <sz val="9"/>
        <rFont val="Arial"/>
        <family val="0"/>
        <charset val="1"/>
      </rPr>
      <t xml:space="preserve">.</t>
    </r>
  </si>
  <si>
    <r>
      <rPr>
        <b val="true"/>
        <sz val="9"/>
        <rFont val="Arial"/>
        <family val="0"/>
        <charset val="1"/>
      </rPr>
      <t xml:space="preserve">2. </t>
    </r>
    <r>
      <rPr>
        <b val="true"/>
        <sz val="9"/>
        <rFont val="WenQuanYi Zen Hei"/>
        <family val="2"/>
      </rPr>
      <t xml:space="preserve">적용 룰 </t>
    </r>
    <r>
      <rPr>
        <b val="true"/>
        <sz val="9"/>
        <rFont val="Arial"/>
        <family val="0"/>
        <charset val="1"/>
      </rPr>
      <t xml:space="preserve">(BBAS </t>
    </r>
    <r>
      <rPr>
        <b val="true"/>
        <sz val="9"/>
        <rFont val="WenQuanYi Zen Hei"/>
        <family val="2"/>
      </rPr>
      <t xml:space="preserve">원문 → 스크린 변수</t>
    </r>
    <r>
      <rPr>
        <b val="true"/>
        <sz val="9"/>
        <rFont val="Arial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</si>
  <si>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② 종목 편입비 제한 </t>
    </r>
    <r>
      <rPr>
        <sz val="9"/>
        <rFont val="Arial"/>
        <family val="0"/>
        <charset val="1"/>
      </rPr>
      <t xml:space="preserve">6% (Long/Short) → Position cap = 6% × Book</t>
    </r>
  </si>
  <si>
    <r>
      <rPr>
        <sz val="9"/>
        <rFont val="Arial"/>
        <family val="0"/>
        <charset val="1"/>
      </rPr>
      <t xml:space="preserve">③ Event Play 10% (RM/BBAS </t>
    </r>
    <r>
      <rPr>
        <sz val="9"/>
        <rFont val="WenQuanYi Zen Hei"/>
        <family val="2"/>
      </rPr>
      <t xml:space="preserve">사전승인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최장 </t>
    </r>
    <r>
      <rPr>
        <sz val="9"/>
        <rFont val="Arial"/>
        <family val="0"/>
        <charset val="1"/>
      </rPr>
      <t xml:space="preserve">40</t>
    </r>
    <r>
      <rPr>
        <sz val="9"/>
        <rFont val="WenQuanYi Zen Hei"/>
        <family val="2"/>
      </rPr>
      <t xml:space="preserve">거래일</t>
    </r>
    <r>
      <rPr>
        <sz val="9"/>
        <rFont val="Arial"/>
        <family val="0"/>
        <charset val="1"/>
      </rPr>
      <t xml:space="preserve">) → Event Play bucket </t>
    </r>
    <r>
      <rPr>
        <sz val="9"/>
        <rFont val="WenQuanYi Zen Hei"/>
        <family val="2"/>
      </rPr>
      <t xml:space="preserve">별도</t>
    </r>
  </si>
  <si>
    <r>
      <rPr>
        <sz val="9"/>
        <rFont val="WenQuanYi Zen Hei"/>
        <family val="2"/>
      </rPr>
      <t xml:space="preserve">⑥ 시총 </t>
    </r>
    <r>
      <rPr>
        <sz val="9"/>
        <rFont val="Arial"/>
        <family val="0"/>
        <charset val="1"/>
      </rPr>
      <t xml:space="preserve">3</t>
    </r>
    <r>
      <rPr>
        <sz val="9"/>
        <rFont val="WenQuanYi Zen Hei"/>
        <family val="2"/>
      </rPr>
      <t xml:space="preserve">천억</t>
    </r>
    <r>
      <rPr>
        <sz val="9"/>
        <rFont val="Arial"/>
        <family val="0"/>
        <charset val="1"/>
      </rPr>
      <t xml:space="preserve">~7</t>
    </r>
    <r>
      <rPr>
        <sz val="9"/>
        <rFont val="WenQuanYi Zen Hei"/>
        <family val="2"/>
      </rPr>
      <t xml:space="preserve">천억 합산 </t>
    </r>
    <r>
      <rPr>
        <sz val="9"/>
        <rFont val="Arial"/>
        <family val="0"/>
        <charset val="1"/>
      </rPr>
      <t xml:space="preserve">7%, 3</t>
    </r>
    <r>
      <rPr>
        <sz val="9"/>
        <rFont val="WenQuanYi Zen Hei"/>
        <family val="2"/>
      </rPr>
      <t xml:space="preserve">천억 미만 편입 불가 → 시총 </t>
    </r>
    <r>
      <rPr>
        <sz val="9"/>
        <rFont val="Arial"/>
        <family val="0"/>
        <charset val="1"/>
      </rPr>
      <t xml:space="preserve">= </t>
    </r>
    <r>
      <rPr>
        <sz val="9"/>
        <rFont val="WenQuanYi Zen Hei"/>
        <family val="2"/>
      </rPr>
      <t xml:space="preserve">최근 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개월</t>
    </r>
    <r>
      <rPr>
        <sz val="9"/>
        <rFont val="Arial"/>
        <family val="0"/>
        <charset val="1"/>
      </rPr>
      <t xml:space="preserve">(20</t>
    </r>
    <r>
      <rPr>
        <sz val="9"/>
        <rFont val="WenQuanYi Zen Hei"/>
        <family val="2"/>
      </rPr>
      <t xml:space="preserve">영업일</t>
    </r>
    <r>
      <rPr>
        <sz val="9"/>
        <rFont val="Arial"/>
        <family val="0"/>
        <charset val="1"/>
      </rPr>
      <t xml:space="preserve">) </t>
    </r>
    <r>
      <rPr>
        <sz val="9"/>
        <rFont val="WenQuanYi Zen Hei"/>
        <family val="2"/>
      </rPr>
      <t xml:space="preserve">평균 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참고</t>
    </r>
    <r>
      <rPr>
        <sz val="9"/>
        <rFont val="Arial"/>
        <family val="0"/>
        <charset val="1"/>
      </rPr>
      <t xml:space="preserve">: </t>
    </r>
    <r>
      <rPr>
        <sz val="9"/>
        <rFont val="WenQuanYi Zen Hei"/>
        <family val="2"/>
      </rPr>
      <t xml:space="preserve">시총 판단은 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개월 평균 고려 가능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</si>
  <si>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Gross-Cut Period 3</t>
    </r>
    <r>
      <rPr>
        <sz val="9"/>
        <rFont val="WenQuanYi Zen Hei"/>
        <family val="2"/>
      </rPr>
      <t xml:space="preserve">거래일 </t>
    </r>
    <r>
      <rPr>
        <sz val="9"/>
        <rFont val="Arial"/>
        <family val="0"/>
        <charset val="1"/>
      </rPr>
      <t xml:space="preserve">+ </t>
    </r>
    <r>
      <rPr>
        <sz val="9"/>
        <rFont val="WenQuanYi Zen Hei"/>
        <family val="2"/>
      </rPr>
      <t xml:space="preserve">일일 주문 </t>
    </r>
    <r>
      <rPr>
        <sz val="9"/>
        <rFont val="Arial"/>
        <family val="0"/>
        <charset val="1"/>
      </rPr>
      <t xml:space="preserve">ADV 20% </t>
    </r>
    <r>
      <rPr>
        <sz val="9"/>
        <rFont val="WenQuanYi Zen Hei"/>
        <family val="2"/>
      </rPr>
      <t xml:space="preserve">참여 한도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컴플라이언스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가이드 </t>
    </r>
    <r>
      <rPr>
        <sz val="9"/>
        <rFont val="Arial"/>
        <family val="0"/>
        <charset val="1"/>
      </rPr>
      <t xml:space="preserve">5</t>
    </r>
    <r>
      <rPr>
        <sz val="9"/>
        <rFont val="WenQuanYi Zen Hei"/>
        <family val="2"/>
      </rPr>
      <t xml:space="preserve">장</t>
    </r>
    <r>
      <rPr>
        <sz val="9"/>
        <rFont val="Arial"/>
        <family val="0"/>
        <charset val="1"/>
      </rPr>
      <t xml:space="preserve">) → 3</t>
    </r>
    <r>
      <rPr>
        <sz val="9"/>
        <rFont val="WenQuanYi Zen Hei"/>
        <family val="2"/>
      </rPr>
      <t xml:space="preserve">일 내 청산 가능 포지션 </t>
    </r>
    <r>
      <rPr>
        <sz val="9"/>
        <rFont val="Arial"/>
        <family val="0"/>
        <charset val="1"/>
      </rPr>
      <t xml:space="preserve">= 20% × 3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× ADV = 60% × ADV</t>
    </r>
  </si>
  <si>
    <r>
      <rPr>
        <sz val="9"/>
        <rFont val="Arial"/>
        <family val="0"/>
        <charset val="1"/>
      </rPr>
      <t xml:space="preserve">ADV = min(20D, 60D) </t>
    </r>
    <r>
      <rPr>
        <sz val="9"/>
        <rFont val="WenQuanYi Zen Hei"/>
        <family val="2"/>
      </rPr>
      <t xml:space="preserve">거래대금 평균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거래정지일 제외</t>
    </r>
    <r>
      <rPr>
        <sz val="9"/>
        <rFont val="Arial"/>
        <family val="0"/>
        <charset val="1"/>
      </rPr>
      <t xml:space="preserve">). Stress ADV = 50% haircut (</t>
    </r>
    <r>
      <rPr>
        <sz val="9"/>
        <rFont val="WenQuanYi Zen Hei"/>
        <family val="2"/>
      </rPr>
      <t xml:space="preserve">가정</t>
    </r>
    <r>
      <rPr>
        <sz val="9"/>
        <rFont val="Arial"/>
        <family val="0"/>
        <charset val="1"/>
      </rPr>
      <t xml:space="preserve">).</t>
    </r>
  </si>
  <si>
    <r>
      <rPr>
        <sz val="9"/>
        <rFont val="WenQuanYi Zen Hei"/>
        <family val="2"/>
      </rPr>
      <t xml:space="preserve">참고</t>
    </r>
    <r>
      <rPr>
        <sz val="9"/>
        <rFont val="Arial"/>
        <family val="0"/>
        <charset val="1"/>
      </rPr>
      <t xml:space="preserve">: </t>
    </r>
    <r>
      <rPr>
        <sz val="9"/>
        <rFont val="WenQuanYi Zen Hei"/>
        <family val="2"/>
      </rPr>
      <t xml:space="preserve">최근 </t>
    </r>
    <r>
      <rPr>
        <sz val="9"/>
        <rFont val="Arial"/>
        <family val="0"/>
        <charset val="1"/>
      </rPr>
      <t xml:space="preserve">40</t>
    </r>
    <r>
      <rPr>
        <sz val="9"/>
        <rFont val="WenQuanYi Zen Hei"/>
        <family val="2"/>
      </rPr>
      <t xml:space="preserve">거래일 </t>
    </r>
    <r>
      <rPr>
        <sz val="9"/>
        <rFont val="Arial"/>
        <family val="0"/>
        <charset val="1"/>
      </rPr>
      <t xml:space="preserve">±15% </t>
    </r>
    <r>
      <rPr>
        <sz val="9"/>
        <rFont val="WenQuanYi Zen Hei"/>
        <family val="2"/>
      </rPr>
      <t xml:space="preserve">일변동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 이상 → </t>
    </r>
    <r>
      <rPr>
        <sz val="9"/>
        <rFont val="Arial"/>
        <family val="0"/>
        <charset val="1"/>
      </rPr>
      <t xml:space="preserve">Short </t>
    </r>
    <r>
      <rPr>
        <sz val="9"/>
        <rFont val="WenQuanYi Zen Hei"/>
        <family val="2"/>
      </rPr>
      <t xml:space="preserve">편입비 </t>
    </r>
    <r>
      <rPr>
        <sz val="9"/>
        <rFont val="Arial"/>
        <family val="0"/>
        <charset val="1"/>
      </rPr>
      <t xml:space="preserve">-4% </t>
    </r>
    <r>
      <rPr>
        <sz val="9"/>
        <rFont val="WenQuanYi Zen Hei"/>
        <family val="2"/>
      </rPr>
      <t xml:space="preserve">제한 </t>
    </r>
    <r>
      <rPr>
        <sz val="9"/>
        <rFont val="Arial"/>
        <family val="0"/>
        <charset val="1"/>
      </rPr>
      <t xml:space="preserve">(Short_Cap </t>
    </r>
    <r>
      <rPr>
        <sz val="9"/>
        <rFont val="WenQuanYi Zen Hei"/>
        <family val="2"/>
      </rPr>
      <t xml:space="preserve">열</t>
    </r>
    <r>
      <rPr>
        <sz val="9"/>
        <rFont val="Arial"/>
        <family val="0"/>
        <charset val="1"/>
      </rPr>
      <t xml:space="preserve">)</t>
    </r>
  </si>
  <si>
    <r>
      <rPr>
        <b val="true"/>
        <sz val="9"/>
        <rFont val="Arial"/>
        <family val="0"/>
        <charset val="1"/>
      </rPr>
      <t xml:space="preserve">3. Tier </t>
    </r>
    <r>
      <rPr>
        <b val="true"/>
        <sz val="9"/>
        <rFont val="WenQuanYi Zen Hei"/>
        <family val="2"/>
      </rPr>
      <t xml:space="preserve">정의</t>
    </r>
  </si>
  <si>
    <r>
      <rPr>
        <sz val="9"/>
        <rFont val="Arial"/>
        <family val="0"/>
        <charset val="1"/>
      </rPr>
      <t xml:space="preserve">A1 Core Liquid: 1</t>
    </r>
    <r>
      <rPr>
        <sz val="9"/>
        <rFont val="WenQuanYi Zen Hei"/>
        <family val="2"/>
      </rPr>
      <t xml:space="preserve">개월 평균 시총 ≥ </t>
    </r>
    <r>
      <rPr>
        <sz val="9"/>
        <rFont val="Arial"/>
        <family val="0"/>
        <charset val="1"/>
      </rPr>
      <t xml:space="preserve">7,000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&amp; 1,000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Book </t>
    </r>
    <r>
      <rPr>
        <sz val="9"/>
        <rFont val="WenQuanYi Zen Hei"/>
        <family val="2"/>
      </rPr>
      <t xml:space="preserve">기준 </t>
    </r>
    <r>
      <rPr>
        <sz val="9"/>
        <rFont val="Arial"/>
        <family val="0"/>
        <charset val="1"/>
      </rPr>
      <t xml:space="preserve">6% </t>
    </r>
    <r>
      <rPr>
        <sz val="9"/>
        <rFont val="WenQuanYi Zen Hei"/>
        <family val="2"/>
      </rPr>
      <t xml:space="preserve">포지션</t>
    </r>
    <r>
      <rPr>
        <sz val="9"/>
        <rFont val="Arial"/>
        <family val="0"/>
        <charset val="1"/>
      </rPr>
      <t xml:space="preserve">(60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</t>
    </r>
    <r>
      <rPr>
        <sz val="9"/>
        <rFont val="WenQuanYi Zen Hei"/>
        <family val="2"/>
      </rPr>
      <t xml:space="preserve">을 </t>
    </r>
    <r>
      <rPr>
        <sz val="9"/>
        <rFont val="Arial"/>
        <family val="0"/>
        <charset val="1"/>
      </rPr>
      <t xml:space="preserve">3</t>
    </r>
    <r>
      <rPr>
        <sz val="9"/>
        <rFont val="WenQuanYi Zen Hei"/>
        <family val="2"/>
      </rPr>
      <t xml:space="preserve">일 내 청산 가능 </t>
    </r>
    <r>
      <rPr>
        <sz val="9"/>
        <rFont val="Arial"/>
        <family val="0"/>
        <charset val="1"/>
      </rPr>
      <t xml:space="preserve">(ADV_min ≥ 100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</si>
  <si>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A2 Core Liquid (500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book): </t>
    </r>
    <r>
      <rPr>
        <sz val="9"/>
        <rFont val="WenQuanYi Zen Hei"/>
        <family val="2"/>
      </rPr>
      <t xml:space="preserve">시총 ≥ </t>
    </r>
    <r>
      <rPr>
        <sz val="9"/>
        <rFont val="Arial"/>
        <family val="0"/>
        <charset val="1"/>
      </rPr>
      <t xml:space="preserve">7,000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&amp; 500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Book </t>
    </r>
    <r>
      <rPr>
        <sz val="9"/>
        <rFont val="WenQuanYi Zen Hei"/>
        <family val="2"/>
      </rPr>
      <t xml:space="preserve">기준 </t>
    </r>
    <r>
      <rPr>
        <sz val="9"/>
        <rFont val="Arial"/>
        <family val="0"/>
        <charset val="1"/>
      </rPr>
      <t xml:space="preserve">6%(30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 3</t>
    </r>
    <r>
      <rPr>
        <sz val="9"/>
        <rFont val="WenQuanYi Zen Hei"/>
        <family val="2"/>
      </rPr>
      <t xml:space="preserve">일 내 청산 가능 </t>
    </r>
    <r>
      <rPr>
        <sz val="9"/>
        <rFont val="Arial"/>
        <family val="0"/>
        <charset val="1"/>
      </rPr>
      <t xml:space="preserve">(ADV_min 50~100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</si>
  <si>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A3 Large-cap Illiquid: </t>
    </r>
    <r>
      <rPr>
        <sz val="9"/>
        <rFont val="WenQuanYi Zen Hei"/>
        <family val="2"/>
      </rPr>
      <t xml:space="preserve">시총 ≥ </t>
    </r>
    <r>
      <rPr>
        <sz val="9"/>
        <rFont val="Arial"/>
        <family val="0"/>
        <charset val="1"/>
      </rPr>
      <t xml:space="preserve">7,000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&amp; 500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Book </t>
    </r>
    <r>
      <rPr>
        <sz val="9"/>
        <rFont val="WenQuanYi Zen Hei"/>
        <family val="2"/>
      </rPr>
      <t xml:space="preserve">기준 </t>
    </r>
    <r>
      <rPr>
        <sz val="9"/>
        <rFont val="Arial"/>
        <family val="0"/>
        <charset val="1"/>
      </rPr>
      <t xml:space="preserve">2~6% </t>
    </r>
    <r>
      <rPr>
        <sz val="9"/>
        <rFont val="WenQuanYi Zen Hei"/>
        <family val="2"/>
      </rPr>
      <t xml:space="preserve">포지션만 가능 </t>
    </r>
    <r>
      <rPr>
        <sz val="9"/>
        <rFont val="Arial"/>
        <family val="0"/>
        <charset val="1"/>
      </rPr>
      <t xml:space="preserve">(ADV_min 16.7~50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</si>
  <si>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B Mid-cap Alpha: </t>
    </r>
    <r>
      <rPr>
        <sz val="9"/>
        <rFont val="WenQuanYi Zen Hei"/>
        <family val="2"/>
      </rPr>
      <t xml:space="preserve">시총 </t>
    </r>
    <r>
      <rPr>
        <sz val="9"/>
        <rFont val="Arial"/>
        <family val="0"/>
        <charset val="1"/>
      </rPr>
      <t xml:space="preserve">3,000~7,000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&amp; 500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Book </t>
    </r>
    <r>
      <rPr>
        <sz val="9"/>
        <rFont val="WenQuanYi Zen Hei"/>
        <family val="2"/>
      </rPr>
      <t xml:space="preserve">기준 ≥</t>
    </r>
    <r>
      <rPr>
        <sz val="9"/>
        <rFont val="Arial"/>
        <family val="0"/>
        <charset val="1"/>
      </rPr>
      <t xml:space="preserve">2% </t>
    </r>
    <r>
      <rPr>
        <sz val="9"/>
        <rFont val="WenQuanYi Zen Hei"/>
        <family val="2"/>
      </rPr>
      <t xml:space="preserve">포지션 가능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합산 </t>
    </r>
    <r>
      <rPr>
        <sz val="9"/>
        <rFont val="Arial"/>
        <family val="0"/>
        <charset val="1"/>
      </rPr>
      <t xml:space="preserve">7% bucket </t>
    </r>
    <r>
      <rPr>
        <sz val="9"/>
        <rFont val="WenQuanYi Zen Hei"/>
        <family val="2"/>
      </rPr>
      <t xml:space="preserve">적용</t>
    </r>
  </si>
  <si>
    <r>
      <rPr>
        <sz val="9"/>
        <rFont val="Arial"/>
        <family val="0"/>
        <charset val="1"/>
      </rPr>
      <t xml:space="preserve">C Event-Play only: </t>
    </r>
    <r>
      <rPr>
        <sz val="9"/>
        <rFont val="WenQuanYi Zen Hei"/>
        <family val="2"/>
      </rPr>
      <t xml:space="preserve">시총 </t>
    </r>
    <r>
      <rPr>
        <sz val="9"/>
        <rFont val="Arial"/>
        <family val="0"/>
        <charset val="1"/>
      </rPr>
      <t xml:space="preserve">&lt; 3,000</t>
    </r>
    <r>
      <rPr>
        <sz val="9"/>
        <rFont val="WenQuanYi Zen Hei"/>
        <family val="2"/>
      </rPr>
      <t xml:space="preserve">억 또는 </t>
    </r>
    <r>
      <rPr>
        <sz val="9"/>
        <rFont val="Arial"/>
        <family val="0"/>
        <charset val="1"/>
      </rPr>
      <t xml:space="preserve">ADV </t>
    </r>
    <r>
      <rPr>
        <sz val="9"/>
        <rFont val="WenQuanYi Zen Hei"/>
        <family val="2"/>
      </rPr>
      <t xml:space="preserve">부족 → 사전승인 </t>
    </r>
    <r>
      <rPr>
        <sz val="9"/>
        <rFont val="Arial"/>
        <family val="0"/>
        <charset val="1"/>
      </rPr>
      <t xml:space="preserve">Event Play(10%, 40</t>
    </r>
    <r>
      <rPr>
        <sz val="9"/>
        <rFont val="WenQuanYi Zen Hei"/>
        <family val="2"/>
      </rPr>
      <t xml:space="preserve">거래일</t>
    </r>
    <r>
      <rPr>
        <sz val="9"/>
        <rFont val="Arial"/>
        <family val="0"/>
        <charset val="1"/>
      </rPr>
      <t xml:space="preserve">)</t>
    </r>
    <r>
      <rPr>
        <sz val="9"/>
        <rFont val="WenQuanYi Zen Hei"/>
        <family val="2"/>
      </rPr>
      <t xml:space="preserve">로만 편입 가능</t>
    </r>
  </si>
  <si>
    <r>
      <rPr>
        <sz val="9"/>
        <rFont val="Arial"/>
        <family val="0"/>
        <charset val="1"/>
      </rPr>
      <t xml:space="preserve">X Excluded: KONEX / SPAC / </t>
    </r>
    <r>
      <rPr>
        <sz val="9"/>
        <rFont val="WenQuanYi Zen Hei"/>
        <family val="2"/>
      </rPr>
      <t xml:space="preserve">관리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투자주의환기 </t>
    </r>
    <r>
      <rPr>
        <sz val="9"/>
        <rFont val="Arial"/>
        <family val="0"/>
        <charset val="1"/>
      </rPr>
      <t xml:space="preserve">/ </t>
    </r>
    <r>
      <rPr>
        <sz val="9"/>
        <rFont val="WenQuanYi Zen Hei"/>
        <family val="2"/>
      </rPr>
      <t xml:space="preserve">거래정지</t>
    </r>
  </si>
  <si>
    <r>
      <rPr>
        <b val="true"/>
        <sz val="9"/>
        <rFont val="Arial"/>
        <family val="0"/>
        <charset val="1"/>
      </rPr>
      <t xml:space="preserve">4. </t>
    </r>
    <r>
      <rPr>
        <b val="true"/>
        <sz val="9"/>
        <rFont val="WenQuanYi Zen Hei"/>
        <family val="2"/>
      </rPr>
      <t xml:space="preserve">시트 구성</t>
    </r>
  </si>
  <si>
    <r>
      <rPr>
        <sz val="9"/>
        <rFont val="Arial"/>
        <family val="0"/>
        <charset val="1"/>
      </rPr>
      <t xml:space="preserve">Params: </t>
    </r>
    <r>
      <rPr>
        <sz val="9"/>
        <rFont val="WenQuanYi Zen Hei"/>
        <family val="2"/>
      </rPr>
      <t xml:space="preserve">파란색 입력값</t>
    </r>
    <r>
      <rPr>
        <sz val="9"/>
        <rFont val="Arial"/>
        <family val="0"/>
        <charset val="1"/>
      </rPr>
      <t xml:space="preserve">(Book size, </t>
    </r>
    <r>
      <rPr>
        <sz val="9"/>
        <rFont val="WenQuanYi Zen Hei"/>
        <family val="2"/>
      </rPr>
      <t xml:space="preserve">참여율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청산일수</t>
    </r>
    <r>
      <rPr>
        <sz val="9"/>
        <rFont val="Arial"/>
        <family val="0"/>
        <charset val="1"/>
      </rPr>
      <t xml:space="preserve">, Stress haircut, </t>
    </r>
    <r>
      <rPr>
        <sz val="9"/>
        <rFont val="WenQuanYi Zen Hei"/>
        <family val="2"/>
      </rPr>
      <t xml:space="preserve">편입비 한도</t>
    </r>
    <r>
      <rPr>
        <sz val="9"/>
        <rFont val="Arial"/>
        <family val="0"/>
        <charset val="1"/>
      </rPr>
      <t xml:space="preserve">). </t>
    </r>
    <r>
      <rPr>
        <sz val="9"/>
        <rFont val="WenQuanYi Zen Hei"/>
        <family val="2"/>
      </rPr>
      <t xml:space="preserve">변경 시 </t>
    </r>
    <r>
      <rPr>
        <sz val="9"/>
        <rFont val="Arial"/>
        <family val="0"/>
        <charset val="1"/>
      </rPr>
      <t xml:space="preserve">Universe</t>
    </r>
    <r>
      <rPr>
        <sz val="9"/>
        <rFont val="WenQuanYi Zen Hei"/>
        <family val="2"/>
      </rPr>
      <t xml:space="preserve">의 </t>
    </r>
    <r>
      <rPr>
        <sz val="9"/>
        <rFont val="Arial"/>
        <family val="0"/>
        <charset val="1"/>
      </rPr>
      <t xml:space="preserve">MaxPos/DTL </t>
    </r>
    <r>
      <rPr>
        <sz val="9"/>
        <rFont val="WenQuanYi Zen Hei"/>
        <family val="2"/>
      </rPr>
      <t xml:space="preserve">열과 </t>
    </r>
    <r>
      <rPr>
        <sz val="9"/>
        <rFont val="Arial"/>
        <family val="0"/>
        <charset val="1"/>
      </rPr>
      <t xml:space="preserve">Summary</t>
    </r>
    <r>
      <rPr>
        <sz val="9"/>
        <rFont val="WenQuanYi Zen Hei"/>
        <family val="2"/>
      </rPr>
      <t xml:space="preserve">가 재계산됨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</si>
  <si>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Summary: Tier·</t>
    </r>
    <r>
      <rPr>
        <sz val="9"/>
        <rFont val="WenQuanYi Zen Hei"/>
        <family val="2"/>
      </rPr>
      <t xml:space="preserve">시총 구간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시장별 종목 수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평균 지표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밸류에이션</t>
    </r>
    <r>
      <rPr>
        <sz val="9"/>
        <rFont val="Arial"/>
        <family val="0"/>
        <charset val="1"/>
      </rPr>
      <t xml:space="preserve">/ROE/ROIC </t>
    </r>
    <r>
      <rPr>
        <sz val="9"/>
        <rFont val="WenQuanYi Zen Hei"/>
        <family val="2"/>
      </rPr>
      <t xml:space="preserve">평균</t>
    </r>
    <r>
      <rPr>
        <sz val="9"/>
        <rFont val="Arial"/>
        <family val="0"/>
        <charset val="1"/>
      </rPr>
      <t xml:space="preserve">(CIQ </t>
    </r>
    <r>
      <rPr>
        <sz val="9"/>
        <rFont val="WenQuanYi Zen Hei"/>
        <family val="2"/>
      </rPr>
      <t xml:space="preserve">갱신 후 표시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</si>
  <si>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Universe: </t>
    </r>
    <r>
      <rPr>
        <sz val="9"/>
        <rFont val="WenQuanYi Zen Hei"/>
        <family val="2"/>
      </rPr>
      <t xml:space="preserve">유니버스 전체</t>
    </r>
    <r>
      <rPr>
        <sz val="9"/>
        <rFont val="Arial"/>
        <family val="0"/>
        <charset val="1"/>
      </rPr>
      <t xml:space="preserve">(A1~B). </t>
    </r>
    <r>
      <rPr>
        <sz val="9"/>
        <rFont val="WenQuanYi Zen Hei"/>
        <family val="2"/>
      </rPr>
      <t xml:space="preserve">노란 배경 </t>
    </r>
    <r>
      <rPr>
        <sz val="9"/>
        <rFont val="Arial"/>
        <family val="0"/>
        <charset val="1"/>
      </rPr>
      <t xml:space="preserve">= </t>
    </r>
    <r>
      <rPr>
        <sz val="9"/>
        <rFont val="WenQuanYi Zen Hei"/>
        <family val="2"/>
      </rPr>
      <t xml:space="preserve">특수상황 종목</t>
    </r>
    <r>
      <rPr>
        <sz val="9"/>
        <rFont val="Arial"/>
        <family val="0"/>
        <charset val="1"/>
      </rPr>
      <t xml:space="preserve">. CIQ </t>
    </r>
    <r>
      <rPr>
        <sz val="9"/>
        <rFont val="WenQuanYi Zen Hei"/>
        <family val="2"/>
      </rPr>
      <t xml:space="preserve">열은 </t>
    </r>
    <r>
      <rPr>
        <sz val="9"/>
        <rFont val="Arial"/>
        <family val="0"/>
        <charset val="1"/>
      </rPr>
      <t xml:space="preserve">Capital IQ Excel Plug-in </t>
    </r>
    <r>
      <rPr>
        <sz val="9"/>
        <rFont val="WenQuanYi Zen Hei"/>
        <family val="2"/>
      </rPr>
      <t xml:space="preserve">연결 시 자동 채워짐</t>
    </r>
    <r>
      <rPr>
        <sz val="9"/>
        <rFont val="Arial"/>
        <family val="0"/>
        <charset val="1"/>
      </rPr>
      <t xml:space="preserve">(IFERROR</t>
    </r>
    <r>
      <rPr>
        <sz val="9"/>
        <rFont val="WenQuanYi Zen Hei"/>
        <family val="2"/>
      </rPr>
      <t xml:space="preserve">로 미연결 시 공란</t>
    </r>
    <r>
      <rPr>
        <sz val="9"/>
        <rFont val="Arial"/>
        <family val="0"/>
        <charset val="1"/>
      </rPr>
      <t xml:space="preserve">).</t>
    </r>
  </si>
  <si>
    <r>
      <rPr>
        <sz val="9"/>
        <rFont val="Arial"/>
        <family val="0"/>
        <charset val="1"/>
      </rPr>
      <t xml:space="preserve">Special_Situations: </t>
    </r>
    <r>
      <rPr>
        <sz val="9"/>
        <rFont val="WenQuanYi Zen Hei"/>
        <family val="2"/>
      </rPr>
      <t xml:space="preserve">이벤트 태그 또는 정량 시그널이 있는 유니버스 종목</t>
    </r>
  </si>
  <si>
    <r>
      <rPr>
        <sz val="9"/>
        <rFont val="Arial"/>
        <family val="0"/>
        <charset val="1"/>
      </rPr>
      <t xml:space="preserve">Pref_Pairs: </t>
    </r>
    <r>
      <rPr>
        <sz val="9"/>
        <rFont val="WenQuanYi Zen Hei"/>
        <family val="2"/>
      </rPr>
      <t xml:space="preserve">우선주</t>
    </r>
    <r>
      <rPr>
        <sz val="9"/>
        <rFont val="Arial"/>
        <family val="0"/>
        <charset val="1"/>
      </rPr>
      <t xml:space="preserve">-</t>
    </r>
    <r>
      <rPr>
        <sz val="9"/>
        <rFont val="WenQuanYi Zen Hei"/>
        <family val="2"/>
      </rPr>
      <t xml:space="preserve">보통주 괴리율 및 양 </t>
    </r>
    <r>
      <rPr>
        <sz val="9"/>
        <rFont val="Arial"/>
        <family val="0"/>
        <charset val="1"/>
      </rPr>
      <t xml:space="preserve">leg </t>
    </r>
    <r>
      <rPr>
        <sz val="9"/>
        <rFont val="WenQuanYi Zen Hei"/>
        <family val="2"/>
      </rPr>
      <t xml:space="preserve">유동성</t>
    </r>
  </si>
  <si>
    <r>
      <rPr>
        <sz val="9"/>
        <rFont val="Arial"/>
        <family val="0"/>
        <charset val="1"/>
      </rPr>
      <t xml:space="preserve">Holdco_NAV: </t>
    </r>
    <r>
      <rPr>
        <sz val="9"/>
        <rFont val="WenQuanYi Zen Hei"/>
        <family val="2"/>
      </rPr>
      <t xml:space="preserve">지주사 상장자회사 지분가치 커버리지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지분율은 입력값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검증 필요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</si>
  <si>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Ideas: </t>
    </r>
    <r>
      <rPr>
        <sz val="9"/>
        <rFont val="WenQuanYi Zen Hei"/>
        <family val="2"/>
      </rPr>
      <t xml:space="preserve">투자 아이디어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방향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사이징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업사이드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다운사이드 가정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리스크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반대논거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</si>
  <si>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Excluded: </t>
    </r>
    <r>
      <rPr>
        <sz val="9"/>
        <rFont val="WenQuanYi Zen Hei"/>
        <family val="2"/>
      </rPr>
      <t xml:space="preserve">제외 사유별 종목 수</t>
    </r>
    <r>
      <rPr>
        <sz val="9"/>
        <rFont val="Arial"/>
        <family val="0"/>
        <charset val="1"/>
      </rPr>
      <t xml:space="preserve">, Event-Play </t>
    </r>
    <r>
      <rPr>
        <sz val="9"/>
        <rFont val="WenQuanYi Zen Hei"/>
        <family val="2"/>
      </rPr>
      <t xml:space="preserve">후보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시총</t>
    </r>
    <r>
      <rPr>
        <sz val="9"/>
        <rFont val="Arial"/>
        <family val="0"/>
        <charset val="1"/>
      </rPr>
      <t xml:space="preserve">&lt;3000</t>
    </r>
    <r>
      <rPr>
        <sz val="9"/>
        <rFont val="WenQuanYi Zen Hei"/>
        <family val="2"/>
      </rPr>
      <t xml:space="preserve">억이지만 유동성 충분 </t>
    </r>
    <r>
      <rPr>
        <sz val="9"/>
        <rFont val="Arial"/>
        <family val="0"/>
        <charset val="1"/>
      </rPr>
      <t xml:space="preserve">/ </t>
    </r>
    <r>
      <rPr>
        <sz val="9"/>
        <rFont val="WenQuanYi Zen Hei"/>
        <family val="2"/>
      </rPr>
      <t xml:space="preserve">대형주지만 유동성 부족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</si>
  <si>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CIQ_Fields: CIQ </t>
    </r>
    <r>
      <rPr>
        <sz val="9"/>
        <rFont val="WenQuanYi Zen Hei"/>
        <family val="2"/>
      </rPr>
      <t xml:space="preserve">함수 </t>
    </r>
    <r>
      <rPr>
        <sz val="9"/>
        <rFont val="Arial"/>
        <family val="0"/>
        <charset val="1"/>
      </rPr>
      <t xml:space="preserve">mnemonics </t>
    </r>
    <r>
      <rPr>
        <sz val="9"/>
        <rFont val="WenQuanYi Zen Hei"/>
        <family val="2"/>
      </rPr>
      <t xml:space="preserve">정의 및 </t>
    </r>
    <r>
      <rPr>
        <sz val="9"/>
        <rFont val="Arial"/>
        <family val="0"/>
        <charset val="1"/>
      </rPr>
      <t xml:space="preserve">Bloomberg </t>
    </r>
    <r>
      <rPr>
        <sz val="9"/>
        <rFont val="WenQuanYi Zen Hei"/>
        <family val="2"/>
      </rPr>
      <t xml:space="preserve">대체식</t>
    </r>
  </si>
  <si>
    <r>
      <rPr>
        <b val="true"/>
        <sz val="9"/>
        <rFont val="Arial"/>
        <family val="0"/>
        <charset val="1"/>
      </rPr>
      <t xml:space="preserve">5. </t>
    </r>
    <r>
      <rPr>
        <b val="true"/>
        <sz val="9"/>
        <rFont val="WenQuanYi Zen Hei"/>
        <family val="2"/>
      </rPr>
      <t xml:space="preserve">한계 </t>
    </r>
    <r>
      <rPr>
        <b val="true"/>
        <sz val="9"/>
        <rFont val="Arial"/>
        <family val="0"/>
        <charset val="1"/>
      </rPr>
      <t xml:space="preserve">/ </t>
    </r>
    <r>
      <rPr>
        <b val="true"/>
        <sz val="9"/>
        <rFont val="WenQuanYi Zen Hei"/>
        <family val="2"/>
      </rPr>
      <t xml:space="preserve">불확실성</t>
    </r>
  </si>
  <si>
    <r>
      <rPr>
        <sz val="9"/>
        <rFont val="Arial"/>
        <family val="0"/>
        <charset val="1"/>
      </rPr>
      <t xml:space="preserve">(1) </t>
    </r>
    <r>
      <rPr>
        <sz val="9"/>
        <rFont val="WenQuanYi Zen Hei"/>
        <family val="2"/>
      </rPr>
      <t xml:space="preserve">재무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밸류에이션</t>
    </r>
    <r>
      <rPr>
        <sz val="9"/>
        <rFont val="Arial"/>
        <family val="0"/>
        <charset val="1"/>
      </rPr>
      <t xml:space="preserve">(PER/PBR/EV·EBITDA/ROE/ROIC/</t>
    </r>
    <r>
      <rPr>
        <sz val="9"/>
        <rFont val="WenQuanYi Zen Hei"/>
        <family val="2"/>
      </rPr>
      <t xml:space="preserve">성장률</t>
    </r>
    <r>
      <rPr>
        <sz val="9"/>
        <rFont val="Arial"/>
        <family val="0"/>
        <charset val="1"/>
      </rPr>
      <t xml:space="preserve">)</t>
    </r>
    <r>
      <rPr>
        <sz val="9"/>
        <rFont val="WenQuanYi Zen Hei"/>
        <family val="2"/>
      </rPr>
      <t xml:space="preserve">은 본 환경에서 </t>
    </r>
    <r>
      <rPr>
        <sz val="9"/>
        <rFont val="Arial"/>
        <family val="0"/>
        <charset val="1"/>
      </rPr>
      <t xml:space="preserve">Capital IQ·DART </t>
    </r>
    <r>
      <rPr>
        <sz val="9"/>
        <rFont val="WenQuanYi Zen Hei"/>
        <family val="2"/>
      </rPr>
      <t xml:space="preserve">접근 불가 → </t>
    </r>
    <r>
      <rPr>
        <sz val="9"/>
        <rFont val="Arial"/>
        <family val="0"/>
        <charset val="1"/>
      </rPr>
      <t xml:space="preserve">CIQ </t>
    </r>
    <r>
      <rPr>
        <sz val="9"/>
        <rFont val="WenQuanYi Zen Hei"/>
        <family val="2"/>
      </rPr>
      <t xml:space="preserve">수식으로 삽입</t>
    </r>
    <r>
      <rPr>
        <sz val="9"/>
        <rFont val="Arial"/>
        <family val="0"/>
        <charset val="1"/>
      </rPr>
      <t xml:space="preserve">, CIQ </t>
    </r>
    <r>
      <rPr>
        <sz val="9"/>
        <rFont val="WenQuanYi Zen Hei"/>
        <family val="2"/>
      </rPr>
      <t xml:space="preserve">연결된 </t>
    </r>
    <r>
      <rPr>
        <sz val="9"/>
        <rFont val="Arial"/>
        <family val="0"/>
        <charset val="1"/>
      </rPr>
      <t xml:space="preserve">Excel</t>
    </r>
    <r>
      <rPr>
        <sz val="9"/>
        <rFont val="WenQuanYi Zen Hei"/>
        <family val="2"/>
      </rPr>
      <t xml:space="preserve">에서 열면 자동 채움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미연결 시 공란</t>
    </r>
    <r>
      <rPr>
        <sz val="9"/>
        <rFont val="Arial"/>
        <family val="0"/>
        <charset val="1"/>
      </rPr>
      <t xml:space="preserve">/n/a.</t>
    </r>
  </si>
  <si>
    <r>
      <rPr>
        <sz val="9"/>
        <rFont val="Arial"/>
        <family val="0"/>
        <charset val="1"/>
      </rPr>
      <t xml:space="preserve">(2) Event_Type/Event_Note</t>
    </r>
    <r>
      <rPr>
        <sz val="9"/>
        <rFont val="WenQuanYi Zen Hei"/>
        <family val="2"/>
      </rPr>
      <t xml:space="preserve">는 모델 지식 기반</t>
    </r>
    <r>
      <rPr>
        <sz val="9"/>
        <rFont val="Arial"/>
        <family val="0"/>
        <charset val="1"/>
      </rPr>
      <t xml:space="preserve">(2026</t>
    </r>
    <r>
      <rPr>
        <sz val="9"/>
        <rFont val="WenQuanYi Zen Hei"/>
        <family val="2"/>
      </rPr>
      <t xml:space="preserve">년 중반 이전</t>
    </r>
    <r>
      <rPr>
        <sz val="9"/>
        <rFont val="Arial"/>
        <family val="0"/>
        <charset val="1"/>
      </rPr>
      <t xml:space="preserve">) </t>
    </r>
    <r>
      <rPr>
        <sz val="9"/>
        <rFont val="WenQuanYi Zen Hei"/>
        <family val="2"/>
      </rPr>
      <t xml:space="preserve">태그 → 반드시 </t>
    </r>
    <r>
      <rPr>
        <sz val="9"/>
        <rFont val="Arial"/>
        <family val="0"/>
        <charset val="1"/>
      </rPr>
      <t xml:space="preserve">DART/CIQ</t>
    </r>
    <r>
      <rPr>
        <sz val="9"/>
        <rFont val="WenQuanYi Zen Hei"/>
        <family val="2"/>
      </rPr>
      <t xml:space="preserve">로 검증</t>
    </r>
    <r>
      <rPr>
        <sz val="9"/>
        <rFont val="Arial"/>
        <family val="0"/>
        <charset val="1"/>
      </rPr>
      <t xml:space="preserve">. Quant_Flags</t>
    </r>
    <r>
      <rPr>
        <sz val="9"/>
        <rFont val="WenQuanYi Zen Hei"/>
        <family val="2"/>
      </rPr>
      <t xml:space="preserve">는 가격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거래대금 데이터에서 계산된 시그널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</si>
  <si>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(3) ADV 20% </t>
    </r>
    <r>
      <rPr>
        <sz val="9"/>
        <rFont val="WenQuanYi Zen Hei"/>
        <family val="2"/>
      </rPr>
      <t xml:space="preserve">룰의 </t>
    </r>
    <r>
      <rPr>
        <sz val="9"/>
        <rFont val="Arial"/>
        <family val="0"/>
        <charset val="1"/>
      </rPr>
      <t xml:space="preserve">lookback·</t>
    </r>
    <r>
      <rPr>
        <sz val="9"/>
        <rFont val="WenQuanYi Zen Hei"/>
        <family val="2"/>
      </rPr>
      <t xml:space="preserve">매수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매도 적용 여부</t>
    </r>
    <r>
      <rPr>
        <sz val="9"/>
        <rFont val="Arial"/>
        <family val="0"/>
        <charset val="1"/>
      </rPr>
      <t xml:space="preserve">, Event Play </t>
    </r>
    <r>
      <rPr>
        <sz val="9"/>
        <rFont val="WenQuanYi Zen Hei"/>
        <family val="2"/>
      </rPr>
      <t xml:space="preserve">예외는 가이드상 </t>
    </r>
    <r>
      <rPr>
        <sz val="9"/>
        <rFont val="Arial"/>
        <family val="0"/>
        <charset val="1"/>
      </rPr>
      <t xml:space="preserve">'</t>
    </r>
    <r>
      <rPr>
        <sz val="9"/>
        <rFont val="WenQuanYi Zen Hei"/>
        <family val="2"/>
      </rPr>
      <t xml:space="preserve">확인 필요</t>
    </r>
    <r>
      <rPr>
        <sz val="9"/>
        <rFont val="Arial"/>
        <family val="0"/>
        <charset val="1"/>
      </rPr>
      <t xml:space="preserve">' </t>
    </r>
    <r>
      <rPr>
        <sz val="9"/>
        <rFont val="WenQuanYi Zen Hei"/>
        <family val="2"/>
      </rPr>
      <t xml:space="preserve">항목 → </t>
    </r>
    <r>
      <rPr>
        <sz val="9"/>
        <rFont val="Arial"/>
        <family val="0"/>
        <charset val="1"/>
      </rPr>
      <t xml:space="preserve">Params</t>
    </r>
    <r>
      <rPr>
        <sz val="9"/>
        <rFont val="WenQuanYi Zen Hei"/>
        <family val="2"/>
      </rPr>
      <t xml:space="preserve">에서 조정 가능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</si>
  <si>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(4) </t>
    </r>
    <r>
      <rPr>
        <sz val="9"/>
        <rFont val="WenQuanYi Zen Hei"/>
        <family val="2"/>
      </rPr>
      <t xml:space="preserve">섹터 분류는 </t>
    </r>
    <r>
      <rPr>
        <sz val="9"/>
        <rFont val="Arial"/>
        <family val="0"/>
        <charset val="1"/>
      </rPr>
      <t xml:space="preserve">2018 </t>
    </r>
    <r>
      <rPr>
        <sz val="9"/>
        <rFont val="WenQuanYi Zen Hei"/>
        <family val="2"/>
      </rPr>
      <t xml:space="preserve">스냅샷이라 </t>
    </r>
    <r>
      <rPr>
        <sz val="9"/>
        <rFont val="Arial"/>
        <family val="0"/>
        <charset val="1"/>
      </rPr>
      <t xml:space="preserve">2019</t>
    </r>
    <r>
      <rPr>
        <sz val="9"/>
        <rFont val="WenQuanYi Zen Hei"/>
        <family val="2"/>
      </rPr>
      <t xml:space="preserve">년 이후 상장 종목은 공란</t>
    </r>
    <r>
      <rPr>
        <sz val="9"/>
        <rFont val="Arial"/>
        <family val="0"/>
        <charset val="1"/>
      </rPr>
      <t xml:space="preserve">.</t>
    </r>
  </si>
  <si>
    <t xml:space="preserve">Summary — Korea universe under BBAS liquidity limits (as of 2026-09-03)</t>
  </si>
  <si>
    <r>
      <rPr>
        <sz val="9"/>
        <rFont val="WenQuanYi Zen Hei"/>
        <family val="2"/>
      </rPr>
      <t xml:space="preserve">모든 수치는 </t>
    </r>
    <r>
      <rPr>
        <sz val="9"/>
        <rFont val="Arial"/>
        <family val="0"/>
        <charset val="1"/>
      </rPr>
      <t xml:space="preserve">Universe </t>
    </r>
    <r>
      <rPr>
        <sz val="9"/>
        <rFont val="WenQuanYi Zen Hei"/>
        <family val="2"/>
      </rPr>
      <t xml:space="preserve">시트에서 </t>
    </r>
    <r>
      <rPr>
        <sz val="9"/>
        <rFont val="Arial"/>
        <family val="0"/>
        <charset val="1"/>
      </rPr>
      <t xml:space="preserve">COUNTIFS/AVERAGEIFS</t>
    </r>
    <r>
      <rPr>
        <sz val="9"/>
        <rFont val="WenQuanYi Zen Hei"/>
        <family val="2"/>
      </rPr>
      <t xml:space="preserve">로 계산</t>
    </r>
    <r>
      <rPr>
        <sz val="9"/>
        <rFont val="Arial"/>
        <family val="0"/>
        <charset val="1"/>
      </rPr>
      <t xml:space="preserve">. CIQ </t>
    </r>
    <r>
      <rPr>
        <sz val="9"/>
        <rFont val="WenQuanYi Zen Hei"/>
        <family val="2"/>
      </rPr>
      <t xml:space="preserve">열 평균은 </t>
    </r>
    <r>
      <rPr>
        <sz val="9"/>
        <rFont val="Arial"/>
        <family val="0"/>
        <charset val="1"/>
      </rPr>
      <t xml:space="preserve">Capital IQ </t>
    </r>
    <r>
      <rPr>
        <sz val="9"/>
        <rFont val="WenQuanYi Zen Hei"/>
        <family val="2"/>
      </rPr>
      <t xml:space="preserve">연결 후 표시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미연결 시 </t>
    </r>
    <r>
      <rPr>
        <sz val="9"/>
        <rFont val="Arial"/>
        <family val="0"/>
        <charset val="1"/>
      </rPr>
      <t xml:space="preserve">n/a).</t>
    </r>
  </si>
  <si>
    <t xml:space="preserve">Tier</t>
  </si>
  <si>
    <t xml:space="preserve"># names</t>
  </si>
  <si>
    <t xml:space="preserve">% of universe</t>
  </si>
  <si>
    <r>
      <rPr>
        <b val="true"/>
        <sz val="9"/>
        <color rgb="FFFFFFFF"/>
        <rFont val="Arial"/>
        <family val="0"/>
        <charset val="1"/>
      </rPr>
      <t xml:space="preserve">Avg Mcap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</si>
  <si>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Avg ADV20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</si>
  <si>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Avg daily turnover</t>
  </si>
  <si>
    <t xml:space="preserve">Avg Vol 60D</t>
  </si>
  <si>
    <t xml:space="preserve">Avg Ret YTD</t>
  </si>
  <si>
    <t xml:space="preserve">Avg Ret 1M</t>
  </si>
  <si>
    <t xml:space="preserve"># Special Sit</t>
  </si>
  <si>
    <t xml:space="preserve"># 6% OK @Book1</t>
  </si>
  <si>
    <t xml:space="preserve"># 6% OK @Book2</t>
  </si>
  <si>
    <t xml:space="preserve">Avg P/E LTM</t>
  </si>
  <si>
    <t xml:space="preserve">Avg P/BV</t>
  </si>
  <si>
    <t xml:space="preserve">Avg TEV/EBITDA</t>
  </si>
  <si>
    <t xml:space="preserve">Avg ROE %</t>
  </si>
  <si>
    <t xml:space="preserve">Avg ROIC %</t>
  </si>
  <si>
    <t xml:space="preserve">Avg Rev g %</t>
  </si>
  <si>
    <t xml:space="preserve">Avg EPS g %</t>
  </si>
  <si>
    <t xml:space="preserve">Avg Div yld %</t>
  </si>
  <si>
    <t xml:space="preserve">A1 Core Liquid</t>
  </si>
  <si>
    <r>
      <rPr>
        <sz val="9"/>
        <rFont val="Arial"/>
        <family val="0"/>
        <charset val="1"/>
      </rPr>
      <t xml:space="preserve">A2 Core Liquid (500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book)</t>
    </r>
  </si>
  <si>
    <t xml:space="preserve">A3 Large-cap Illiquid</t>
  </si>
  <si>
    <t xml:space="preserve">B Mid-cap Alpha (7% bucket)</t>
  </si>
  <si>
    <t xml:space="preserve">TOTAL</t>
  </si>
  <si>
    <r>
      <rPr>
        <b val="true"/>
        <sz val="9"/>
        <rFont val="Arial"/>
        <family val="0"/>
        <charset val="1"/>
      </rPr>
      <t xml:space="preserve">By market-cap bucket (1M avg) — </t>
    </r>
    <r>
      <rPr>
        <b val="true"/>
        <sz val="9"/>
        <rFont val="WenQuanYi Zen Hei"/>
        <family val="2"/>
      </rPr>
      <t xml:space="preserve">전체 상장종목 기준 </t>
    </r>
    <r>
      <rPr>
        <b val="true"/>
        <sz val="9"/>
        <rFont val="Arial"/>
        <family val="0"/>
        <charset val="1"/>
      </rPr>
      <t xml:space="preserve">(Universe </t>
    </r>
    <r>
      <rPr>
        <b val="true"/>
        <sz val="9"/>
        <rFont val="WenQuanYi Zen Hei"/>
        <family val="2"/>
      </rPr>
      <t xml:space="preserve">밖 포함</t>
    </r>
    <r>
      <rPr>
        <b val="true"/>
        <sz val="9"/>
        <rFont val="Arial"/>
        <family val="0"/>
        <charset val="1"/>
      </rPr>
      <t xml:space="preserve">)</t>
    </r>
  </si>
  <si>
    <t xml:space="preserve">Bucket</t>
  </si>
  <si>
    <t xml:space="preserve"># all listed</t>
  </si>
  <si>
    <t xml:space="preserve"># in Universe</t>
  </si>
  <si>
    <t xml:space="preserve"># Event-Play only</t>
  </si>
  <si>
    <r>
      <rPr>
        <b val="true"/>
        <sz val="9"/>
        <color rgb="FFFFFFFF"/>
        <rFont val="Arial"/>
        <family val="0"/>
        <charset val="1"/>
      </rPr>
      <t xml:space="preserve"># Excluded (KONEX/SPAC/</t>
    </r>
    <r>
      <rPr>
        <b val="true"/>
        <sz val="9"/>
        <color rgb="FFFFFFFF"/>
        <rFont val="WenQuanYi Zen Hei"/>
        <family val="2"/>
      </rPr>
      <t xml:space="preserve">관리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WenQuanYi Zen Hei"/>
        <family val="2"/>
      </rPr>
      <t xml:space="preserve">정지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</si>
  <si>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 ≥7000</t>
    </r>
    <r>
      <rPr>
        <sz val="9"/>
        <rFont val="WenQuanYi Zen Hei"/>
        <family val="2"/>
      </rPr>
      <t xml:space="preserve">억</t>
    </r>
  </si>
  <si>
    <r>
      <rPr>
        <sz val="9"/>
        <rFont val="Arial"/>
        <family val="0"/>
        <charset val="1"/>
      </rPr>
      <t xml:space="preserve">B 3000-7000</t>
    </r>
    <r>
      <rPr>
        <sz val="9"/>
        <rFont val="WenQuanYi Zen Hei"/>
        <family val="2"/>
      </rPr>
      <t xml:space="preserve">억</t>
    </r>
  </si>
  <si>
    <r>
      <rPr>
        <sz val="9"/>
        <rFont val="Arial"/>
        <family val="0"/>
        <charset val="1"/>
      </rPr>
      <t xml:space="preserve">C &lt;3000</t>
    </r>
    <r>
      <rPr>
        <sz val="9"/>
        <rFont val="WenQuanYi Zen Hei"/>
        <family val="2"/>
      </rPr>
      <t xml:space="preserve">억</t>
    </r>
  </si>
  <si>
    <r>
      <rPr>
        <i val="true"/>
        <sz val="8"/>
        <rFont val="Arial"/>
        <family val="0"/>
        <charset val="1"/>
      </rPr>
      <t xml:space="preserve">(</t>
    </r>
    <r>
      <rPr>
        <i val="true"/>
        <sz val="8"/>
        <rFont val="WenQuanYi Zen Hei"/>
        <family val="2"/>
      </rPr>
      <t xml:space="preserve">정적 값</t>
    </r>
    <r>
      <rPr>
        <i val="true"/>
        <sz val="8"/>
        <rFont val="Arial"/>
        <family val="0"/>
        <charset val="1"/>
      </rPr>
      <t xml:space="preserve">: build </t>
    </r>
    <r>
      <rPr>
        <i val="true"/>
        <sz val="8"/>
        <rFont val="WenQuanYi Zen Hei"/>
        <family val="2"/>
      </rPr>
      <t xml:space="preserve">시점 계산</t>
    </r>
    <r>
      <rPr>
        <i val="true"/>
        <sz val="8"/>
        <rFont val="Arial"/>
        <family val="0"/>
        <charset val="1"/>
      </rPr>
      <t xml:space="preserve">. </t>
    </r>
    <r>
      <rPr>
        <i val="true"/>
        <sz val="8"/>
        <rFont val="WenQuanYi Zen Hei"/>
        <family val="2"/>
      </rPr>
      <t xml:space="preserve">데이터 갱신 시 스크립트 재실행</t>
    </r>
    <r>
      <rPr>
        <i val="true"/>
        <sz val="8"/>
        <rFont val="Arial"/>
        <family val="0"/>
        <charset val="1"/>
      </rPr>
      <t xml:space="preserve">)</t>
    </r>
  </si>
  <si>
    <t xml:space="preserve">By market</t>
  </si>
  <si>
    <t xml:space="preserve">Market</t>
  </si>
  <si>
    <t xml:space="preserve">KOSPI</t>
  </si>
  <si>
    <t xml:space="preserve">KOSDAQ</t>
  </si>
  <si>
    <t xml:space="preserve">KOSDAQ GLOBAL</t>
  </si>
  <si>
    <r>
      <rPr>
        <b val="true"/>
        <sz val="9"/>
        <rFont val="Arial"/>
        <family val="0"/>
        <charset val="1"/>
      </rPr>
      <t xml:space="preserve">Liquidity capacity check (Params </t>
    </r>
    <r>
      <rPr>
        <b val="true"/>
        <sz val="9"/>
        <rFont val="WenQuanYi Zen Hei"/>
        <family val="2"/>
      </rPr>
      <t xml:space="preserve">변경 시 재계산</t>
    </r>
    <r>
      <rPr>
        <b val="true"/>
        <sz val="9"/>
        <rFont val="Arial"/>
        <family val="0"/>
        <charset val="1"/>
      </rPr>
      <t xml:space="preserve">)</t>
    </r>
  </si>
  <si>
    <t xml:space="preserve">Metric</t>
  </si>
  <si>
    <t xml:space="preserve">Book1</t>
  </si>
  <si>
    <t xml:space="preserve">Book2</t>
  </si>
  <si>
    <r>
      <rPr>
        <sz val="9"/>
        <rFont val="Arial"/>
        <family val="0"/>
        <charset val="1"/>
      </rPr>
      <t xml:space="preserve">Book (</t>
    </r>
    <r>
      <rPr>
        <sz val="9"/>
        <rFont val="WenQuanYi Zen Hei"/>
        <family val="2"/>
      </rPr>
      <t xml:space="preserve">억원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</si>
  <si>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6% position (</t>
    </r>
    <r>
      <rPr>
        <sz val="9"/>
        <rFont val="WenQuanYi Zen Hei"/>
        <family val="2"/>
      </rPr>
      <t xml:space="preserve">억원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</si>
  <si>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Required ADV for 3-day exit (</t>
    </r>
    <r>
      <rPr>
        <sz val="9"/>
        <rFont val="WenQuanYi Zen Hei"/>
        <family val="2"/>
      </rPr>
      <t xml:space="preserve">억원</t>
    </r>
    <r>
      <rPr>
        <sz val="9"/>
        <rFont val="Arial"/>
        <family val="0"/>
        <charset val="1"/>
      </rPr>
      <t xml:space="preserve">)</t>
    </r>
  </si>
  <si>
    <t xml:space="preserve"># names allowing full 6% in 3 days</t>
  </si>
  <si>
    <t xml:space="preserve"># names allowing ≥2% in 3 days</t>
  </si>
  <si>
    <t xml:space="preserve"># names full 6% under stress ADV</t>
  </si>
  <si>
    <t xml:space="preserve">Sum of MaxPos %NAV (gross capacity, 3-day)</t>
  </si>
  <si>
    <r>
      <rPr>
        <b val="true"/>
        <sz val="9"/>
        <rFont val="Arial"/>
        <family val="0"/>
        <charset val="1"/>
      </rPr>
      <t xml:space="preserve">Special Situations in Universe — 107 names (63 with event tag, rest = quant signal only). Event tag = </t>
    </r>
    <r>
      <rPr>
        <b val="true"/>
        <sz val="9"/>
        <rFont val="WenQuanYi Zen Hei"/>
        <family val="2"/>
      </rPr>
      <t xml:space="preserve">모델 지식</t>
    </r>
    <r>
      <rPr>
        <b val="true"/>
        <sz val="9"/>
        <rFont val="Arial"/>
        <family val="0"/>
        <charset val="1"/>
      </rPr>
      <t xml:space="preserve">(</t>
    </r>
    <r>
      <rPr>
        <b val="true"/>
        <sz val="9"/>
        <rFont val="WenQuanYi Zen Hei"/>
        <family val="2"/>
      </rPr>
      <t xml:space="preserve">검증 필요</t>
    </r>
    <r>
      <rPr>
        <b val="true"/>
        <sz val="9"/>
        <rFont val="Arial"/>
        <family val="0"/>
        <charset val="1"/>
      </rPr>
      <t xml:space="preserve">), Quant = </t>
    </r>
    <r>
      <rPr>
        <b val="true"/>
        <sz val="9"/>
        <rFont val="WenQuanYi Zen Hei"/>
        <family val="2"/>
      </rPr>
      <t xml:space="preserve">데이터</t>
    </r>
    <r>
      <rPr>
        <b val="true"/>
        <sz val="9"/>
        <rFont val="Arial"/>
        <family val="0"/>
        <charset val="1"/>
      </rPr>
      <t xml:space="preserve">.</t>
    </r>
  </si>
  <si>
    <t xml:space="preserve">Code</t>
  </si>
  <si>
    <t xml:space="preserve">Name</t>
  </si>
  <si>
    <t xml:space="preserve">Event Type (K)</t>
  </si>
  <si>
    <t xml:space="preserve">Event Note (K, verify)</t>
  </si>
  <si>
    <t xml:space="preserve">Quant Flags (data)</t>
  </si>
  <si>
    <r>
      <rPr>
        <b val="true"/>
        <sz val="9"/>
        <color rgb="FFFFFFFF"/>
        <rFont val="Arial"/>
        <family val="0"/>
        <charset val="1"/>
      </rPr>
      <t xml:space="preserve">Mcap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</si>
  <si>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ADV20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</si>
  <si>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MaxPos %NAV @500</t>
    </r>
    <r>
      <rPr>
        <b val="true"/>
        <sz val="9"/>
        <color rgb="FFFFFFFF"/>
        <rFont val="WenQuanYi Zen Hei"/>
        <family val="2"/>
      </rPr>
      <t xml:space="preserve">억</t>
    </r>
  </si>
  <si>
    <r>
      <rPr>
        <b val="true"/>
        <sz val="9"/>
        <color rgb="FFFFFFFF"/>
        <rFont val="Arial"/>
        <family val="0"/>
        <charset val="1"/>
      </rPr>
      <t xml:space="preserve">MaxPos %NAV @1000</t>
    </r>
    <r>
      <rPr>
        <b val="true"/>
        <sz val="9"/>
        <color rgb="FFFFFFFF"/>
        <rFont val="WenQuanYi Zen Hei"/>
        <family val="2"/>
      </rPr>
      <t xml:space="preserve">억</t>
    </r>
  </si>
  <si>
    <r>
      <rPr>
        <b val="true"/>
        <sz val="9"/>
        <color rgb="FFFFFFFF"/>
        <rFont val="Arial"/>
        <family val="0"/>
        <charset val="1"/>
      </rPr>
      <t xml:space="preserve">DTL 6% @500</t>
    </r>
    <r>
      <rPr>
        <b val="true"/>
        <sz val="9"/>
        <color rgb="FFFFFFFF"/>
        <rFont val="WenQuanYi Zen Hei"/>
        <family val="2"/>
      </rPr>
      <t xml:space="preserve">억 </t>
    </r>
    <r>
      <rPr>
        <b val="true"/>
        <sz val="9"/>
        <color rgb="FFFFFFFF"/>
        <rFont val="Arial"/>
        <family val="0"/>
        <charset val="1"/>
      </rPr>
      <t xml:space="preserve">(d)</t>
    </r>
  </si>
  <si>
    <t xml:space="preserve">Short cap</t>
  </si>
  <si>
    <t xml:space="preserve">Ret 1M</t>
  </si>
  <si>
    <t xml:space="preserve">Ret YTD</t>
  </si>
  <si>
    <t xml:space="preserve">% from 52wH</t>
  </si>
  <si>
    <t xml:space="preserve">Vol spike</t>
  </si>
  <si>
    <t xml:space="preserve">±15% days 40D</t>
  </si>
  <si>
    <t xml:space="preserve">005930</t>
  </si>
  <si>
    <t xml:space="preserve">삼성전자</t>
  </si>
  <si>
    <t xml:space="preserve">주주환원</t>
  </si>
  <si>
    <r>
      <rPr>
        <sz val="9"/>
        <rFont val="Arial"/>
        <family val="0"/>
        <charset val="1"/>
      </rPr>
      <t xml:space="preserve">10</t>
    </r>
    <r>
      <rPr>
        <sz val="9"/>
        <rFont val="WenQuanYi Zen Hei"/>
        <family val="2"/>
      </rPr>
      <t xml:space="preserve">조 자사주 매입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소각</t>
    </r>
    <r>
      <rPr>
        <sz val="9"/>
        <rFont val="Arial"/>
        <family val="0"/>
        <charset val="1"/>
      </rPr>
      <t xml:space="preserve">(2024-25). </t>
    </r>
    <r>
      <rPr>
        <sz val="9"/>
        <rFont val="WenQuanYi Zen Hei"/>
        <family val="2"/>
      </rPr>
      <t xml:space="preserve">우선주 디스카운트</t>
    </r>
  </si>
  <si>
    <t xml:space="preserve">005935</t>
  </si>
  <si>
    <t xml:space="preserve">삼성전자우</t>
  </si>
  <si>
    <t xml:space="preserve">우선주</t>
  </si>
  <si>
    <r>
      <rPr>
        <sz val="9"/>
        <rFont val="WenQuanYi Zen Hei"/>
        <family val="2"/>
      </rPr>
      <t xml:space="preserve">삼성전자 우선주 괴리율 </t>
    </r>
    <r>
      <rPr>
        <sz val="9"/>
        <rFont val="Arial"/>
        <family val="0"/>
        <charset val="1"/>
      </rPr>
      <t xml:space="preserve">-26%</t>
    </r>
  </si>
  <si>
    <t xml:space="preserve">402340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</si>
  <si>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스퀘어</t>
    </r>
  </si>
  <si>
    <r>
      <rPr>
        <sz val="9"/>
        <rFont val="WenQuanYi Zen Hei"/>
        <family val="2"/>
      </rPr>
      <t xml:space="preserve">지주</t>
    </r>
    <r>
      <rPr>
        <sz val="9"/>
        <rFont val="Arial"/>
        <family val="0"/>
        <charset val="1"/>
      </rPr>
      <t xml:space="preserve">/NAV</t>
    </r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</si>
  <si>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하이닉스 지분 </t>
    </r>
    <r>
      <rPr>
        <sz val="9"/>
        <rFont val="Arial"/>
        <family val="0"/>
        <charset val="1"/>
      </rPr>
      <t xml:space="preserve">NAV </t>
    </r>
    <r>
      <rPr>
        <sz val="9"/>
        <rFont val="WenQuanYi Zen Hei"/>
        <family val="2"/>
      </rPr>
      <t xml:space="preserve">대비 디스카운트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자사주 소각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주주환원</t>
    </r>
  </si>
  <si>
    <r>
      <rPr>
        <sz val="9"/>
        <rFont val="Arial"/>
        <family val="0"/>
        <charset val="1"/>
      </rPr>
      <t xml:space="preserve">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</si>
  <si>
    <t xml:space="preserve">005380</t>
  </si>
  <si>
    <t xml:space="preserve">현대차</t>
  </si>
  <si>
    <t xml:space="preserve">밸류업</t>
  </si>
  <si>
    <r>
      <rPr>
        <sz val="9"/>
        <rFont val="Arial"/>
        <family val="0"/>
        <charset val="1"/>
      </rPr>
      <t xml:space="preserve">TSR 35% </t>
    </r>
    <r>
      <rPr>
        <sz val="9"/>
        <rFont val="WenQuanYi Zen Hei"/>
        <family val="2"/>
      </rPr>
      <t xml:space="preserve">밸류업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자사주 소각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지배구조 개편 잠재</t>
    </r>
  </si>
  <si>
    <t xml:space="preserve">207940</t>
  </si>
  <si>
    <t xml:space="preserve">삼성바이오로직스</t>
  </si>
  <si>
    <t xml:space="preserve">분할</t>
  </si>
  <si>
    <r>
      <rPr>
        <sz val="9"/>
        <rFont val="Arial"/>
        <family val="0"/>
        <charset val="1"/>
      </rPr>
      <t xml:space="preserve">2025-11 </t>
    </r>
    <r>
      <rPr>
        <sz val="9"/>
        <rFont val="WenQuanYi Zen Hei"/>
        <family val="2"/>
      </rPr>
      <t xml:space="preserve">인적분할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삼성에피스홀딩스 신설</t>
    </r>
    <r>
      <rPr>
        <sz val="9"/>
        <rFont val="Arial"/>
        <family val="0"/>
        <charset val="1"/>
      </rPr>
      <t xml:space="preserve">). post-spin </t>
    </r>
    <r>
      <rPr>
        <sz val="9"/>
        <rFont val="WenQuanYi Zen Hei"/>
        <family val="2"/>
      </rPr>
      <t xml:space="preserve">재평가</t>
    </r>
  </si>
  <si>
    <r>
      <rPr>
        <sz val="9"/>
        <rFont val="WenQuanYi Zen Hei"/>
        <family val="2"/>
      </rPr>
      <t xml:space="preserve">주식수 급변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액면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증자</t>
    </r>
    <r>
      <rPr>
        <sz val="9"/>
        <rFont val="Arial"/>
        <family val="0"/>
        <charset val="1"/>
      </rPr>
      <t xml:space="preserve">)</t>
    </r>
  </si>
  <si>
    <t xml:space="preserve">105560</t>
  </si>
  <si>
    <r>
      <rPr>
        <sz val="9"/>
        <rFont val="Arial"/>
        <family val="0"/>
        <charset val="1"/>
      </rPr>
      <t xml:space="preserve">KB</t>
    </r>
    <r>
      <rPr>
        <sz val="9"/>
        <rFont val="WenQuanYi Zen Hei"/>
        <family val="2"/>
      </rPr>
      <t xml:space="preserve">금융</t>
    </r>
  </si>
  <si>
    <r>
      <rPr>
        <sz val="9"/>
        <rFont val="WenQuanYi Zen Hei"/>
        <family val="2"/>
      </rPr>
      <t xml:space="preserve">총주주환원 </t>
    </r>
    <r>
      <rPr>
        <sz val="9"/>
        <rFont val="Arial"/>
        <family val="0"/>
        <charset val="1"/>
      </rPr>
      <t xml:space="preserve">50%·</t>
    </r>
    <r>
      <rPr>
        <sz val="9"/>
        <rFont val="WenQuanYi Zen Hei"/>
        <family val="2"/>
      </rPr>
      <t xml:space="preserve">자사주 소각 </t>
    </r>
    <r>
      <rPr>
        <sz val="9"/>
        <rFont val="Arial"/>
        <family val="0"/>
        <charset val="1"/>
      </rPr>
      <t xml:space="preserve">core</t>
    </r>
  </si>
  <si>
    <t xml:space="preserve">032830</t>
  </si>
  <si>
    <t xml:space="preserve">삼성생명</t>
  </si>
  <si>
    <t xml:space="preserve">규제</t>
  </si>
  <si>
    <r>
      <rPr>
        <sz val="9"/>
        <rFont val="WenQuanYi Zen Hei"/>
        <family val="2"/>
      </rPr>
      <t xml:space="preserve">보험업법 개정 시 삼성전자 지분 매각 리스크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기회</t>
    </r>
  </si>
  <si>
    <t xml:space="preserve">028260</t>
  </si>
  <si>
    <t xml:space="preserve">삼성물산</t>
  </si>
  <si>
    <r>
      <rPr>
        <sz val="9"/>
        <rFont val="WenQuanYi Zen Hei"/>
        <family val="2"/>
      </rPr>
      <t xml:space="preserve">삼성전자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삼성바이오 지분 </t>
    </r>
    <r>
      <rPr>
        <sz val="9"/>
        <rFont val="Arial"/>
        <family val="0"/>
        <charset val="1"/>
      </rPr>
      <t xml:space="preserve">NAV </t>
    </r>
    <r>
      <rPr>
        <sz val="9"/>
        <rFont val="WenQuanYi Zen Hei"/>
        <family val="2"/>
      </rPr>
      <t xml:space="preserve">디스카운트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지배구조 개편 시나리오</t>
    </r>
  </si>
  <si>
    <t xml:space="preserve">012450</t>
  </si>
  <si>
    <t xml:space="preserve">한화에어로스페이스</t>
  </si>
  <si>
    <r>
      <rPr>
        <sz val="9"/>
        <rFont val="WenQuanYi Zen Hei"/>
        <family val="2"/>
      </rPr>
      <t xml:space="preserve">지배구조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증자</t>
    </r>
  </si>
  <si>
    <r>
      <rPr>
        <sz val="9"/>
        <rFont val="WenQuanYi Zen Hei"/>
        <family val="2"/>
      </rPr>
      <t xml:space="preserve">대규모 유상증자</t>
    </r>
    <r>
      <rPr>
        <sz val="9"/>
        <rFont val="Arial"/>
        <family val="0"/>
        <charset val="1"/>
      </rPr>
      <t xml:space="preserve">(2025)·</t>
    </r>
    <r>
      <rPr>
        <sz val="9"/>
        <rFont val="WenQuanYi Zen Hei"/>
        <family val="2"/>
      </rPr>
      <t xml:space="preserve">그룹 승계 관련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방산 슈퍼사이클 </t>
    </r>
    <r>
      <rPr>
        <sz val="9"/>
        <rFont val="Arial"/>
        <family val="0"/>
        <charset val="1"/>
      </rPr>
      <t xml:space="preserve">core</t>
    </r>
  </si>
  <si>
    <t xml:space="preserve">055550</t>
  </si>
  <si>
    <t xml:space="preserve">신한지주</t>
  </si>
  <si>
    <r>
      <rPr>
        <sz val="9"/>
        <rFont val="WenQuanYi Zen Hei"/>
        <family val="2"/>
      </rPr>
      <t xml:space="preserve">자사주 소각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주주환원 확대</t>
    </r>
  </si>
  <si>
    <t xml:space="preserve">034020</t>
  </si>
  <si>
    <t xml:space="preserve">두산에너빌리티</t>
  </si>
  <si>
    <t xml:space="preserve">구조개편</t>
  </si>
  <si>
    <r>
      <rPr>
        <sz val="9"/>
        <rFont val="WenQuanYi Zen Hei"/>
        <family val="2"/>
      </rPr>
      <t xml:space="preserve">두산 그룹 리밸런싱 핵심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원전 사이클</t>
    </r>
  </si>
  <si>
    <t xml:space="preserve">068270</t>
  </si>
  <si>
    <t xml:space="preserve">셀트리온</t>
  </si>
  <si>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자사주</t>
    </r>
  </si>
  <si>
    <r>
      <rPr>
        <sz val="9"/>
        <rFont val="WenQuanYi Zen Hei"/>
        <family val="2"/>
      </rPr>
      <t xml:space="preserve">셀트리온제약 합병 논의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대규모 자사주 소각</t>
    </r>
  </si>
  <si>
    <t xml:space="preserve">034730</t>
  </si>
  <si>
    <t xml:space="preserve">SK</t>
  </si>
  <si>
    <r>
      <rPr>
        <sz val="9"/>
        <rFont val="WenQuanYi Zen Hei"/>
        <family val="2"/>
      </rPr>
      <t xml:space="preserve">지주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리밸런싱</t>
    </r>
  </si>
  <si>
    <r>
      <rPr>
        <sz val="9"/>
        <rFont val="Arial"/>
        <family val="0"/>
        <charset val="1"/>
      </rPr>
      <t xml:space="preserve">SK </t>
    </r>
    <r>
      <rPr>
        <sz val="9"/>
        <rFont val="WenQuanYi Zen Hei"/>
        <family val="2"/>
      </rPr>
      <t xml:space="preserve">그룹 리밸런싱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자회사 매각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). </t>
    </r>
    <r>
      <rPr>
        <sz val="9"/>
        <rFont val="WenQuanYi Zen Hei"/>
        <family val="2"/>
      </rPr>
      <t xml:space="preserve">지주 </t>
    </r>
    <r>
      <rPr>
        <sz val="9"/>
        <rFont val="Arial"/>
        <family val="0"/>
        <charset val="1"/>
      </rPr>
      <t xml:space="preserve">NAV </t>
    </r>
    <r>
      <rPr>
        <sz val="9"/>
        <rFont val="WenQuanYi Zen Hei"/>
        <family val="2"/>
      </rPr>
      <t xml:space="preserve">디스카운트</t>
    </r>
  </si>
  <si>
    <t xml:space="preserve">086790</t>
  </si>
  <si>
    <t xml:space="preserve">하나금융지주</t>
  </si>
  <si>
    <t xml:space="preserve">012330</t>
  </si>
  <si>
    <t xml:space="preserve">현대모비스</t>
  </si>
  <si>
    <t xml:space="preserve">지배구조</t>
  </si>
  <si>
    <r>
      <rPr>
        <sz val="9"/>
        <rFont val="WenQuanYi Zen Hei"/>
        <family val="2"/>
      </rPr>
      <t xml:space="preserve">현대차그룹 순환출자 해소 시나리오 핵심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자사주 소각</t>
    </r>
  </si>
  <si>
    <t xml:space="preserve">066570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</si>
  <si>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전자</t>
    </r>
  </si>
  <si>
    <t xml:space="preserve">상장자회사</t>
  </si>
  <si>
    <r>
      <rPr>
        <sz val="9"/>
        <rFont val="WenQuanYi Zen Hei"/>
        <family val="2"/>
      </rPr>
      <t xml:space="preserve">인도법인 </t>
    </r>
    <r>
      <rPr>
        <sz val="9"/>
        <rFont val="Arial"/>
        <family val="0"/>
        <charset val="1"/>
      </rPr>
      <t xml:space="preserve">IPO(2025-10) </t>
    </r>
    <r>
      <rPr>
        <sz val="9"/>
        <rFont val="WenQuanYi Zen Hei"/>
        <family val="2"/>
      </rPr>
      <t xml:space="preserve">후 지분가치 재평가</t>
    </r>
  </si>
  <si>
    <t xml:space="preserve">035420</t>
  </si>
  <si>
    <t xml:space="preserve">NAVER</t>
  </si>
  <si>
    <t xml:space="preserve">M&amp;A</t>
  </si>
  <si>
    <r>
      <rPr>
        <sz val="9"/>
        <rFont val="WenQuanYi Zen Hei"/>
        <family val="2"/>
      </rPr>
      <t xml:space="preserve">두나무 지분교환</t>
    </r>
    <r>
      <rPr>
        <sz val="9"/>
        <rFont val="Arial"/>
        <family val="0"/>
        <charset val="1"/>
      </rPr>
      <t xml:space="preserve">(NAVER</t>
    </r>
    <r>
      <rPr>
        <sz val="9"/>
        <rFont val="WenQuanYi Zen Hei"/>
        <family val="2"/>
      </rPr>
      <t xml:space="preserve">파이낸셜</t>
    </r>
    <r>
      <rPr>
        <sz val="9"/>
        <rFont val="Arial"/>
        <family val="0"/>
        <charset val="1"/>
      </rPr>
      <t xml:space="preserve">) </t>
    </r>
    <r>
      <rPr>
        <sz val="9"/>
        <rFont val="WenQuanYi Zen Hei"/>
        <family val="2"/>
      </rPr>
      <t xml:space="preserve">딜 진행 여부 확인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자사주 소각</t>
    </r>
  </si>
  <si>
    <t xml:space="preserve">010120</t>
  </si>
  <si>
    <t xml:space="preserve">LS ELECTRIC</t>
  </si>
  <si>
    <t xml:space="preserve">액면분할</t>
  </si>
  <si>
    <r>
      <rPr>
        <sz val="9"/>
        <rFont val="Arial"/>
        <family val="0"/>
        <charset val="1"/>
      </rPr>
      <t xml:space="preserve">2026-04 </t>
    </r>
    <r>
      <rPr>
        <sz val="9"/>
        <rFont val="WenQuanYi Zen Hei"/>
        <family val="2"/>
      </rPr>
      <t xml:space="preserve">액면분할</t>
    </r>
    <r>
      <rPr>
        <sz val="9"/>
        <rFont val="Arial"/>
        <family val="0"/>
        <charset val="1"/>
      </rPr>
      <t xml:space="preserve">(5:1). </t>
    </r>
    <r>
      <rPr>
        <sz val="9"/>
        <rFont val="WenQuanYi Zen Hei"/>
        <family val="2"/>
      </rPr>
      <t xml:space="preserve">데이터센터 전력기기 사이클</t>
    </r>
  </si>
  <si>
    <r>
      <rPr>
        <sz val="9"/>
        <rFont val="WenQuanYi Zen Hei"/>
        <family val="2"/>
      </rPr>
      <t xml:space="preserve">주식수 급변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액면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증자</t>
    </r>
    <r>
      <rPr>
        <sz val="9"/>
        <rFont val="Arial"/>
        <family val="0"/>
        <charset val="1"/>
      </rPr>
      <t xml:space="preserve">);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</t>
    </r>
  </si>
  <si>
    <t xml:space="preserve">005490</t>
  </si>
  <si>
    <r>
      <rPr>
        <sz val="9"/>
        <rFont val="Arial"/>
        <family val="0"/>
        <charset val="1"/>
      </rPr>
      <t xml:space="preserve">POSCO</t>
    </r>
    <r>
      <rPr>
        <sz val="9"/>
        <rFont val="WenQuanYi Zen Hei"/>
        <family val="2"/>
      </rPr>
      <t xml:space="preserve">홀딩스</t>
    </r>
  </si>
  <si>
    <r>
      <rPr>
        <sz val="9"/>
        <rFont val="WenQuanYi Zen Hei"/>
        <family val="2"/>
      </rPr>
      <t xml:space="preserve">철강 구조조정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자사주 소각</t>
    </r>
  </si>
  <si>
    <t xml:space="preserve">010130</t>
  </si>
  <si>
    <t xml:space="preserve">고려아연</t>
  </si>
  <si>
    <t xml:space="preserve">경영권 분쟁</t>
  </si>
  <si>
    <r>
      <rPr>
        <sz val="9"/>
        <rFont val="WenQuanYi Zen Hei"/>
        <family val="2"/>
      </rPr>
      <t xml:space="preserve">고려아연 </t>
    </r>
    <r>
      <rPr>
        <sz val="9"/>
        <rFont val="Arial"/>
        <family val="0"/>
        <charset val="1"/>
      </rPr>
      <t xml:space="preserve">vs </t>
    </r>
    <r>
      <rPr>
        <sz val="9"/>
        <rFont val="WenQuanYi Zen Hei"/>
        <family val="2"/>
      </rPr>
      <t xml:space="preserve">영풍</t>
    </r>
    <r>
      <rPr>
        <sz val="9"/>
        <rFont val="Arial"/>
        <family val="0"/>
        <charset val="1"/>
      </rPr>
      <t xml:space="preserve">/MBK </t>
    </r>
    <r>
      <rPr>
        <sz val="9"/>
        <rFont val="WenQuanYi Zen Hei"/>
        <family val="2"/>
      </rPr>
      <t xml:space="preserve">경영권 분쟁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공개매수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자사주 매입 후속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유상증자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집중투표 등 법적 분쟁 지속 여부 확인</t>
    </r>
  </si>
  <si>
    <t xml:space="preserve">316140</t>
  </si>
  <si>
    <t xml:space="preserve">우리금융지주</t>
  </si>
  <si>
    <r>
      <rPr>
        <sz val="9"/>
        <rFont val="WenQuanYi Zen Hei"/>
        <family val="2"/>
      </rPr>
      <t xml:space="preserve">밸류업</t>
    </r>
    <r>
      <rPr>
        <sz val="9"/>
        <rFont val="Arial"/>
        <family val="0"/>
        <charset val="1"/>
      </rPr>
      <t xml:space="preserve">/M&amp;A</t>
    </r>
  </si>
  <si>
    <r>
      <rPr>
        <sz val="9"/>
        <rFont val="WenQuanYi Zen Hei"/>
        <family val="2"/>
      </rPr>
      <t xml:space="preserve">동양</t>
    </r>
    <r>
      <rPr>
        <sz val="9"/>
        <rFont val="Arial"/>
        <family val="0"/>
        <charset val="1"/>
      </rPr>
      <t xml:space="preserve">·ABL</t>
    </r>
    <r>
      <rPr>
        <sz val="9"/>
        <rFont val="WenQuanYi Zen Hei"/>
        <family val="2"/>
      </rPr>
      <t xml:space="preserve">생명 인수 후 통합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자본비율</t>
    </r>
  </si>
  <si>
    <t xml:space="preserve">298040</t>
  </si>
  <si>
    <t xml:space="preserve">효성중공업</t>
  </si>
  <si>
    <r>
      <rPr>
        <sz val="9"/>
        <rFont val="WenQuanYi Zen Hei"/>
        <family val="2"/>
      </rPr>
      <t xml:space="preserve">효성 그룹 계열분리</t>
    </r>
    <r>
      <rPr>
        <sz val="9"/>
        <rFont val="Arial"/>
        <family val="0"/>
        <charset val="1"/>
      </rPr>
      <t xml:space="preserve">(HS</t>
    </r>
    <r>
      <rPr>
        <sz val="9"/>
        <rFont val="WenQuanYi Zen Hei"/>
        <family val="2"/>
      </rPr>
      <t xml:space="preserve">효성</t>
    </r>
    <r>
      <rPr>
        <sz val="9"/>
        <rFont val="Arial"/>
        <family val="0"/>
        <charset val="1"/>
      </rPr>
      <t xml:space="preserve">) </t>
    </r>
    <r>
      <rPr>
        <sz val="9"/>
        <rFont val="WenQuanYi Zen Hei"/>
        <family val="2"/>
      </rPr>
      <t xml:space="preserve">이후</t>
    </r>
  </si>
  <si>
    <t xml:space="preserve">138040</t>
  </si>
  <si>
    <t xml:space="preserve">메리츠금융지주</t>
  </si>
  <si>
    <t xml:space="preserve">자사주 소각 모범 사례</t>
  </si>
  <si>
    <t xml:space="preserve">096770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</si>
  <si>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이노베이션</t>
    </r>
  </si>
  <si>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구조조정</t>
    </r>
  </si>
  <si>
    <r>
      <rPr>
        <sz val="9"/>
        <rFont val="Arial"/>
        <family val="0"/>
        <charset val="1"/>
      </rPr>
      <t xml:space="preserve">SK E&amp;S </t>
    </r>
    <r>
      <rPr>
        <sz val="9"/>
        <rFont val="WenQuanYi Zen Hei"/>
        <family val="2"/>
      </rPr>
      <t xml:space="preserve">합병 후 </t>
    </r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온 구조조정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배터리 </t>
    </r>
    <r>
      <rPr>
        <sz val="9"/>
        <rFont val="Arial"/>
        <family val="0"/>
        <charset val="1"/>
      </rPr>
      <t xml:space="preserve">downcycle</t>
    </r>
  </si>
  <si>
    <t xml:space="preserve">051910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</si>
  <si>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화학</t>
    </r>
  </si>
  <si>
    <t xml:space="preserve">지분매각</t>
  </si>
  <si>
    <r>
      <rPr>
        <sz val="9"/>
        <rFont val="Arial"/>
        <family val="0"/>
        <charset val="1"/>
      </rPr>
      <t xml:space="preserve">LGES </t>
    </r>
    <r>
      <rPr>
        <sz val="9"/>
        <rFont val="WenQuanYi Zen Hei"/>
        <family val="2"/>
      </rPr>
      <t xml:space="preserve">지분 일부 매각 옵션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배터리 </t>
    </r>
    <r>
      <rPr>
        <sz val="9"/>
        <rFont val="Arial"/>
        <family val="0"/>
        <charset val="1"/>
      </rPr>
      <t xml:space="preserve">downcycle</t>
    </r>
  </si>
  <si>
    <t xml:space="preserve">011200</t>
  </si>
  <si>
    <t xml:space="preserve">HMM</t>
  </si>
  <si>
    <t xml:space="preserve">민영화</t>
  </si>
  <si>
    <r>
      <rPr>
        <sz val="9"/>
        <rFont val="WenQuanYi Zen Hei"/>
        <family val="2"/>
      </rPr>
      <t xml:space="preserve">산은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해진공 지분 매각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민영화</t>
    </r>
    <r>
      <rPr>
        <sz val="9"/>
        <rFont val="Arial"/>
        <family val="0"/>
        <charset val="1"/>
      </rPr>
      <t xml:space="preserve">) </t>
    </r>
    <r>
      <rPr>
        <sz val="9"/>
        <rFont val="WenQuanYi Zen Hei"/>
        <family val="2"/>
      </rPr>
      <t xml:space="preserve">이벤트</t>
    </r>
  </si>
  <si>
    <t xml:space="preserve">017670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</si>
  <si>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텔레콤</t>
    </r>
  </si>
  <si>
    <t xml:space="preserve">구조조정</t>
  </si>
  <si>
    <r>
      <rPr>
        <sz val="9"/>
        <rFont val="WenQuanYi Zen Hei"/>
        <family val="2"/>
      </rPr>
      <t xml:space="preserve">해킹 사태</t>
    </r>
    <r>
      <rPr>
        <sz val="9"/>
        <rFont val="Arial"/>
        <family val="0"/>
        <charset val="1"/>
      </rPr>
      <t xml:space="preserve">(2025) </t>
    </r>
    <r>
      <rPr>
        <sz val="9"/>
        <rFont val="WenQuanYi Zen Hei"/>
        <family val="2"/>
      </rPr>
      <t xml:space="preserve">후유증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주주환원 정책</t>
    </r>
  </si>
  <si>
    <t xml:space="preserve">000150</t>
  </si>
  <si>
    <t xml:space="preserve">두산</t>
  </si>
  <si>
    <r>
      <rPr>
        <sz val="9"/>
        <rFont val="WenQuanYi Zen Hei"/>
        <family val="2"/>
      </rPr>
      <t xml:space="preserve">지주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</t>
    </r>
  </si>
  <si>
    <r>
      <rPr>
        <sz val="9"/>
        <rFont val="WenQuanYi Zen Hei"/>
        <family val="2"/>
      </rPr>
      <t xml:space="preserve">두산밥캣</t>
    </r>
    <r>
      <rPr>
        <sz val="9"/>
        <rFont val="Arial"/>
        <family val="0"/>
        <charset val="1"/>
      </rPr>
      <t xml:space="preserve">-</t>
    </r>
    <r>
      <rPr>
        <sz val="9"/>
        <rFont val="WenQuanYi Zen Hei"/>
        <family val="2"/>
      </rPr>
      <t xml:space="preserve">두산로보틱스 합병 무산</t>
    </r>
    <r>
      <rPr>
        <sz val="9"/>
        <rFont val="Arial"/>
        <family val="0"/>
        <charset val="1"/>
      </rPr>
      <t xml:space="preserve">(2024) </t>
    </r>
    <r>
      <rPr>
        <sz val="9"/>
        <rFont val="WenQuanYi Zen Hei"/>
        <family val="2"/>
      </rPr>
      <t xml:space="preserve">이후 재추진 리스크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두산에너빌리티 지분 </t>
    </r>
    <r>
      <rPr>
        <sz val="9"/>
        <rFont val="Arial"/>
        <family val="0"/>
        <charset val="1"/>
      </rPr>
      <t xml:space="preserve">NAV </t>
    </r>
    <r>
      <rPr>
        <sz val="9"/>
        <rFont val="WenQuanYi Zen Hei"/>
        <family val="2"/>
      </rPr>
      <t xml:space="preserve">디스카운트</t>
    </r>
  </si>
  <si>
    <t xml:space="preserve">033780</t>
  </si>
  <si>
    <t xml:space="preserve">KT&amp;G</t>
  </si>
  <si>
    <t xml:space="preserve">행동주의</t>
  </si>
  <si>
    <r>
      <rPr>
        <sz val="9"/>
        <rFont val="Arial"/>
        <family val="0"/>
        <charset val="1"/>
      </rPr>
      <t xml:space="preserve">FCP </t>
    </r>
    <r>
      <rPr>
        <sz val="9"/>
        <rFont val="WenQuanYi Zen Hei"/>
        <family val="2"/>
      </rPr>
      <t xml:space="preserve">등 행동주의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자사주 소각</t>
    </r>
  </si>
  <si>
    <t xml:space="preserve">003550</t>
  </si>
  <si>
    <t xml:space="preserve">LG</t>
  </si>
  <si>
    <r>
      <rPr>
        <sz val="9"/>
        <rFont val="WenQuanYi Zen Hei"/>
        <family val="2"/>
      </rPr>
      <t xml:space="preserve">지주 디스카운트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자사주 소각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상법개정 수혜</t>
    </r>
  </si>
  <si>
    <t xml:space="preserve">267250</t>
  </si>
  <si>
    <r>
      <rPr>
        <sz val="9"/>
        <rFont val="Arial"/>
        <family val="0"/>
        <charset val="1"/>
      </rPr>
      <t xml:space="preserve">HD</t>
    </r>
    <r>
      <rPr>
        <sz val="9"/>
        <rFont val="WenQuanYi Zen Hei"/>
        <family val="2"/>
      </rPr>
      <t xml:space="preserve">현대</t>
    </r>
  </si>
  <si>
    <r>
      <rPr>
        <sz val="9"/>
        <rFont val="WenQuanYi Zen Hei"/>
        <family val="2"/>
      </rPr>
      <t xml:space="preserve">조선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전력기기 자회사 </t>
    </r>
    <r>
      <rPr>
        <sz val="9"/>
        <rFont val="Arial"/>
        <family val="0"/>
        <charset val="1"/>
      </rPr>
      <t xml:space="preserve">NAV </t>
    </r>
    <r>
      <rPr>
        <sz val="9"/>
        <rFont val="WenQuanYi Zen Hei"/>
        <family val="2"/>
      </rPr>
      <t xml:space="preserve">디스카운트</t>
    </r>
  </si>
  <si>
    <t xml:space="preserve">035720</t>
  </si>
  <si>
    <t xml:space="preserve">카카오</t>
  </si>
  <si>
    <r>
      <rPr>
        <sz val="9"/>
        <rFont val="WenQuanYi Zen Hei"/>
        <family val="2"/>
      </rPr>
      <t xml:space="preserve">비핵심 계열사 매각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지배구조 이슈</t>
    </r>
  </si>
  <si>
    <t xml:space="preserve">086280</t>
  </si>
  <si>
    <t xml:space="preserve">현대글로비스</t>
  </si>
  <si>
    <r>
      <rPr>
        <sz val="9"/>
        <rFont val="WenQuanYi Zen Hei"/>
        <family val="2"/>
      </rPr>
      <t xml:space="preserve">총수일가 지분 핵심 계열사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승계 이벤트</t>
    </r>
  </si>
  <si>
    <t xml:space="preserve">030200</t>
  </si>
  <si>
    <t xml:space="preserve">KT</t>
  </si>
  <si>
    <r>
      <rPr>
        <sz val="9"/>
        <rFont val="WenQuanYi Zen Hei"/>
        <family val="2"/>
      </rPr>
      <t xml:space="preserve">자사주 소각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현대차 최대주주 구도</t>
    </r>
  </si>
  <si>
    <t xml:space="preserve">003490</t>
  </si>
  <si>
    <t xml:space="preserve">대한항공</t>
  </si>
  <si>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통합</t>
    </r>
  </si>
  <si>
    <r>
      <rPr>
        <sz val="9"/>
        <rFont val="WenQuanYi Zen Hei"/>
        <family val="2"/>
      </rPr>
      <t xml:space="preserve">아시아나 합병</t>
    </r>
    <r>
      <rPr>
        <sz val="9"/>
        <rFont val="Arial"/>
        <family val="0"/>
        <charset val="1"/>
      </rPr>
      <t xml:space="preserve">(2024-12) </t>
    </r>
    <r>
      <rPr>
        <sz val="9"/>
        <rFont val="WenQuanYi Zen Hei"/>
        <family val="2"/>
      </rPr>
      <t xml:space="preserve">후 통합 시너지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부채</t>
    </r>
  </si>
  <si>
    <t xml:space="preserve">180640</t>
  </si>
  <si>
    <t xml:space="preserve">한진칼</t>
  </si>
  <si>
    <t xml:space="preserve">경영권</t>
  </si>
  <si>
    <r>
      <rPr>
        <sz val="9"/>
        <rFont val="WenQuanYi Zen Hei"/>
        <family val="2"/>
      </rPr>
      <t xml:space="preserve">아시아나 통합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호반 지분 매입</t>
    </r>
    <r>
      <rPr>
        <sz val="9"/>
        <rFont val="Arial"/>
        <family val="0"/>
        <charset val="1"/>
      </rPr>
      <t xml:space="preserve">(2025) </t>
    </r>
    <r>
      <rPr>
        <sz val="9"/>
        <rFont val="WenQuanYi Zen Hei"/>
        <family val="2"/>
      </rPr>
      <t xml:space="preserve">경영권 이슈</t>
    </r>
  </si>
  <si>
    <t xml:space="preserve">0126Z0</t>
  </si>
  <si>
    <t xml:space="preserve">삼성에피스홀딩스</t>
  </si>
  <si>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신규상장</t>
    </r>
  </si>
  <si>
    <r>
      <rPr>
        <sz val="9"/>
        <rFont val="WenQuanYi Zen Hei"/>
        <family val="2"/>
      </rPr>
      <t xml:space="preserve">삼성바이오로직스 인적분할 신설법인</t>
    </r>
    <r>
      <rPr>
        <sz val="9"/>
        <rFont val="Arial"/>
        <family val="0"/>
        <charset val="1"/>
      </rPr>
      <t xml:space="preserve">(2025-11). </t>
    </r>
    <r>
      <rPr>
        <sz val="9"/>
        <rFont val="WenQuanYi Zen Hei"/>
        <family val="2"/>
      </rPr>
      <t xml:space="preserve">바이오시밀러 순수 </t>
    </r>
    <r>
      <rPr>
        <sz val="9"/>
        <rFont val="Arial"/>
        <family val="0"/>
        <charset val="1"/>
      </rPr>
      <t xml:space="preserve">exposure</t>
    </r>
  </si>
  <si>
    <r>
      <rPr>
        <sz val="9"/>
        <rFont val="Arial"/>
        <family val="0"/>
        <charset val="1"/>
      </rPr>
      <t xml:space="preserve">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</si>
  <si>
    <t xml:space="preserve">000880</t>
  </si>
  <si>
    <t xml:space="preserve">한화</t>
  </si>
  <si>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재상장</t>
    </r>
  </si>
  <si>
    <r>
      <rPr>
        <sz val="9"/>
        <rFont val="Arial"/>
        <family val="0"/>
        <charset val="1"/>
      </rPr>
      <t xml:space="preserve">2026-08 </t>
    </r>
    <r>
      <rPr>
        <sz val="9"/>
        <rFont val="WenQuanYi Zen Hei"/>
        <family val="2"/>
      </rPr>
      <t xml:space="preserve">인적분할 후 재상장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한화머시너리앤서비스홀딩스 신설</t>
    </r>
    <r>
      <rPr>
        <sz val="9"/>
        <rFont val="Arial"/>
        <family val="0"/>
        <charset val="1"/>
      </rPr>
      <t xml:space="preserve">). </t>
    </r>
    <r>
      <rPr>
        <sz val="9"/>
        <rFont val="WenQuanYi Zen Hei"/>
        <family val="2"/>
      </rPr>
      <t xml:space="preserve">승계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구조개편 이벤트</t>
    </r>
  </si>
  <si>
    <r>
      <rPr>
        <sz val="9"/>
        <rFont val="WenQuanYi Zen Hei"/>
        <family val="2"/>
      </rPr>
      <t xml:space="preserve">거래정지이력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 재상장 추정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주식수 급변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액면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증자</t>
    </r>
    <r>
      <rPr>
        <sz val="9"/>
        <rFont val="Arial"/>
        <family val="0"/>
        <charset val="1"/>
      </rPr>
      <t xml:space="preserve">)</t>
    </r>
  </si>
  <si>
    <t xml:space="preserve">047040</t>
  </si>
  <si>
    <t xml:space="preserve">대우건설</t>
  </si>
  <si>
    <t xml:space="preserve">급등</t>
  </si>
  <si>
    <r>
      <rPr>
        <sz val="9"/>
        <rFont val="Arial"/>
        <family val="0"/>
        <charset val="1"/>
      </rPr>
      <t xml:space="preserve">YTD +350%. </t>
    </r>
    <r>
      <rPr>
        <sz val="9"/>
        <rFont val="WenQuanYi Zen Hei"/>
        <family val="2"/>
      </rPr>
      <t xml:space="preserve">건설주 테마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중흥그룹</t>
    </r>
  </si>
  <si>
    <t xml:space="preserve">267270</t>
  </si>
  <si>
    <r>
      <rPr>
        <sz val="9"/>
        <rFont val="Arial"/>
        <family val="0"/>
        <charset val="1"/>
      </rPr>
      <t xml:space="preserve">HD</t>
    </r>
    <r>
      <rPr>
        <sz val="9"/>
        <rFont val="WenQuanYi Zen Hei"/>
        <family val="2"/>
      </rPr>
      <t xml:space="preserve">건설기계</t>
    </r>
  </si>
  <si>
    <t xml:space="preserve">합병</t>
  </si>
  <si>
    <r>
      <rPr>
        <sz val="9"/>
        <rFont val="Arial"/>
        <family val="0"/>
        <charset val="1"/>
      </rPr>
      <t xml:space="preserve">HD</t>
    </r>
    <r>
      <rPr>
        <sz val="9"/>
        <rFont val="WenQuanYi Zen Hei"/>
        <family val="2"/>
      </rPr>
      <t xml:space="preserve">현대건설기계</t>
    </r>
    <r>
      <rPr>
        <sz val="9"/>
        <rFont val="Arial"/>
        <family val="0"/>
        <charset val="1"/>
      </rPr>
      <t xml:space="preserve">+HD</t>
    </r>
    <r>
      <rPr>
        <sz val="9"/>
        <rFont val="WenQuanYi Zen Hei"/>
        <family val="2"/>
      </rPr>
      <t xml:space="preserve">현대인프라코어 합병</t>
    </r>
    <r>
      <rPr>
        <sz val="9"/>
        <rFont val="Arial"/>
        <family val="0"/>
        <charset val="1"/>
      </rPr>
      <t xml:space="preserve">(2026-01 </t>
    </r>
    <r>
      <rPr>
        <sz val="9"/>
        <rFont val="WenQuanYi Zen Hei"/>
        <family val="2"/>
      </rPr>
      <t xml:space="preserve">완료</t>
    </r>
    <r>
      <rPr>
        <sz val="9"/>
        <rFont val="Arial"/>
        <family val="0"/>
        <charset val="1"/>
      </rPr>
      <t xml:space="preserve">). post-merger </t>
    </r>
    <r>
      <rPr>
        <sz val="9"/>
        <rFont val="WenQuanYi Zen Hei"/>
        <family val="2"/>
      </rPr>
      <t xml:space="preserve">시너지</t>
    </r>
  </si>
  <si>
    <t xml:space="preserve">005387</t>
  </si>
  <si>
    <r>
      <rPr>
        <sz val="9"/>
        <rFont val="WenQuanYi Zen Hei"/>
        <family val="2"/>
      </rPr>
      <t xml:space="preserve">현대차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B</t>
    </r>
  </si>
  <si>
    <r>
      <rPr>
        <sz val="9"/>
        <rFont val="WenQuanYi Zen Hei"/>
        <family val="2"/>
      </rPr>
      <t xml:space="preserve">현대차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B </t>
    </r>
    <r>
      <rPr>
        <sz val="9"/>
        <rFont val="WenQuanYi Zen Hei"/>
        <family val="2"/>
      </rPr>
      <t xml:space="preserve">괴리율 </t>
    </r>
    <r>
      <rPr>
        <sz val="9"/>
        <rFont val="Arial"/>
        <family val="0"/>
        <charset val="1"/>
      </rPr>
      <t xml:space="preserve">-52%, </t>
    </r>
    <r>
      <rPr>
        <sz val="9"/>
        <rFont val="WenQuanYi Zen Hei"/>
        <family val="2"/>
      </rPr>
      <t xml:space="preserve">유동성 양호</t>
    </r>
  </si>
  <si>
    <t xml:space="preserve">128940</t>
  </si>
  <si>
    <t xml:space="preserve">한미약품</t>
  </si>
  <si>
    <r>
      <rPr>
        <sz val="9"/>
        <rFont val="WenQuanYi Zen Hei"/>
        <family val="2"/>
      </rPr>
      <t xml:space="preserve">한미사이언스 자회사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지배구조 정리 시 재평가</t>
    </r>
  </si>
  <si>
    <t xml:space="preserve">271560</t>
  </si>
  <si>
    <t xml:space="preserve">오리온</t>
  </si>
  <si>
    <t xml:space="preserve">지주구조</t>
  </si>
  <si>
    <t xml:space="preserve">오리온홀딩스 지주 디스카운트</t>
  </si>
  <si>
    <t xml:space="preserve">454910</t>
  </si>
  <si>
    <t xml:space="preserve">두산로보틱스</t>
  </si>
  <si>
    <r>
      <rPr>
        <sz val="9"/>
        <rFont val="WenQuanYi Zen Hei"/>
        <family val="2"/>
      </rPr>
      <t xml:space="preserve">두산밥캣 합병 재추진 가능성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합병비율 논란 재발 리스크</t>
    </r>
  </si>
  <si>
    <t xml:space="preserve">001040</t>
  </si>
  <si>
    <t xml:space="preserve">CJ</t>
  </si>
  <si>
    <r>
      <rPr>
        <sz val="9"/>
        <rFont val="WenQuanYi Zen Hei"/>
        <family val="2"/>
      </rPr>
      <t xml:space="preserve">지주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승계</t>
    </r>
  </si>
  <si>
    <r>
      <rPr>
        <sz val="9"/>
        <rFont val="WenQuanYi Zen Hei"/>
        <family val="2"/>
      </rPr>
      <t xml:space="preserve">올리브영 </t>
    </r>
    <r>
      <rPr>
        <sz val="9"/>
        <rFont val="Arial"/>
        <family val="0"/>
        <charset val="1"/>
      </rPr>
      <t xml:space="preserve">IPO/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·CJ4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전환</t>
    </r>
    <r>
      <rPr>
        <sz val="9"/>
        <rFont val="Arial"/>
        <family val="0"/>
        <charset val="1"/>
      </rPr>
      <t xml:space="preserve">) 2029 </t>
    </r>
    <r>
      <rPr>
        <sz val="9"/>
        <rFont val="WenQuanYi Zen Hei"/>
        <family val="2"/>
      </rPr>
      <t xml:space="preserve">보통주 전환</t>
    </r>
  </si>
  <si>
    <t xml:space="preserve">018880</t>
  </si>
  <si>
    <t xml:space="preserve">한온시스템</t>
  </si>
  <si>
    <r>
      <rPr>
        <sz val="9"/>
        <rFont val="WenQuanYi Zen Hei"/>
        <family val="2"/>
      </rPr>
      <t xml:space="preserve">한국앤컴퍼니 인수</t>
    </r>
    <r>
      <rPr>
        <sz val="9"/>
        <rFont val="Arial"/>
        <family val="0"/>
        <charset val="1"/>
      </rPr>
      <t xml:space="preserve">(2024-25) </t>
    </r>
    <r>
      <rPr>
        <sz val="9"/>
        <rFont val="WenQuanYi Zen Hei"/>
        <family val="2"/>
      </rPr>
      <t xml:space="preserve">후 구조조정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증자</t>
    </r>
  </si>
  <si>
    <t xml:space="preserve">004170</t>
  </si>
  <si>
    <t xml:space="preserve">신세계</t>
  </si>
  <si>
    <t xml:space="preserve">계열분리</t>
  </si>
  <si>
    <r>
      <rPr>
        <sz val="9"/>
        <rFont val="WenQuanYi Zen Hei"/>
        <family val="2"/>
      </rPr>
      <t xml:space="preserve">신세계</t>
    </r>
    <r>
      <rPr>
        <sz val="9"/>
        <rFont val="Arial"/>
        <family val="0"/>
        <charset val="1"/>
      </rPr>
      <t xml:space="preserve">-</t>
    </r>
    <r>
      <rPr>
        <sz val="9"/>
        <rFont val="WenQuanYi Zen Hei"/>
        <family val="2"/>
      </rPr>
      <t xml:space="preserve">이마트 계열분리</t>
    </r>
    <r>
      <rPr>
        <sz val="9"/>
        <rFont val="Arial"/>
        <family val="0"/>
        <charset val="1"/>
      </rPr>
      <t xml:space="preserve">(2025). </t>
    </r>
    <r>
      <rPr>
        <sz val="9"/>
        <rFont val="WenQuanYi Zen Hei"/>
        <family val="2"/>
      </rPr>
      <t xml:space="preserve">자산가치 재평가</t>
    </r>
  </si>
  <si>
    <t xml:space="preserve">008930</t>
  </si>
  <si>
    <t xml:space="preserve">한미사이언스</t>
  </si>
  <si>
    <r>
      <rPr>
        <sz val="9"/>
        <rFont val="WenQuanYi Zen Hei"/>
        <family val="2"/>
      </rPr>
      <t xml:space="preserve">한미약품그룹 경영권 분쟁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가족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라데팡스 등</t>
    </r>
    <r>
      <rPr>
        <sz val="9"/>
        <rFont val="Arial"/>
        <family val="0"/>
        <charset val="1"/>
      </rPr>
      <t xml:space="preserve">). </t>
    </r>
    <r>
      <rPr>
        <sz val="9"/>
        <rFont val="WenQuanYi Zen Hei"/>
        <family val="2"/>
      </rPr>
      <t xml:space="preserve">거래대금 급증으로 이벤트 진행 중 시사</t>
    </r>
  </si>
  <si>
    <r>
      <rPr>
        <sz val="9"/>
        <rFont val="WenQuanYi Zen Hei"/>
        <family val="2"/>
      </rPr>
      <t xml:space="preserve">거래대금 급증</t>
    </r>
    <r>
      <rPr>
        <sz val="9"/>
        <rFont val="Arial"/>
        <family val="0"/>
        <charset val="1"/>
      </rPr>
      <t xml:space="preserve">(20D/120D≥2.5x);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</t>
    </r>
  </si>
  <si>
    <t xml:space="preserve">009155</t>
  </si>
  <si>
    <t xml:space="preserve">삼성전기우</t>
  </si>
  <si>
    <r>
      <rPr>
        <sz val="9"/>
        <rFont val="WenQuanYi Zen Hei"/>
        <family val="2"/>
      </rPr>
      <t xml:space="preserve">삼성전기 우선주 괴리율 </t>
    </r>
    <r>
      <rPr>
        <sz val="9"/>
        <rFont val="Arial"/>
        <family val="0"/>
        <charset val="1"/>
      </rPr>
      <t xml:space="preserve">-63%, </t>
    </r>
    <r>
      <rPr>
        <sz val="9"/>
        <rFont val="WenQuanYi Zen Hei"/>
        <family val="2"/>
      </rPr>
      <t xml:space="preserve">유동성 양호</t>
    </r>
  </si>
  <si>
    <r>
      <rPr>
        <sz val="9"/>
        <rFont val="Arial"/>
        <family val="0"/>
        <charset val="1"/>
      </rPr>
      <t xml:space="preserve">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</t>
    </r>
    <r>
      <rPr>
        <sz val="9"/>
        <rFont val="WenQuanYi Zen Hei"/>
        <family val="2"/>
      </rPr>
      <t xml:space="preserve">우선주</t>
    </r>
  </si>
  <si>
    <t xml:space="preserve">183300</t>
  </si>
  <si>
    <t xml:space="preserve">코미코</t>
  </si>
  <si>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자본변동</t>
    </r>
  </si>
  <si>
    <r>
      <rPr>
        <sz val="9"/>
        <rFont val="Arial"/>
        <family val="0"/>
        <charset val="1"/>
      </rPr>
      <t xml:space="preserve">2026 </t>
    </r>
    <r>
      <rPr>
        <sz val="9"/>
        <rFont val="WenQuanYi Zen Hei"/>
        <family val="2"/>
      </rPr>
      <t xml:space="preserve">주식수 급변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거래정지 이력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 구조 확인</t>
    </r>
  </si>
  <si>
    <r>
      <rPr>
        <sz val="9"/>
        <rFont val="WenQuanYi Zen Hei"/>
        <family val="2"/>
      </rPr>
      <t xml:space="preserve">거래정지이력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 재상장 추정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주식수 급변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액면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증자</t>
    </r>
    <r>
      <rPr>
        <sz val="9"/>
        <rFont val="Arial"/>
        <family val="0"/>
        <charset val="1"/>
      </rPr>
      <t xml:space="preserve">); 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</si>
  <si>
    <t xml:space="preserve">241560</t>
  </si>
  <si>
    <t xml:space="preserve">두산밥캣</t>
  </si>
  <si>
    <r>
      <rPr>
        <sz val="9"/>
        <rFont val="WenQuanYi Zen Hei"/>
        <family val="2"/>
      </rPr>
      <t xml:space="preserve">두산 구조개편 대상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저</t>
    </r>
    <r>
      <rPr>
        <sz val="9"/>
        <rFont val="Arial"/>
        <family val="0"/>
        <charset val="1"/>
      </rPr>
      <t xml:space="preserve">PBR·</t>
    </r>
    <r>
      <rPr>
        <sz val="9"/>
        <rFont val="WenQuanYi Zen Hei"/>
        <family val="2"/>
      </rPr>
      <t xml:space="preserve">밸류업 후보</t>
    </r>
  </si>
  <si>
    <t xml:space="preserve">011170</t>
  </si>
  <si>
    <t xml:space="preserve">롯데케미칼</t>
  </si>
  <si>
    <r>
      <rPr>
        <sz val="9"/>
        <rFont val="WenQuanYi Zen Hei"/>
        <family val="2"/>
      </rPr>
      <t xml:space="preserve">롯데케미칼 자산매각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구조조정</t>
    </r>
  </si>
  <si>
    <t xml:space="preserve">139480</t>
  </si>
  <si>
    <t xml:space="preserve">이마트</t>
  </si>
  <si>
    <r>
      <rPr>
        <sz val="9"/>
        <rFont val="WenQuanYi Zen Hei"/>
        <family val="2"/>
      </rPr>
      <t xml:space="preserve">계열분리</t>
    </r>
    <r>
      <rPr>
        <sz val="9"/>
        <rFont val="Arial"/>
        <family val="0"/>
        <charset val="1"/>
      </rPr>
      <t xml:space="preserve">/JV</t>
    </r>
  </si>
  <si>
    <r>
      <rPr>
        <sz val="9"/>
        <rFont val="WenQuanYi Zen Hei"/>
        <family val="2"/>
      </rPr>
      <t xml:space="preserve">알리바바 </t>
    </r>
    <r>
      <rPr>
        <sz val="9"/>
        <rFont val="Arial"/>
        <family val="0"/>
        <charset val="1"/>
      </rPr>
      <t xml:space="preserve">JV·</t>
    </r>
    <r>
      <rPr>
        <sz val="9"/>
        <rFont val="WenQuanYi Zen Hei"/>
        <family val="2"/>
      </rPr>
      <t xml:space="preserve">계열분리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저</t>
    </r>
    <r>
      <rPr>
        <sz val="9"/>
        <rFont val="Arial"/>
        <family val="0"/>
        <charset val="1"/>
      </rPr>
      <t xml:space="preserve">PBR</t>
    </r>
  </si>
  <si>
    <t xml:space="preserve">066575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</si>
  <si>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전자우</t>
    </r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</si>
  <si>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전자 우선주 괴리율 </t>
    </r>
    <r>
      <rPr>
        <sz val="9"/>
        <rFont val="Arial"/>
        <family val="0"/>
        <charset val="1"/>
      </rPr>
      <t xml:space="preserve">-63%</t>
    </r>
  </si>
  <si>
    <t xml:space="preserve">004800</t>
  </si>
  <si>
    <t xml:space="preserve">효성</t>
  </si>
  <si>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지주</t>
    </r>
  </si>
  <si>
    <r>
      <rPr>
        <sz val="9"/>
        <rFont val="WenQuanYi Zen Hei"/>
        <family val="2"/>
      </rPr>
      <t xml:space="preserve">효성</t>
    </r>
    <r>
      <rPr>
        <sz val="9"/>
        <rFont val="Arial"/>
        <family val="0"/>
        <charset val="1"/>
      </rPr>
      <t xml:space="preserve">-HS</t>
    </r>
    <r>
      <rPr>
        <sz val="9"/>
        <rFont val="WenQuanYi Zen Hei"/>
        <family val="2"/>
      </rPr>
      <t xml:space="preserve">효성 계열분리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저유동성</t>
    </r>
  </si>
  <si>
    <t xml:space="preserve">004990</t>
  </si>
  <si>
    <t xml:space="preserve">롯데지주</t>
  </si>
  <si>
    <r>
      <rPr>
        <sz val="9"/>
        <rFont val="WenQuanYi Zen Hei"/>
        <family val="2"/>
      </rPr>
      <t xml:space="preserve">지주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구조조정</t>
    </r>
  </si>
  <si>
    <r>
      <rPr>
        <sz val="9"/>
        <rFont val="WenQuanYi Zen Hei"/>
        <family val="2"/>
      </rPr>
      <t xml:space="preserve">롯데 그룹 유동성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자산매각 구조조정</t>
    </r>
  </si>
  <si>
    <t xml:space="preserve">089860</t>
  </si>
  <si>
    <t xml:space="preserve">롯데렌탈</t>
  </si>
  <si>
    <r>
      <rPr>
        <sz val="9"/>
        <rFont val="Arial"/>
        <family val="0"/>
        <charset val="1"/>
      </rPr>
      <t xml:space="preserve">PE</t>
    </r>
    <r>
      <rPr>
        <sz val="9"/>
        <rFont val="WenQuanYi Zen Hei"/>
        <family val="2"/>
      </rPr>
      <t xml:space="preserve">인수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공개매수</t>
    </r>
  </si>
  <si>
    <r>
      <rPr>
        <sz val="9"/>
        <rFont val="WenQuanYi Zen Hei"/>
        <family val="2"/>
      </rPr>
      <t xml:space="preserve">어피너티 인수</t>
    </r>
    <r>
      <rPr>
        <sz val="9"/>
        <rFont val="Arial"/>
        <family val="0"/>
        <charset val="1"/>
      </rPr>
      <t xml:space="preserve">(2025) </t>
    </r>
    <r>
      <rPr>
        <sz val="9"/>
        <rFont val="WenQuanYi Zen Hei"/>
        <family val="2"/>
      </rPr>
      <t xml:space="preserve">후 잔여지분 공개매수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상폐 가능성</t>
    </r>
    <r>
      <rPr>
        <sz val="9"/>
        <rFont val="Arial"/>
        <family val="0"/>
        <charset val="1"/>
      </rPr>
      <t xml:space="preserve">. YTD +68%·</t>
    </r>
    <r>
      <rPr>
        <sz val="9"/>
        <rFont val="WenQuanYi Zen Hei"/>
        <family val="2"/>
      </rPr>
      <t xml:space="preserve">거래대금 급증</t>
    </r>
  </si>
  <si>
    <r>
      <rPr>
        <sz val="9"/>
        <rFont val="WenQuanYi Zen Hei"/>
        <family val="2"/>
      </rPr>
      <t xml:space="preserve">거래대금 급증</t>
    </r>
    <r>
      <rPr>
        <sz val="9"/>
        <rFont val="Arial"/>
        <family val="0"/>
        <charset val="1"/>
      </rPr>
      <t xml:space="preserve">(20D/120D≥2.5x)</t>
    </r>
  </si>
  <si>
    <t xml:space="preserve">068760</t>
  </si>
  <si>
    <t xml:space="preserve">셀트리온제약</t>
  </si>
  <si>
    <t xml:space="preserve">셀트리온 합병 대상 논의</t>
  </si>
  <si>
    <t xml:space="preserve">000155</t>
  </si>
  <si>
    <t xml:space="preserve">두산우</t>
  </si>
  <si>
    <r>
      <rPr>
        <sz val="9"/>
        <rFont val="WenQuanYi Zen Hei"/>
        <family val="2"/>
      </rPr>
      <t xml:space="preserve">두산 우선주 괴리율 </t>
    </r>
    <r>
      <rPr>
        <sz val="9"/>
        <rFont val="Arial"/>
        <family val="0"/>
        <charset val="1"/>
      </rPr>
      <t xml:space="preserve">-64%</t>
    </r>
  </si>
  <si>
    <t xml:space="preserve">001800</t>
  </si>
  <si>
    <t xml:space="preserve">오리온홀딩스</t>
  </si>
  <si>
    <r>
      <rPr>
        <sz val="9"/>
        <rFont val="WenQuanYi Zen Hei"/>
        <family val="2"/>
      </rPr>
      <t xml:space="preserve">오리온 지분 </t>
    </r>
    <r>
      <rPr>
        <sz val="9"/>
        <rFont val="Arial"/>
        <family val="0"/>
        <charset val="1"/>
      </rPr>
      <t xml:space="preserve">NAV </t>
    </r>
    <r>
      <rPr>
        <sz val="9"/>
        <rFont val="WenQuanYi Zen Hei"/>
        <family val="2"/>
      </rPr>
      <t xml:space="preserve">디스카운트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저유동성</t>
    </r>
  </si>
  <si>
    <t xml:space="preserve">00680K</t>
  </si>
  <si>
    <r>
      <rPr>
        <sz val="9"/>
        <rFont val="WenQuanYi Zen Hei"/>
        <family val="2"/>
      </rPr>
      <t xml:space="preserve">미래에셋증권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B</t>
    </r>
  </si>
  <si>
    <r>
      <rPr>
        <sz val="9"/>
        <rFont val="WenQuanYi Zen Hei"/>
        <family val="2"/>
      </rPr>
      <t xml:space="preserve">미래에셋증권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B </t>
    </r>
    <r>
      <rPr>
        <sz val="9"/>
        <rFont val="WenQuanYi Zen Hei"/>
        <family val="2"/>
      </rPr>
      <t xml:space="preserve">괴리율 </t>
    </r>
    <r>
      <rPr>
        <sz val="9"/>
        <rFont val="Arial"/>
        <family val="0"/>
        <charset val="1"/>
      </rPr>
      <t xml:space="preserve">-68%</t>
    </r>
  </si>
  <si>
    <r>
      <rPr>
        <sz val="9"/>
        <rFont val="Arial"/>
        <family val="0"/>
        <charset val="1"/>
      </rPr>
      <t xml:space="preserve">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  <r>
      <rPr>
        <sz val="9"/>
        <rFont val="Arial"/>
        <family val="0"/>
        <charset val="1"/>
      </rPr>
      <t xml:space="preserve">; </t>
    </r>
    <r>
      <rPr>
        <sz val="9"/>
        <rFont val="WenQuanYi Zen Hei"/>
        <family val="2"/>
      </rPr>
      <t xml:space="preserve">우선주</t>
    </r>
  </si>
  <si>
    <t xml:space="preserve">002990</t>
  </si>
  <si>
    <t xml:space="preserve">금호건설</t>
  </si>
  <si>
    <r>
      <rPr>
        <sz val="9"/>
        <rFont val="WenQuanYi Zen Hei"/>
        <family val="2"/>
      </rPr>
      <t xml:space="preserve">급등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거래대금</t>
    </r>
  </si>
  <si>
    <r>
      <rPr>
        <sz val="9"/>
        <rFont val="Arial"/>
        <family val="0"/>
        <charset val="1"/>
      </rPr>
      <t xml:space="preserve">YTD +290%·±15%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7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건설주 테마 과열</t>
    </r>
    <r>
      <rPr>
        <sz val="9"/>
        <rFont val="Arial"/>
        <family val="0"/>
        <charset val="1"/>
      </rPr>
      <t xml:space="preserve">, Short cap -4%</t>
    </r>
  </si>
  <si>
    <r>
      <rPr>
        <sz val="9"/>
        <rFont val="WenQuanYi Zen Hei"/>
        <family val="2"/>
      </rPr>
      <t xml:space="preserve">거래대금 급증</t>
    </r>
    <r>
      <rPr>
        <sz val="9"/>
        <rFont val="Arial"/>
        <family val="0"/>
        <charset val="1"/>
      </rPr>
      <t xml:space="preserve">(20D/120D≥2.5x);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1M ±30%/50% </t>
    </r>
    <r>
      <rPr>
        <sz val="9"/>
        <rFont val="WenQuanYi Zen Hei"/>
        <family val="2"/>
      </rPr>
      <t xml:space="preserve">급등락</t>
    </r>
  </si>
  <si>
    <t xml:space="preserve">0220W0</t>
  </si>
  <si>
    <t xml:space="preserve">한화머시너리앤서비스홀딩스</t>
  </si>
  <si>
    <r>
      <rPr>
        <sz val="9"/>
        <rFont val="WenQuanYi Zen Hei"/>
        <family val="2"/>
      </rPr>
      <t xml:space="preserve">한화 분할 신설법인 재상장 </t>
    </r>
    <r>
      <rPr>
        <sz val="9"/>
        <rFont val="Arial"/>
        <family val="0"/>
        <charset val="1"/>
      </rPr>
      <t xml:space="preserve">8</t>
    </r>
    <r>
      <rPr>
        <sz val="9"/>
        <rFont val="WenQuanYi Zen Hei"/>
        <family val="2"/>
      </rPr>
      <t xml:space="preserve">일차</t>
    </r>
    <r>
      <rPr>
        <sz val="9"/>
        <rFont val="Arial"/>
        <family val="0"/>
        <charset val="1"/>
      </rPr>
      <t xml:space="preserve">. post-spin </t>
    </r>
    <r>
      <rPr>
        <sz val="9"/>
        <rFont val="WenQuanYi Zen Hei"/>
        <family val="2"/>
      </rPr>
      <t xml:space="preserve">수급 왜곡 구간</t>
    </r>
  </si>
  <si>
    <r>
      <rPr>
        <sz val="9"/>
        <rFont val="WenQuanYi Zen Hei"/>
        <family val="2"/>
      </rPr>
      <t xml:space="preserve">거래정지이력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 재상장 추정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신규상장</t>
    </r>
    <r>
      <rPr>
        <sz val="9"/>
        <rFont val="Arial"/>
        <family val="0"/>
        <charset val="1"/>
      </rPr>
      <t xml:space="preserve">&lt;120</t>
    </r>
    <r>
      <rPr>
        <sz val="9"/>
        <rFont val="WenQuanYi Zen Hei"/>
        <family val="2"/>
      </rPr>
      <t xml:space="preserve">일</t>
    </r>
  </si>
  <si>
    <t xml:space="preserve">009830</t>
  </si>
  <si>
    <t xml:space="preserve">한화솔루션</t>
  </si>
  <si>
    <t xml:space="preserve">000500</t>
  </si>
  <si>
    <t xml:space="preserve">가온전선</t>
  </si>
  <si>
    <t xml:space="preserve">066970</t>
  </si>
  <si>
    <t xml:space="preserve">엘앤에프</t>
  </si>
  <si>
    <r>
      <rPr>
        <sz val="9"/>
        <rFont val="Arial"/>
        <family val="0"/>
        <charset val="1"/>
      </rPr>
      <t xml:space="preserve">1M ±30%/50% </t>
    </r>
    <r>
      <rPr>
        <sz val="9"/>
        <rFont val="WenQuanYi Zen Hei"/>
        <family val="2"/>
      </rPr>
      <t xml:space="preserve">급등락</t>
    </r>
  </si>
  <si>
    <t xml:space="preserve">005385</t>
  </si>
  <si>
    <t xml:space="preserve">현대차우</t>
  </si>
  <si>
    <t xml:space="preserve">011790</t>
  </si>
  <si>
    <t xml:space="preserve">SKC</t>
  </si>
  <si>
    <r>
      <rPr>
        <sz val="9"/>
        <rFont val="WenQuanYi Zen Hei"/>
        <family val="2"/>
      </rPr>
      <t xml:space="preserve">주식수 급변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액면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증자</t>
    </r>
    <r>
      <rPr>
        <sz val="9"/>
        <rFont val="Arial"/>
        <family val="0"/>
        <charset val="1"/>
      </rPr>
      <t xml:space="preserve">); 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</si>
  <si>
    <t xml:space="preserve">257720</t>
  </si>
  <si>
    <t xml:space="preserve">실리콘투</t>
  </si>
  <si>
    <t xml:space="preserve">347850</t>
  </si>
  <si>
    <t xml:space="preserve">디앤디파마텍</t>
  </si>
  <si>
    <t xml:space="preserve">181710</t>
  </si>
  <si>
    <t xml:space="preserve">NHN</t>
  </si>
  <si>
    <t xml:space="preserve">241710</t>
  </si>
  <si>
    <t xml:space="preserve">코스메카코리아</t>
  </si>
  <si>
    <r>
      <rPr>
        <sz val="9"/>
        <rFont val="WenQuanYi Zen Hei"/>
        <family val="2"/>
      </rPr>
      <t xml:space="preserve">거래대금 급증</t>
    </r>
    <r>
      <rPr>
        <sz val="9"/>
        <rFont val="Arial"/>
        <family val="0"/>
        <charset val="1"/>
      </rPr>
      <t xml:space="preserve">(20D/120D≥2.5x); 1M ±30%/50% </t>
    </r>
    <r>
      <rPr>
        <sz val="9"/>
        <rFont val="WenQuanYi Zen Hei"/>
        <family val="2"/>
      </rPr>
      <t xml:space="preserve">급등락</t>
    </r>
  </si>
  <si>
    <t xml:space="preserve">082920</t>
  </si>
  <si>
    <t xml:space="preserve">비츠로셀</t>
  </si>
  <si>
    <t xml:space="preserve">356860</t>
  </si>
  <si>
    <t xml:space="preserve">티엘비</t>
  </si>
  <si>
    <t xml:space="preserve">950260</t>
  </si>
  <si>
    <r>
      <rPr>
        <sz val="9"/>
        <rFont val="WenQuanYi Zen Hei"/>
        <family val="2"/>
      </rPr>
      <t xml:space="preserve">인제니아테라퓨틱스</t>
    </r>
    <r>
      <rPr>
        <sz val="9"/>
        <rFont val="Arial"/>
        <family val="0"/>
        <charset val="1"/>
      </rPr>
      <t xml:space="preserve">(Reg.S)</t>
    </r>
  </si>
  <si>
    <r>
      <rPr>
        <sz val="9"/>
        <rFont val="WenQuanYi Zen Hei"/>
        <family val="2"/>
      </rPr>
      <t xml:space="preserve">거래정지이력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 재상장 추정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신규상장</t>
    </r>
    <r>
      <rPr>
        <sz val="9"/>
        <rFont val="Arial"/>
        <family val="0"/>
        <charset val="1"/>
      </rPr>
      <t xml:space="preserve">&lt;120</t>
    </r>
    <r>
      <rPr>
        <sz val="9"/>
        <rFont val="WenQuanYi Zen Hei"/>
        <family val="2"/>
      </rPr>
      <t xml:space="preserve">일</t>
    </r>
    <r>
      <rPr>
        <sz val="9"/>
        <rFont val="Arial"/>
        <family val="0"/>
        <charset val="1"/>
      </rPr>
      <t xml:space="preserve">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</t>
    </r>
  </si>
  <si>
    <t xml:space="preserve">476830</t>
  </si>
  <si>
    <t xml:space="preserve">알지노믹스</t>
  </si>
  <si>
    <r>
      <rPr>
        <sz val="9"/>
        <rFont val="WenQuanYi Zen Hei"/>
        <family val="2"/>
      </rPr>
      <t xml:space="preserve">주식수 급변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액면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증자</t>
    </r>
    <r>
      <rPr>
        <sz val="9"/>
        <rFont val="Arial"/>
        <family val="0"/>
        <charset val="1"/>
      </rPr>
      <t xml:space="preserve">);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</si>
  <si>
    <t xml:space="preserve">006110</t>
  </si>
  <si>
    <t xml:space="preserve">삼아알미늄</t>
  </si>
  <si>
    <t xml:space="preserve">005180</t>
  </si>
  <si>
    <t xml:space="preserve">빙그레</t>
  </si>
  <si>
    <t xml:space="preserve">458870</t>
  </si>
  <si>
    <t xml:space="preserve">씨어스</t>
  </si>
  <si>
    <t xml:space="preserve">214370</t>
  </si>
  <si>
    <t xml:space="preserve">케어젠</t>
  </si>
  <si>
    <r>
      <rPr>
        <sz val="9"/>
        <rFont val="Arial"/>
        <family val="0"/>
        <charset val="1"/>
      </rPr>
      <t xml:space="preserve">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  <r>
      <rPr>
        <sz val="9"/>
        <rFont val="Arial"/>
        <family val="0"/>
        <charset val="1"/>
      </rPr>
      <t xml:space="preserve">; 1M ±30%/50% </t>
    </r>
    <r>
      <rPr>
        <sz val="9"/>
        <rFont val="WenQuanYi Zen Hei"/>
        <family val="2"/>
      </rPr>
      <t xml:space="preserve">급등락</t>
    </r>
  </si>
  <si>
    <t xml:space="preserve">060370</t>
  </si>
  <si>
    <r>
      <rPr>
        <sz val="9"/>
        <rFont val="Arial"/>
        <family val="0"/>
        <charset val="1"/>
      </rPr>
      <t xml:space="preserve">LS</t>
    </r>
    <r>
      <rPr>
        <sz val="9"/>
        <rFont val="WenQuanYi Zen Hei"/>
        <family val="2"/>
      </rPr>
      <t xml:space="preserve">마린솔루션</t>
    </r>
  </si>
  <si>
    <t xml:space="preserve">000815</t>
  </si>
  <si>
    <t xml:space="preserve">삼성화재우</t>
  </si>
  <si>
    <t xml:space="preserve">000370</t>
  </si>
  <si>
    <t xml:space="preserve">한화손해보험</t>
  </si>
  <si>
    <t xml:space="preserve">051915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</si>
  <si>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화학우</t>
    </r>
  </si>
  <si>
    <t xml:space="preserve">328130</t>
  </si>
  <si>
    <t xml:space="preserve">루닛</t>
  </si>
  <si>
    <t xml:space="preserve">476060</t>
  </si>
  <si>
    <t xml:space="preserve">온코닉테라퓨틱스</t>
  </si>
  <si>
    <t xml:space="preserve">033790</t>
  </si>
  <si>
    <t xml:space="preserve">피노</t>
  </si>
  <si>
    <r>
      <rPr>
        <sz val="9"/>
        <rFont val="Arial"/>
        <family val="0"/>
        <charset val="1"/>
      </rPr>
      <t xml:space="preserve">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  <r>
      <rPr>
        <sz val="9"/>
        <rFont val="Arial"/>
        <family val="0"/>
        <charset val="1"/>
      </rPr>
      <t xml:space="preserve">; 1M ±30%/50% </t>
    </r>
    <r>
      <rPr>
        <sz val="9"/>
        <rFont val="WenQuanYi Zen Hei"/>
        <family val="2"/>
      </rPr>
      <t xml:space="preserve">급등락</t>
    </r>
  </si>
  <si>
    <t xml:space="preserve">425420</t>
  </si>
  <si>
    <t xml:space="preserve">티에프이</t>
  </si>
  <si>
    <r>
      <rPr>
        <sz val="9"/>
        <rFont val="Arial"/>
        <family val="0"/>
        <charset val="1"/>
      </rPr>
      <t xml:space="preserve">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1M ±30%/50% </t>
    </r>
    <r>
      <rPr>
        <sz val="9"/>
        <rFont val="WenQuanYi Zen Hei"/>
        <family val="2"/>
      </rPr>
      <t xml:space="preserve">급등락</t>
    </r>
  </si>
  <si>
    <t xml:space="preserve">327260</t>
  </si>
  <si>
    <r>
      <rPr>
        <sz val="9"/>
        <rFont val="Arial"/>
        <family val="0"/>
        <charset val="1"/>
      </rPr>
      <t xml:space="preserve">RF</t>
    </r>
    <r>
      <rPr>
        <sz val="9"/>
        <rFont val="WenQuanYi Zen Hei"/>
        <family val="2"/>
      </rPr>
      <t xml:space="preserve">머트리얼즈</t>
    </r>
  </si>
  <si>
    <t xml:space="preserve">456160</t>
  </si>
  <si>
    <t xml:space="preserve">지투지바이오</t>
  </si>
  <si>
    <t xml:space="preserve">00088K</t>
  </si>
  <si>
    <r>
      <rPr>
        <sz val="9"/>
        <rFont val="WenQuanYi Zen Hei"/>
        <family val="2"/>
      </rPr>
      <t xml:space="preserve">한화</t>
    </r>
    <r>
      <rPr>
        <sz val="9"/>
        <rFont val="Arial"/>
        <family val="0"/>
        <charset val="1"/>
      </rPr>
      <t xml:space="preserve">3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B</t>
    </r>
  </si>
  <si>
    <r>
      <rPr>
        <sz val="9"/>
        <rFont val="WenQuanYi Zen Hei"/>
        <family val="2"/>
      </rPr>
      <t xml:space="preserve">거래정지이력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 재상장 추정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주식수 급변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액면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증자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우선주</t>
    </r>
  </si>
  <si>
    <t xml:space="preserve">001510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</si>
  <si>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증권</t>
    </r>
  </si>
  <si>
    <t xml:space="preserve">025980</t>
  </si>
  <si>
    <t xml:space="preserve">아난티</t>
  </si>
  <si>
    <t xml:space="preserve">024850</t>
  </si>
  <si>
    <r>
      <rPr>
        <sz val="9"/>
        <rFont val="Arial"/>
        <family val="0"/>
        <charset val="1"/>
      </rPr>
      <t xml:space="preserve">HLB</t>
    </r>
    <r>
      <rPr>
        <sz val="9"/>
        <rFont val="WenQuanYi Zen Hei"/>
        <family val="2"/>
      </rPr>
      <t xml:space="preserve">이노베이션</t>
    </r>
  </si>
  <si>
    <t xml:space="preserve">041190</t>
  </si>
  <si>
    <t xml:space="preserve">우리기술투자</t>
  </si>
  <si>
    <r>
      <rPr>
        <sz val="9"/>
        <rFont val="WenQuanYi Zen Hei"/>
        <family val="2"/>
      </rPr>
      <t xml:space="preserve">거래대금 급증</t>
    </r>
    <r>
      <rPr>
        <sz val="9"/>
        <rFont val="Arial"/>
        <family val="0"/>
        <charset val="1"/>
      </rPr>
      <t xml:space="preserve">(20D/120D≥2.5x);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</si>
  <si>
    <t xml:space="preserve">484870</t>
  </si>
  <si>
    <t xml:space="preserve">엠앤씨솔루션</t>
  </si>
  <si>
    <t xml:space="preserve">340570</t>
  </si>
  <si>
    <t xml:space="preserve">티앤엘</t>
  </si>
  <si>
    <t xml:space="preserve">397030</t>
  </si>
  <si>
    <t xml:space="preserve">에이프릴바이오</t>
  </si>
  <si>
    <t xml:space="preserve">004710</t>
  </si>
  <si>
    <t xml:space="preserve">한솔테크닉스</t>
  </si>
  <si>
    <t xml:space="preserve">317400</t>
  </si>
  <si>
    <t xml:space="preserve">자이에스앤디</t>
  </si>
  <si>
    <t xml:space="preserve">477850</t>
  </si>
  <si>
    <t xml:space="preserve">마키나락스</t>
  </si>
  <si>
    <r>
      <rPr>
        <sz val="9"/>
        <rFont val="WenQuanYi Zen Hei"/>
        <family val="2"/>
      </rPr>
      <t xml:space="preserve">신규상장</t>
    </r>
    <r>
      <rPr>
        <sz val="9"/>
        <rFont val="Arial"/>
        <family val="0"/>
        <charset val="1"/>
      </rPr>
      <t xml:space="preserve">&lt;120</t>
    </r>
    <r>
      <rPr>
        <sz val="9"/>
        <rFont val="WenQuanYi Zen Hei"/>
        <family val="2"/>
      </rPr>
      <t xml:space="preserve">일</t>
    </r>
    <r>
      <rPr>
        <sz val="9"/>
        <rFont val="Arial"/>
        <family val="0"/>
        <charset val="1"/>
      </rPr>
      <t xml:space="preserve">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</si>
  <si>
    <t xml:space="preserve">439960</t>
  </si>
  <si>
    <t xml:space="preserve">코스모로보틱스</t>
  </si>
  <si>
    <r>
      <rPr>
        <sz val="9"/>
        <rFont val="WenQuanYi Zen Hei"/>
        <family val="2"/>
      </rPr>
      <t xml:space="preserve">신규상장</t>
    </r>
    <r>
      <rPr>
        <sz val="9"/>
        <rFont val="Arial"/>
        <family val="0"/>
        <charset val="1"/>
      </rPr>
      <t xml:space="preserve">&lt;120</t>
    </r>
    <r>
      <rPr>
        <sz val="9"/>
        <rFont val="WenQuanYi Zen Hei"/>
        <family val="2"/>
      </rPr>
      <t xml:space="preserve">일</t>
    </r>
    <r>
      <rPr>
        <sz val="9"/>
        <rFont val="Arial"/>
        <family val="0"/>
        <charset val="1"/>
      </rPr>
      <t xml:space="preserve">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  <r>
      <rPr>
        <sz val="9"/>
        <rFont val="Arial"/>
        <family val="0"/>
        <charset val="1"/>
      </rPr>
      <t xml:space="preserve">; 1M ±30%/50% </t>
    </r>
    <r>
      <rPr>
        <sz val="9"/>
        <rFont val="WenQuanYi Zen Hei"/>
        <family val="2"/>
      </rPr>
      <t xml:space="preserve">급등락</t>
    </r>
  </si>
  <si>
    <t xml:space="preserve">078340</t>
  </si>
  <si>
    <t xml:space="preserve">컴투스</t>
  </si>
  <si>
    <t xml:space="preserve">348340</t>
  </si>
  <si>
    <t xml:space="preserve">뉴로메카</t>
  </si>
  <si>
    <t xml:space="preserve">011930</t>
  </si>
  <si>
    <t xml:space="preserve">신성이엔지</t>
  </si>
  <si>
    <t xml:space="preserve">069540</t>
  </si>
  <si>
    <t xml:space="preserve">빛과전자</t>
  </si>
  <si>
    <t xml:space="preserve">448900</t>
  </si>
  <si>
    <t xml:space="preserve">한국피아이엠</t>
  </si>
  <si>
    <r>
      <rPr>
        <b val="true"/>
        <sz val="13"/>
        <rFont val="Arial"/>
        <family val="0"/>
        <charset val="1"/>
      </rPr>
      <t xml:space="preserve">Parameters (</t>
    </r>
    <r>
      <rPr>
        <b val="true"/>
        <sz val="13"/>
        <rFont val="WenQuanYi Zen Hei"/>
        <family val="2"/>
      </rPr>
      <t xml:space="preserve">파란색 </t>
    </r>
    <r>
      <rPr>
        <b val="true"/>
        <sz val="13"/>
        <rFont val="Arial"/>
        <family val="0"/>
        <charset val="1"/>
      </rPr>
      <t xml:space="preserve">= </t>
    </r>
    <r>
      <rPr>
        <b val="true"/>
        <sz val="13"/>
        <rFont val="WenQuanYi Zen Hei"/>
        <family val="2"/>
      </rPr>
      <t xml:space="preserve">입력값</t>
    </r>
    <r>
      <rPr>
        <b val="true"/>
        <sz val="13"/>
        <rFont val="Arial"/>
        <family val="0"/>
        <charset val="1"/>
      </rPr>
      <t xml:space="preserve">. </t>
    </r>
    <r>
      <rPr>
        <b val="true"/>
        <sz val="13"/>
        <rFont val="WenQuanYi Zen Hei"/>
        <family val="2"/>
      </rPr>
      <t xml:space="preserve">변경 시 </t>
    </r>
    <r>
      <rPr>
        <b val="true"/>
        <sz val="13"/>
        <rFont val="Arial"/>
        <family val="0"/>
        <charset val="1"/>
      </rPr>
      <t xml:space="preserve">Universe/Summary </t>
    </r>
    <r>
      <rPr>
        <b val="true"/>
        <sz val="13"/>
        <rFont val="WenQuanYi Zen Hei"/>
        <family val="2"/>
      </rPr>
      <t xml:space="preserve">재계산</t>
    </r>
    <r>
      <rPr>
        <b val="true"/>
        <sz val="13"/>
        <rFont val="Arial"/>
        <family val="0"/>
        <charset val="1"/>
      </rPr>
      <t xml:space="preserve">)</t>
    </r>
  </si>
  <si>
    <t xml:space="preserve">Parameter</t>
  </si>
  <si>
    <t xml:space="preserve">Value</t>
  </si>
  <si>
    <t xml:space="preserve">Source / Note</t>
  </si>
  <si>
    <r>
      <rPr>
        <sz val="9"/>
        <rFont val="Arial"/>
        <family val="0"/>
        <charset val="1"/>
      </rPr>
      <t xml:space="preserve">Book size 1 (</t>
    </r>
    <r>
      <rPr>
        <sz val="9"/>
        <rFont val="WenQuanYi Zen Hei"/>
        <family val="2"/>
      </rPr>
      <t xml:space="preserve">억원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</si>
  <si>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BBAS </t>
    </r>
    <r>
      <rPr>
        <sz val="9"/>
        <rFont val="WenQuanYi Zen Hei"/>
        <family val="2"/>
      </rPr>
      <t xml:space="preserve">미팅 확인 필요</t>
    </r>
    <r>
      <rPr>
        <sz val="9"/>
        <rFont val="Arial"/>
        <family val="0"/>
        <charset val="1"/>
      </rPr>
      <t xml:space="preserve">: </t>
    </r>
    <r>
      <rPr>
        <sz val="9"/>
        <rFont val="WenQuanYi Zen Hei"/>
        <family val="2"/>
      </rPr>
      <t xml:space="preserve">초기 </t>
    </r>
    <r>
      <rPr>
        <sz val="9"/>
        <rFont val="Arial"/>
        <family val="0"/>
        <charset val="1"/>
      </rPr>
      <t xml:space="preserve">Book 500</t>
    </r>
    <r>
      <rPr>
        <sz val="9"/>
        <rFont val="WenQuanYi Zen Hei"/>
        <family val="2"/>
      </rPr>
      <t xml:space="preserve">억 가정 </t>
    </r>
    <r>
      <rPr>
        <sz val="9"/>
        <rFont val="Arial"/>
        <family val="0"/>
        <charset val="1"/>
      </rPr>
      <t xml:space="preserve">(Guide 2</t>
    </r>
    <r>
      <rPr>
        <sz val="9"/>
        <rFont val="WenQuanYi Zen Hei"/>
        <family val="2"/>
      </rPr>
      <t xml:space="preserve">장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</si>
  <si>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Book size 2 (</t>
    </r>
    <r>
      <rPr>
        <sz val="9"/>
        <rFont val="WenQuanYi Zen Hei"/>
        <family val="2"/>
      </rPr>
      <t xml:space="preserve">억원</t>
    </r>
    <r>
      <rPr>
        <sz val="9"/>
        <rFont val="Arial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</si>
  <si>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증액 시나리오 </t>
    </r>
    <r>
      <rPr>
        <sz val="9"/>
        <rFont val="Arial"/>
        <family val="0"/>
        <charset val="1"/>
      </rPr>
      <t xml:space="preserve">1,000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(Guide 2</t>
    </r>
    <r>
      <rPr>
        <sz val="9"/>
        <rFont val="WenQuanYi Zen Hei"/>
        <family val="2"/>
      </rPr>
      <t xml:space="preserve">장</t>
    </r>
    <r>
      <rPr>
        <sz val="9"/>
        <rFont val="Arial"/>
        <family val="0"/>
        <charset val="1"/>
      </rPr>
      <t xml:space="preserve">)</t>
    </r>
  </si>
  <si>
    <t xml:space="preserve">Daily participation cap (% of ADV)</t>
  </si>
  <si>
    <r>
      <rPr>
        <sz val="9"/>
        <rFont val="WenQuanYi Zen Hei"/>
        <family val="2"/>
      </rPr>
      <t xml:space="preserve">회사 이메일 기준 일일 주문 </t>
    </r>
    <r>
      <rPr>
        <sz val="9"/>
        <rFont val="Arial"/>
        <family val="0"/>
        <charset val="1"/>
      </rPr>
      <t xml:space="preserve">ADV 20% (Guide 5</t>
    </r>
    <r>
      <rPr>
        <sz val="9"/>
        <rFont val="WenQuanYi Zen Hei"/>
        <family val="2"/>
      </rPr>
      <t xml:space="preserve">장</t>
    </r>
    <r>
      <rPr>
        <sz val="9"/>
        <rFont val="Arial"/>
        <family val="0"/>
        <charset val="1"/>
      </rPr>
      <t xml:space="preserve">). lookback </t>
    </r>
    <r>
      <rPr>
        <sz val="9"/>
        <rFont val="WenQuanYi Zen Hei"/>
        <family val="2"/>
      </rPr>
      <t xml:space="preserve">확인 필요</t>
    </r>
  </si>
  <si>
    <t xml:space="preserve">Gross-cut period (days)</t>
  </si>
  <si>
    <r>
      <rPr>
        <sz val="9"/>
        <rFont val="Arial"/>
        <family val="0"/>
        <charset val="1"/>
      </rPr>
      <t xml:space="preserve">BBAS </t>
    </r>
    <r>
      <rPr>
        <sz val="9"/>
        <rFont val="WenQuanYi Zen Hei"/>
        <family val="2"/>
      </rPr>
      <t xml:space="preserve">기타</t>
    </r>
    <r>
      <rPr>
        <sz val="9"/>
        <rFont val="Arial"/>
        <family val="0"/>
        <charset val="1"/>
      </rPr>
      <t xml:space="preserve">: Gross-Cut Period 3</t>
    </r>
    <r>
      <rPr>
        <sz val="9"/>
        <rFont val="WenQuanYi Zen Hei"/>
        <family val="2"/>
      </rPr>
      <t xml:space="preserve">거래일</t>
    </r>
  </si>
  <si>
    <t xml:space="preserve">Stressed ADV haircut</t>
  </si>
  <si>
    <r>
      <rPr>
        <sz val="9"/>
        <rFont val="WenQuanYi Zen Hei"/>
        <family val="2"/>
      </rPr>
      <t xml:space="preserve">가정</t>
    </r>
    <r>
      <rPr>
        <sz val="9"/>
        <rFont val="Arial"/>
        <family val="0"/>
        <charset val="1"/>
      </rPr>
      <t xml:space="preserve">: </t>
    </r>
    <r>
      <rPr>
        <sz val="9"/>
        <rFont val="WenQuanYi Zen Hei"/>
        <family val="2"/>
      </rPr>
      <t xml:space="preserve">스트레스 시 거래대금 </t>
    </r>
    <r>
      <rPr>
        <sz val="9"/>
        <rFont val="Arial"/>
        <family val="0"/>
        <charset val="1"/>
      </rPr>
      <t xml:space="preserve">50% </t>
    </r>
    <r>
      <rPr>
        <sz val="9"/>
        <rFont val="WenQuanYi Zen Hei"/>
        <family val="2"/>
      </rPr>
      <t xml:space="preserve">감소</t>
    </r>
  </si>
  <si>
    <t xml:space="preserve">Single-name position limit</t>
  </si>
  <si>
    <r>
      <rPr>
        <sz val="9"/>
        <rFont val="Arial"/>
        <family val="0"/>
        <charset val="1"/>
      </rPr>
      <t xml:space="preserve">BBAS ② </t>
    </r>
    <r>
      <rPr>
        <sz val="9"/>
        <rFont val="WenQuanYi Zen Hei"/>
        <family val="2"/>
      </rPr>
      <t xml:space="preserve">종목 편입비 제한 </t>
    </r>
    <r>
      <rPr>
        <sz val="9"/>
        <rFont val="Arial"/>
        <family val="0"/>
        <charset val="1"/>
      </rPr>
      <t xml:space="preserve">1: ±6%</t>
    </r>
  </si>
  <si>
    <t xml:space="preserve">Event Play position limit</t>
  </si>
  <si>
    <r>
      <rPr>
        <sz val="9"/>
        <rFont val="Arial"/>
        <family val="0"/>
        <charset val="1"/>
      </rPr>
      <t xml:space="preserve">BBAS ③: ±10%, RM/BBAS </t>
    </r>
    <r>
      <rPr>
        <sz val="9"/>
        <rFont val="WenQuanYi Zen Hei"/>
        <family val="2"/>
      </rPr>
      <t xml:space="preserve">사전승인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최장 </t>
    </r>
    <r>
      <rPr>
        <sz val="9"/>
        <rFont val="Arial"/>
        <family val="0"/>
        <charset val="1"/>
      </rPr>
      <t xml:space="preserve">40</t>
    </r>
    <r>
      <rPr>
        <sz val="9"/>
        <rFont val="WenQuanYi Zen Hei"/>
        <family val="2"/>
      </rPr>
      <t xml:space="preserve">거래일</t>
    </r>
  </si>
  <si>
    <t xml:space="preserve">Mid-cap aggregate bucket</t>
  </si>
  <si>
    <r>
      <rPr>
        <sz val="9"/>
        <rFont val="Arial"/>
        <family val="0"/>
        <charset val="1"/>
      </rPr>
      <t xml:space="preserve">BBAS ⑥: </t>
    </r>
    <r>
      <rPr>
        <sz val="9"/>
        <rFont val="WenQuanYi Zen Hei"/>
        <family val="2"/>
      </rPr>
      <t xml:space="preserve">시총 </t>
    </r>
    <r>
      <rPr>
        <sz val="9"/>
        <rFont val="Arial"/>
        <family val="0"/>
        <charset val="1"/>
      </rPr>
      <t xml:space="preserve">3</t>
    </r>
    <r>
      <rPr>
        <sz val="9"/>
        <rFont val="WenQuanYi Zen Hei"/>
        <family val="2"/>
      </rPr>
      <t xml:space="preserve">천억</t>
    </r>
    <r>
      <rPr>
        <sz val="9"/>
        <rFont val="Arial"/>
        <family val="0"/>
        <charset val="1"/>
      </rPr>
      <t xml:space="preserve">~7</t>
    </r>
    <r>
      <rPr>
        <sz val="9"/>
        <rFont val="WenQuanYi Zen Hei"/>
        <family val="2"/>
      </rPr>
      <t xml:space="preserve">천억 합산 </t>
    </r>
    <r>
      <rPr>
        <sz val="9"/>
        <rFont val="Arial"/>
        <family val="0"/>
        <charset val="1"/>
      </rPr>
      <t xml:space="preserve">7%</t>
    </r>
  </si>
  <si>
    <t xml:space="preserve">Top-5 aggregate limit</t>
  </si>
  <si>
    <r>
      <rPr>
        <sz val="9"/>
        <rFont val="Arial"/>
        <family val="0"/>
        <charset val="1"/>
      </rPr>
      <t xml:space="preserve">BBAS ⑤: Long/Short </t>
    </r>
    <r>
      <rPr>
        <sz val="9"/>
        <rFont val="WenQuanYi Zen Hei"/>
        <family val="2"/>
      </rPr>
      <t xml:space="preserve">각 </t>
    </r>
    <r>
      <rPr>
        <sz val="9"/>
        <rFont val="Arial"/>
        <family val="0"/>
        <charset val="1"/>
      </rPr>
      <t xml:space="preserve">TOP5 </t>
    </r>
    <r>
      <rPr>
        <sz val="9"/>
        <rFont val="WenQuanYi Zen Hei"/>
        <family val="2"/>
      </rPr>
      <t xml:space="preserve">합산 </t>
    </r>
    <r>
      <rPr>
        <sz val="9"/>
        <rFont val="Arial"/>
        <family val="0"/>
        <charset val="1"/>
      </rPr>
      <t xml:space="preserve">25%</t>
    </r>
  </si>
  <si>
    <r>
      <rPr>
        <sz val="9"/>
        <rFont val="Arial"/>
        <family val="0"/>
        <charset val="1"/>
      </rPr>
      <t xml:space="preserve">Min market cap (</t>
    </r>
    <r>
      <rPr>
        <sz val="9"/>
        <rFont val="WenQuanYi Zen Hei"/>
        <family val="2"/>
      </rPr>
      <t xml:space="preserve">억원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</si>
  <si>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BBAS ⑥: 3</t>
    </r>
    <r>
      <rPr>
        <sz val="9"/>
        <rFont val="WenQuanYi Zen Hei"/>
        <family val="2"/>
      </rPr>
      <t xml:space="preserve">천억 미만 편입 불가</t>
    </r>
  </si>
  <si>
    <r>
      <rPr>
        <sz val="9"/>
        <rFont val="Arial"/>
        <family val="0"/>
        <charset val="1"/>
      </rPr>
      <t xml:space="preserve">Mid-cap upper bound (</t>
    </r>
    <r>
      <rPr>
        <sz val="9"/>
        <rFont val="WenQuanYi Zen Hei"/>
        <family val="2"/>
      </rPr>
      <t xml:space="preserve">억원</t>
    </r>
    <r>
      <rPr>
        <sz val="9"/>
        <rFont val="Arial"/>
        <family val="0"/>
        <charset val="1"/>
      </rPr>
      <t xml:space="preserve">)</t>
    </r>
  </si>
  <si>
    <t xml:space="preserve">BBAS ⑥</t>
  </si>
  <si>
    <t xml:space="preserve">Min meaningful alpha position (%NAV)</t>
  </si>
  <si>
    <r>
      <rPr>
        <sz val="9"/>
        <rFont val="WenQuanYi Zen Hei"/>
        <family val="2"/>
      </rPr>
      <t xml:space="preserve">가정</t>
    </r>
    <r>
      <rPr>
        <sz val="9"/>
        <rFont val="Arial"/>
        <family val="0"/>
        <charset val="1"/>
      </rPr>
      <t xml:space="preserve">: 2% </t>
    </r>
    <r>
      <rPr>
        <sz val="9"/>
        <rFont val="WenQuanYi Zen Hei"/>
        <family val="2"/>
      </rPr>
      <t xml:space="preserve">미만이면 </t>
    </r>
    <r>
      <rPr>
        <sz val="9"/>
        <rFont val="Arial"/>
        <family val="0"/>
        <charset val="1"/>
      </rPr>
      <t xml:space="preserve">alpha </t>
    </r>
    <r>
      <rPr>
        <sz val="9"/>
        <rFont val="WenQuanYi Zen Hei"/>
        <family val="2"/>
      </rPr>
      <t xml:space="preserve">기여 미미 → </t>
    </r>
    <r>
      <rPr>
        <sz val="9"/>
        <rFont val="Arial"/>
        <family val="0"/>
        <charset val="1"/>
      </rPr>
      <t xml:space="preserve">Tier A3/B </t>
    </r>
    <r>
      <rPr>
        <sz val="9"/>
        <rFont val="WenQuanYi Zen Hei"/>
        <family val="2"/>
      </rPr>
      <t xml:space="preserve">하한</t>
    </r>
  </si>
  <si>
    <t xml:space="preserve">Net exposure limit</t>
  </si>
  <si>
    <t xml:space="preserve">Min(Gross x 10%, 15%)</t>
  </si>
  <si>
    <r>
      <rPr>
        <sz val="9"/>
        <rFont val="Arial"/>
        <family val="0"/>
        <charset val="1"/>
      </rPr>
      <t xml:space="preserve">BBAS ⑦: Min(Gross×10%, 15%) — </t>
    </r>
    <r>
      <rPr>
        <sz val="9"/>
        <rFont val="WenQuanYi Zen Hei"/>
        <family val="2"/>
      </rPr>
      <t xml:space="preserve">참고용 텍스트</t>
    </r>
  </si>
  <si>
    <r>
      <rPr>
        <b val="true"/>
        <sz val="9"/>
        <rFont val="Arial"/>
        <family val="0"/>
        <charset val="1"/>
      </rPr>
      <t xml:space="preserve">Universe — 492 names (as of 2026-09-03). </t>
    </r>
    <r>
      <rPr>
        <b val="true"/>
        <sz val="9"/>
        <rFont val="WenQuanYi Zen Hei"/>
        <family val="2"/>
      </rPr>
      <t xml:space="preserve">노란 배경 </t>
    </r>
    <r>
      <rPr>
        <b val="true"/>
        <sz val="9"/>
        <rFont val="Arial"/>
        <family val="0"/>
        <charset val="1"/>
      </rPr>
      <t xml:space="preserve">= Special Situation. </t>
    </r>
    <r>
      <rPr>
        <b val="true"/>
        <sz val="9"/>
        <rFont val="WenQuanYi Zen Hei"/>
        <family val="2"/>
      </rPr>
      <t xml:space="preserve">검정 </t>
    </r>
    <r>
      <rPr>
        <b val="true"/>
        <sz val="9"/>
        <rFont val="Arial"/>
        <family val="0"/>
        <charset val="1"/>
      </rPr>
      <t xml:space="preserve">= </t>
    </r>
    <r>
      <rPr>
        <b val="true"/>
        <sz val="9"/>
        <rFont val="WenQuanYi Zen Hei"/>
        <family val="2"/>
      </rPr>
      <t xml:space="preserve">데이터</t>
    </r>
    <r>
      <rPr>
        <b val="true"/>
        <sz val="9"/>
        <rFont val="Arial"/>
        <family val="0"/>
        <charset val="1"/>
      </rPr>
      <t xml:space="preserve">, </t>
    </r>
    <r>
      <rPr>
        <b val="true"/>
        <sz val="9"/>
        <rFont val="WenQuanYi Zen Hei"/>
        <family val="2"/>
      </rPr>
      <t xml:space="preserve">파란 </t>
    </r>
    <r>
      <rPr>
        <b val="true"/>
        <sz val="9"/>
        <rFont val="Arial"/>
        <family val="0"/>
        <charset val="1"/>
      </rPr>
      <t xml:space="preserve">= </t>
    </r>
    <r>
      <rPr>
        <b val="true"/>
        <sz val="9"/>
        <rFont val="WenQuanYi Zen Hei"/>
        <family val="2"/>
      </rPr>
      <t xml:space="preserve">입력</t>
    </r>
    <r>
      <rPr>
        <b val="true"/>
        <sz val="9"/>
        <rFont val="Arial"/>
        <family val="0"/>
        <charset val="1"/>
      </rPr>
      <t xml:space="preserve">, </t>
    </r>
    <r>
      <rPr>
        <b val="true"/>
        <sz val="9"/>
        <rFont val="WenQuanYi Zen Hei"/>
        <family val="2"/>
      </rPr>
      <t xml:space="preserve">초록 </t>
    </r>
    <r>
      <rPr>
        <b val="true"/>
        <sz val="9"/>
        <rFont val="Arial"/>
        <family val="0"/>
        <charset val="1"/>
      </rPr>
      <t xml:space="preserve">= Params </t>
    </r>
    <r>
      <rPr>
        <b val="true"/>
        <sz val="9"/>
        <rFont val="WenQuanYi Zen Hei"/>
        <family val="2"/>
      </rPr>
      <t xml:space="preserve">참조 수식</t>
    </r>
    <r>
      <rPr>
        <b val="true"/>
        <sz val="9"/>
        <rFont val="Arial"/>
        <family val="0"/>
        <charset val="1"/>
      </rPr>
      <t xml:space="preserve">, CIQ </t>
    </r>
    <r>
      <rPr>
        <b val="true"/>
        <sz val="9"/>
        <rFont val="WenQuanYi Zen Hei"/>
        <family val="2"/>
      </rPr>
      <t xml:space="preserve">열 </t>
    </r>
    <r>
      <rPr>
        <b val="true"/>
        <sz val="9"/>
        <rFont val="Arial"/>
        <family val="0"/>
        <charset val="1"/>
      </rPr>
      <t xml:space="preserve">= Capital IQ plug-in </t>
    </r>
    <r>
      <rPr>
        <b val="true"/>
        <sz val="9"/>
        <rFont val="WenQuanYi Zen Hei"/>
        <family val="2"/>
      </rPr>
      <t xml:space="preserve">연결 시 자동</t>
    </r>
  </si>
  <si>
    <t xml:space="preserve">CIQ Ticker</t>
  </si>
  <si>
    <t xml:space="preserve">BBG Ticker</t>
  </si>
  <si>
    <t xml:space="preserve">Sector (KRX)</t>
  </si>
  <si>
    <t xml:space="preserve">Mcap Bucket</t>
  </si>
  <si>
    <t xml:space="preserve">Special Sit</t>
  </si>
  <si>
    <t xml:space="preserve">Close (KRW)</t>
  </si>
  <si>
    <r>
      <rPr>
        <b val="true"/>
        <sz val="9"/>
        <color rgb="FFFFFFFF"/>
        <rFont val="Arial"/>
        <family val="0"/>
        <charset val="1"/>
      </rPr>
      <t xml:space="preserve">Mcap 1M avg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</si>
  <si>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ADV60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</si>
  <si>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ADV min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</si>
  <si>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Daily turnover</t>
  </si>
  <si>
    <t xml:space="preserve">Vol 60D ann.</t>
  </si>
  <si>
    <t xml:space="preserve">Ret 3M</t>
  </si>
  <si>
    <t xml:space="preserve">Ret 6M</t>
  </si>
  <si>
    <t xml:space="preserve">Ret 12M</t>
  </si>
  <si>
    <t xml:space="preserve">Vol spike 20D/120D</t>
  </si>
  <si>
    <r>
      <rPr>
        <b val="true"/>
        <sz val="9"/>
        <color rgb="FFFFFFFF"/>
        <rFont val="Arial"/>
        <family val="0"/>
        <charset val="1"/>
      </rPr>
      <t xml:space="preserve">MaxPos 3D-exit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</si>
  <si>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MaxPos %NAV Book1</t>
  </si>
  <si>
    <t xml:space="preserve">MaxPos %NAV Book2</t>
  </si>
  <si>
    <t xml:space="preserve">DTL 6% Book1 (days)</t>
  </si>
  <si>
    <t xml:space="preserve">DTL 6% Book2 (days)</t>
  </si>
  <si>
    <t xml:space="preserve">DTL 2% Book1 (days)</t>
  </si>
  <si>
    <t xml:space="preserve">Stress MaxPos %NAV Book1</t>
  </si>
  <si>
    <t xml:space="preserve">Stress DTL 6% Book1</t>
  </si>
  <si>
    <t xml:space="preserve">P/E LTM</t>
  </si>
  <si>
    <t xml:space="preserve">P/E NTM</t>
  </si>
  <si>
    <t xml:space="preserve">P/BV</t>
  </si>
  <si>
    <t xml:space="preserve">TEV/EBITDA LTM</t>
  </si>
  <si>
    <t xml:space="preserve">ROE %</t>
  </si>
  <si>
    <t xml:space="preserve">ROIC % (Return on Capital)</t>
  </si>
  <si>
    <t xml:space="preserve">Rev growth 1Y %</t>
  </si>
  <si>
    <t xml:space="preserve">EPS growth 1Y %</t>
  </si>
  <si>
    <t xml:space="preserve">Div yield %</t>
  </si>
  <si>
    <r>
      <rPr>
        <b val="true"/>
        <sz val="9"/>
        <color rgb="FFFFFFFF"/>
        <rFont val="Arial"/>
        <family val="0"/>
        <charset val="1"/>
      </rPr>
      <t xml:space="preserve">Net debt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</si>
  <si>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KOSE:A005930</t>
  </si>
  <si>
    <t xml:space="preserve">005930 KS Equity</t>
  </si>
  <si>
    <t xml:space="preserve">통신 및 방송 장비 제조업</t>
  </si>
  <si>
    <t xml:space="preserve">Y</t>
  </si>
  <si>
    <t xml:space="preserve">000660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</si>
  <si>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하이닉스</t>
    </r>
  </si>
  <si>
    <t xml:space="preserve">KOSE:A000660</t>
  </si>
  <si>
    <t xml:space="preserve">000660 KS Equity</t>
  </si>
  <si>
    <t xml:space="preserve">반도체 제조업</t>
  </si>
  <si>
    <r>
      <rPr>
        <sz val="9"/>
        <rFont val="Arial"/>
        <family val="0"/>
        <charset val="1"/>
      </rPr>
      <t xml:space="preserve">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</t>
    </r>
  </si>
  <si>
    <t xml:space="preserve">KOSE:A005935</t>
  </si>
  <si>
    <t xml:space="preserve">005935 KS Equity</t>
  </si>
  <si>
    <t xml:space="preserve">KOSE:A402340</t>
  </si>
  <si>
    <t xml:space="preserve">402340 KS Equity</t>
  </si>
  <si>
    <t xml:space="preserve">009150</t>
  </si>
  <si>
    <t xml:space="preserve">삼성전기</t>
  </si>
  <si>
    <t xml:space="preserve">KOSE:A009150</t>
  </si>
  <si>
    <t xml:space="preserve">009150 KS Equity</t>
  </si>
  <si>
    <t xml:space="preserve">전자부품 제조업</t>
  </si>
  <si>
    <t xml:space="preserve">373220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</si>
  <si>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에너지솔루션</t>
    </r>
  </si>
  <si>
    <t xml:space="preserve">KOSE:A373220</t>
  </si>
  <si>
    <t xml:space="preserve">373220 KS Equity</t>
  </si>
  <si>
    <t xml:space="preserve">KOSE:A005380</t>
  </si>
  <si>
    <t xml:space="preserve">005380 KS Equity</t>
  </si>
  <si>
    <t xml:space="preserve">자동차용 엔진 및 자동차 제조업</t>
  </si>
  <si>
    <t xml:space="preserve">KOSE:A207940</t>
  </si>
  <si>
    <t xml:space="preserve">207940 KS Equity</t>
  </si>
  <si>
    <t xml:space="preserve">기초 의약물질 및 생물학적 제제 제조업</t>
  </si>
  <si>
    <t xml:space="preserve">KOSE:A105560</t>
  </si>
  <si>
    <t xml:space="preserve">105560 KS Equity</t>
  </si>
  <si>
    <t xml:space="preserve">기타 금융업</t>
  </si>
  <si>
    <t xml:space="preserve">KOSE:A032830</t>
  </si>
  <si>
    <t xml:space="preserve">032830 KS Equity</t>
  </si>
  <si>
    <t xml:space="preserve">보험업</t>
  </si>
  <si>
    <t xml:space="preserve">KOSE:A028260</t>
  </si>
  <si>
    <t xml:space="preserve">028260 KS Equity</t>
  </si>
  <si>
    <t xml:space="preserve">기타 전문 도매업</t>
  </si>
  <si>
    <t xml:space="preserve">KOSE:A012450</t>
  </si>
  <si>
    <t xml:space="preserve">012450 KS Equity</t>
  </si>
  <si>
    <r>
      <rPr>
        <sz val="9"/>
        <rFont val="WenQuanYi Zen Hei"/>
        <family val="2"/>
      </rPr>
      <t xml:space="preserve">항공기</t>
    </r>
    <r>
      <rPr>
        <sz val="9"/>
        <rFont val="Arial"/>
        <family val="0"/>
        <charset val="1"/>
      </rPr>
      <t xml:space="preserve">,</t>
    </r>
    <r>
      <rPr>
        <sz val="9"/>
        <rFont val="WenQuanYi Zen Hei"/>
        <family val="2"/>
      </rPr>
      <t xml:space="preserve">우주선 및 부품 제조업</t>
    </r>
  </si>
  <si>
    <t xml:space="preserve">KOSE:A055550</t>
  </si>
  <si>
    <t xml:space="preserve">055550 KS Equity</t>
  </si>
  <si>
    <t xml:space="preserve">KOSE:A034020</t>
  </si>
  <si>
    <t xml:space="preserve">034020 KS Equity</t>
  </si>
  <si>
    <t xml:space="preserve">일반 목적용 기계 제조업</t>
  </si>
  <si>
    <t xml:space="preserve">000270</t>
  </si>
  <si>
    <t xml:space="preserve">기아</t>
  </si>
  <si>
    <t xml:space="preserve">KOSE:A000270</t>
  </si>
  <si>
    <t xml:space="preserve">000270 KS Equity</t>
  </si>
  <si>
    <t xml:space="preserve">329180</t>
  </si>
  <si>
    <r>
      <rPr>
        <sz val="9"/>
        <rFont val="Arial"/>
        <family val="0"/>
        <charset val="1"/>
      </rPr>
      <t xml:space="preserve">HD</t>
    </r>
    <r>
      <rPr>
        <sz val="9"/>
        <rFont val="WenQuanYi Zen Hei"/>
        <family val="2"/>
      </rPr>
      <t xml:space="preserve">현대중공업</t>
    </r>
  </si>
  <si>
    <t xml:space="preserve">KOSE:A329180</t>
  </si>
  <si>
    <t xml:space="preserve">329180 KS Equity</t>
  </si>
  <si>
    <t xml:space="preserve">KOSE:A068270</t>
  </si>
  <si>
    <t xml:space="preserve">068270 KS Equity</t>
  </si>
  <si>
    <t xml:space="preserve">006400</t>
  </si>
  <si>
    <r>
      <rPr>
        <sz val="9"/>
        <rFont val="WenQuanYi Zen Hei"/>
        <family val="2"/>
      </rPr>
      <t xml:space="preserve">삼성</t>
    </r>
    <r>
      <rPr>
        <sz val="9"/>
        <rFont val="Arial"/>
        <family val="0"/>
        <charset val="1"/>
      </rPr>
      <t xml:space="preserve">SDI</t>
    </r>
  </si>
  <si>
    <t xml:space="preserve">KOSE:A006400</t>
  </si>
  <si>
    <t xml:space="preserve">006400 KS Equity</t>
  </si>
  <si>
    <t xml:space="preserve">일차전지 및 축전지 제조업</t>
  </si>
  <si>
    <t xml:space="preserve">KOSE:A034730</t>
  </si>
  <si>
    <t xml:space="preserve">034730 KS Equity</t>
  </si>
  <si>
    <t xml:space="preserve">KOSE:A086790</t>
  </si>
  <si>
    <t xml:space="preserve">086790 KS Equity</t>
  </si>
  <si>
    <t xml:space="preserve">KOSE:A012330</t>
  </si>
  <si>
    <t xml:space="preserve">012330 KS Equity</t>
  </si>
  <si>
    <t xml:space="preserve">자동차 신품 부품 제조업</t>
  </si>
  <si>
    <t xml:space="preserve">KOSE:A066570</t>
  </si>
  <si>
    <t xml:space="preserve">066570 KS Equity</t>
  </si>
  <si>
    <t xml:space="preserve">KOSE:A035420</t>
  </si>
  <si>
    <t xml:space="preserve">035420 KS Equity</t>
  </si>
  <si>
    <r>
      <rPr>
        <sz val="9"/>
        <rFont val="WenQuanYi Zen Hei"/>
        <family val="2"/>
      </rPr>
      <t xml:space="preserve">자료처리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호스팅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포털 및 기타 인터넷 정보매개 서비스업</t>
    </r>
  </si>
  <si>
    <t xml:space="preserve">000810</t>
  </si>
  <si>
    <t xml:space="preserve">삼성화재</t>
  </si>
  <si>
    <t xml:space="preserve">KOSE:A000810</t>
  </si>
  <si>
    <t xml:space="preserve">000810 KS Equity</t>
  </si>
  <si>
    <t xml:space="preserve">KOSE:A010120</t>
  </si>
  <si>
    <t xml:space="preserve">010120 KS Equity</t>
  </si>
  <si>
    <r>
      <rPr>
        <sz val="9"/>
        <rFont val="WenQuanYi Zen Hei"/>
        <family val="2"/>
      </rPr>
      <t xml:space="preserve">전동기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발전기 및 전기 변환 </t>
    </r>
    <r>
      <rPr>
        <sz val="9"/>
        <rFont val="Arial"/>
        <family val="0"/>
        <charset val="1"/>
      </rPr>
      <t xml:space="preserve">· </t>
    </r>
    <r>
      <rPr>
        <sz val="9"/>
        <rFont val="WenQuanYi Zen Hei"/>
        <family val="2"/>
      </rPr>
      <t xml:space="preserve">공급 </t>
    </r>
    <r>
      <rPr>
        <sz val="9"/>
        <rFont val="Arial"/>
        <family val="0"/>
        <charset val="1"/>
      </rPr>
      <t xml:space="preserve">· </t>
    </r>
    <r>
      <rPr>
        <sz val="9"/>
        <rFont val="WenQuanYi Zen Hei"/>
        <family val="2"/>
      </rPr>
      <t xml:space="preserve">제어 장치 제조업</t>
    </r>
  </si>
  <si>
    <t xml:space="preserve">KOSE:A005490</t>
  </si>
  <si>
    <t xml:space="preserve">005490 KS Equity</t>
  </si>
  <si>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차 철강 제조업</t>
    </r>
  </si>
  <si>
    <t xml:space="preserve">042660</t>
  </si>
  <si>
    <t xml:space="preserve">한화오션</t>
  </si>
  <si>
    <t xml:space="preserve">KOSE:A042660</t>
  </si>
  <si>
    <t xml:space="preserve">042660 KS Equity</t>
  </si>
  <si>
    <t xml:space="preserve">선박 및 보트 건조업</t>
  </si>
  <si>
    <t xml:space="preserve">KOSE:A010130</t>
  </si>
  <si>
    <t xml:space="preserve">010130 KS Equity</t>
  </si>
  <si>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차 비철금속 제조업</t>
    </r>
  </si>
  <si>
    <t xml:space="preserve">KOSE:A316140</t>
  </si>
  <si>
    <t xml:space="preserve">316140 KS Equity</t>
  </si>
  <si>
    <t xml:space="preserve">267260</t>
  </si>
  <si>
    <r>
      <rPr>
        <sz val="9"/>
        <rFont val="Arial"/>
        <family val="0"/>
        <charset val="1"/>
      </rPr>
      <t xml:space="preserve">HD</t>
    </r>
    <r>
      <rPr>
        <sz val="9"/>
        <rFont val="WenQuanYi Zen Hei"/>
        <family val="2"/>
      </rPr>
      <t xml:space="preserve">현대일렉트릭</t>
    </r>
  </si>
  <si>
    <t xml:space="preserve">KOSE:A267260</t>
  </si>
  <si>
    <t xml:space="preserve">267260 KS Equity</t>
  </si>
  <si>
    <t xml:space="preserve">KOSE:A298040</t>
  </si>
  <si>
    <t xml:space="preserve">298040 KS Equity</t>
  </si>
  <si>
    <t xml:space="preserve">009540</t>
  </si>
  <si>
    <r>
      <rPr>
        <sz val="9"/>
        <rFont val="Arial"/>
        <family val="0"/>
        <charset val="1"/>
      </rPr>
      <t xml:space="preserve">HD</t>
    </r>
    <r>
      <rPr>
        <sz val="9"/>
        <rFont val="WenQuanYi Zen Hei"/>
        <family val="2"/>
      </rPr>
      <t xml:space="preserve">한국조선해양</t>
    </r>
  </si>
  <si>
    <t xml:space="preserve">KOSE:A009540</t>
  </si>
  <si>
    <t xml:space="preserve">009540 KS Equity</t>
  </si>
  <si>
    <t xml:space="preserve">KOSE:A138040</t>
  </si>
  <si>
    <t xml:space="preserve">138040 KS Equity</t>
  </si>
  <si>
    <t xml:space="preserve">KOSE:A096770</t>
  </si>
  <si>
    <t xml:space="preserve">096770 KS Equity</t>
  </si>
  <si>
    <t xml:space="preserve">015760</t>
  </si>
  <si>
    <t xml:space="preserve">한국전력</t>
  </si>
  <si>
    <t xml:space="preserve">KOSE:A015760</t>
  </si>
  <si>
    <t xml:space="preserve">015760 KS Equity</t>
  </si>
  <si>
    <t xml:space="preserve">전기업</t>
  </si>
  <si>
    <t xml:space="preserve">KOSE:A051910</t>
  </si>
  <si>
    <t xml:space="preserve">051910 KS Equity</t>
  </si>
  <si>
    <t xml:space="preserve">기초 화학물질 제조업</t>
  </si>
  <si>
    <t xml:space="preserve">KOSE:A011200</t>
  </si>
  <si>
    <t xml:space="preserve">011200 KS Equity</t>
  </si>
  <si>
    <t xml:space="preserve">해상 운송업</t>
  </si>
  <si>
    <t xml:space="preserve">042700</t>
  </si>
  <si>
    <t xml:space="preserve">한미반도체</t>
  </si>
  <si>
    <t xml:space="preserve">KOSE:A042700</t>
  </si>
  <si>
    <t xml:space="preserve">042700 KS Equity</t>
  </si>
  <si>
    <t xml:space="preserve">특수 목적용 기계 제조업</t>
  </si>
  <si>
    <t xml:space="preserve">196170</t>
  </si>
  <si>
    <t xml:space="preserve">알테오젠</t>
  </si>
  <si>
    <t xml:space="preserve">KOSDAQ:A196170</t>
  </si>
  <si>
    <t xml:space="preserve">196170 KQ Equity</t>
  </si>
  <si>
    <t xml:space="preserve">자연과학 및 공학 연구개발업</t>
  </si>
  <si>
    <t xml:space="preserve">KOSE:A017670</t>
  </si>
  <si>
    <t xml:space="preserve">017670 KS Equity</t>
  </si>
  <si>
    <t xml:space="preserve">전기 통신업</t>
  </si>
  <si>
    <t xml:space="preserve">010140</t>
  </si>
  <si>
    <t xml:space="preserve">삼성중공업</t>
  </si>
  <si>
    <t xml:space="preserve">KOSE:A010140</t>
  </si>
  <si>
    <t xml:space="preserve">010140 KS Equity</t>
  </si>
  <si>
    <t xml:space="preserve">KOSE:A000150</t>
  </si>
  <si>
    <t xml:space="preserve">000150 KS Equity</t>
  </si>
  <si>
    <t xml:space="preserve">회사 본부 및 경영 컨설팅 서비스업</t>
  </si>
  <si>
    <t xml:space="preserve">KOSE:A033780</t>
  </si>
  <si>
    <t xml:space="preserve">033780 KS Equity</t>
  </si>
  <si>
    <t xml:space="preserve">담배 제조업</t>
  </si>
  <si>
    <t xml:space="preserve">006800</t>
  </si>
  <si>
    <t xml:space="preserve">미래에셋증권</t>
  </si>
  <si>
    <t xml:space="preserve">KOSE:A006800</t>
  </si>
  <si>
    <t xml:space="preserve">006800 KS Equity</t>
  </si>
  <si>
    <t xml:space="preserve">금융 지원 서비스업</t>
  </si>
  <si>
    <t xml:space="preserve">KOSE:A003550</t>
  </si>
  <si>
    <t xml:space="preserve">003550 KS Equity</t>
  </si>
  <si>
    <t xml:space="preserve">018260</t>
  </si>
  <si>
    <t xml:space="preserve">삼성에스디에스</t>
  </si>
  <si>
    <t xml:space="preserve">KOSE:A018260</t>
  </si>
  <si>
    <t xml:space="preserve">018260 KS Equity</t>
  </si>
  <si>
    <r>
      <rPr>
        <sz val="9"/>
        <rFont val="WenQuanYi Zen Hei"/>
        <family val="2"/>
      </rPr>
      <t xml:space="preserve">컴퓨터 프로그래밍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시스템 통합 및 관리업</t>
    </r>
  </si>
  <si>
    <t xml:space="preserve">024110</t>
  </si>
  <si>
    <t xml:space="preserve">기업은행</t>
  </si>
  <si>
    <t xml:space="preserve">KOSE:A024110</t>
  </si>
  <si>
    <t xml:space="preserve">024110 KS Equity</t>
  </si>
  <si>
    <t xml:space="preserve">은행 및 저축기관</t>
  </si>
  <si>
    <t xml:space="preserve">KOSE:A267250</t>
  </si>
  <si>
    <t xml:space="preserve">267250 KS Equity</t>
  </si>
  <si>
    <t xml:space="preserve">010950</t>
  </si>
  <si>
    <t xml:space="preserve">S-Oil</t>
  </si>
  <si>
    <t xml:space="preserve">KOSE:A010950</t>
  </si>
  <si>
    <t xml:space="preserve">010950 KS Equity</t>
  </si>
  <si>
    <t xml:space="preserve">석유 정제품 제조업</t>
  </si>
  <si>
    <t xml:space="preserve">003670</t>
  </si>
  <si>
    <t xml:space="preserve">포스코퓨처엠</t>
  </si>
  <si>
    <t xml:space="preserve">KOSE:A003670</t>
  </si>
  <si>
    <t xml:space="preserve">003670 KS Equity</t>
  </si>
  <si>
    <r>
      <rPr>
        <sz val="9"/>
        <rFont val="WenQuanYi Zen Hei"/>
        <family val="2"/>
      </rPr>
      <t xml:space="preserve">시멘트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석회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플라스터 및 그 제품 제조업</t>
    </r>
  </si>
  <si>
    <t xml:space="preserve">KOSE:A035720</t>
  </si>
  <si>
    <t xml:space="preserve">035720 KS Equity</t>
  </si>
  <si>
    <t xml:space="preserve">278470</t>
  </si>
  <si>
    <t xml:space="preserve">에이피알</t>
  </si>
  <si>
    <t xml:space="preserve">KOSE:A278470</t>
  </si>
  <si>
    <t xml:space="preserve">278470 KS Equity</t>
  </si>
  <si>
    <t xml:space="preserve">KOSE:A086280</t>
  </si>
  <si>
    <t xml:space="preserve">086280 KS Equity</t>
  </si>
  <si>
    <t xml:space="preserve">기타 운송관련 서비스업</t>
  </si>
  <si>
    <t xml:space="preserve">079550</t>
  </si>
  <si>
    <r>
      <rPr>
        <sz val="9"/>
        <rFont val="Arial"/>
        <family val="0"/>
        <charset val="1"/>
      </rPr>
      <t xml:space="preserve">LIG</t>
    </r>
    <r>
      <rPr>
        <sz val="9"/>
        <rFont val="WenQuanYi Zen Hei"/>
        <family val="2"/>
      </rPr>
      <t xml:space="preserve">디펜스앤에어로스페이스</t>
    </r>
  </si>
  <si>
    <t xml:space="preserve">KOSE:A079550</t>
  </si>
  <si>
    <t xml:space="preserve">079550 KS Equity</t>
  </si>
  <si>
    <t xml:space="preserve">무기 및 총포탄 제조업</t>
  </si>
  <si>
    <t xml:space="preserve">064350</t>
  </si>
  <si>
    <t xml:space="preserve">현대로템</t>
  </si>
  <si>
    <t xml:space="preserve">KOSE:A064350</t>
  </si>
  <si>
    <t xml:space="preserve">064350 KS Equity</t>
  </si>
  <si>
    <t xml:space="preserve">철도장비 제조업</t>
  </si>
  <si>
    <t xml:space="preserve">KOSE:A030200</t>
  </si>
  <si>
    <t xml:space="preserve">030200 KS Equity</t>
  </si>
  <si>
    <t xml:space="preserve">000720</t>
  </si>
  <si>
    <t xml:space="preserve">현대건설</t>
  </si>
  <si>
    <t xml:space="preserve">KOSE:A000720</t>
  </si>
  <si>
    <t xml:space="preserve">000720 KS Equity</t>
  </si>
  <si>
    <t xml:space="preserve">토목 건설업</t>
  </si>
  <si>
    <t xml:space="preserve">005830</t>
  </si>
  <si>
    <r>
      <rPr>
        <sz val="9"/>
        <rFont val="Arial"/>
        <family val="0"/>
        <charset val="1"/>
      </rPr>
      <t xml:space="preserve">DB</t>
    </r>
    <r>
      <rPr>
        <sz val="9"/>
        <rFont val="WenQuanYi Zen Hei"/>
        <family val="2"/>
      </rPr>
      <t xml:space="preserve">손해보험</t>
    </r>
  </si>
  <si>
    <t xml:space="preserve">KOSE:A005830</t>
  </si>
  <si>
    <t xml:space="preserve">005830 KS Equity</t>
  </si>
  <si>
    <t xml:space="preserve">011070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</si>
  <si>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이노텍</t>
    </r>
  </si>
  <si>
    <t xml:space="preserve">KOSE:A011070</t>
  </si>
  <si>
    <t xml:space="preserve">011070 KS Equity</t>
  </si>
  <si>
    <t xml:space="preserve">272210</t>
  </si>
  <si>
    <t xml:space="preserve">한화시스템</t>
  </si>
  <si>
    <t xml:space="preserve">KOSE:A272210</t>
  </si>
  <si>
    <t xml:space="preserve">272210 KS Equity</t>
  </si>
  <si>
    <t xml:space="preserve">047810</t>
  </si>
  <si>
    <t xml:space="preserve">한국항공우주</t>
  </si>
  <si>
    <t xml:space="preserve">KOSE:A047810</t>
  </si>
  <si>
    <t xml:space="preserve">047810 KS Equity</t>
  </si>
  <si>
    <t xml:space="preserve">086520</t>
  </si>
  <si>
    <t xml:space="preserve">에코프로</t>
  </si>
  <si>
    <t xml:space="preserve">KOSDAQ:A086520</t>
  </si>
  <si>
    <t xml:space="preserve">086520 KQ Equity</t>
  </si>
  <si>
    <t xml:space="preserve">기타 화학제품 제조업</t>
  </si>
  <si>
    <t xml:space="preserve">078930</t>
  </si>
  <si>
    <t xml:space="preserve">GS</t>
  </si>
  <si>
    <t xml:space="preserve">KOSE:A078930</t>
  </si>
  <si>
    <t xml:space="preserve">078930 KS Equity</t>
  </si>
  <si>
    <t xml:space="preserve">KOSE:A003490</t>
  </si>
  <si>
    <t xml:space="preserve">003490 KS Equity</t>
  </si>
  <si>
    <t xml:space="preserve">항공 여객 운송업</t>
  </si>
  <si>
    <t xml:space="preserve">003230</t>
  </si>
  <si>
    <t xml:space="preserve">삼양식품</t>
  </si>
  <si>
    <t xml:space="preserve">KOSE:A003230</t>
  </si>
  <si>
    <t xml:space="preserve">003230 KS Equity</t>
  </si>
  <si>
    <t xml:space="preserve">기타 식품 제조업</t>
  </si>
  <si>
    <t xml:space="preserve">307950</t>
  </si>
  <si>
    <t xml:space="preserve">현대오토에버</t>
  </si>
  <si>
    <t xml:space="preserve">KOSE:A307950</t>
  </si>
  <si>
    <t xml:space="preserve">307950 KS Equity</t>
  </si>
  <si>
    <t xml:space="preserve">247540</t>
  </si>
  <si>
    <t xml:space="preserve">에코프로비엠</t>
  </si>
  <si>
    <t xml:space="preserve">KOSDAQ:A247540</t>
  </si>
  <si>
    <t xml:space="preserve">247540 KQ Equity</t>
  </si>
  <si>
    <t xml:space="preserve">323410</t>
  </si>
  <si>
    <t xml:space="preserve">카카오뱅크</t>
  </si>
  <si>
    <t xml:space="preserve">KOSE:A323410</t>
  </si>
  <si>
    <t xml:space="preserve">323410 KS Equity</t>
  </si>
  <si>
    <t xml:space="preserve">071050</t>
  </si>
  <si>
    <t xml:space="preserve">한국금융지주</t>
  </si>
  <si>
    <t xml:space="preserve">KOSE:A071050</t>
  </si>
  <si>
    <t xml:space="preserve">071050 KS Equity</t>
  </si>
  <si>
    <t xml:space="preserve">259960</t>
  </si>
  <si>
    <t xml:space="preserve">크래프톤</t>
  </si>
  <si>
    <t xml:space="preserve">KOSE:A259960</t>
  </si>
  <si>
    <t xml:space="preserve">259960 KS Equity</t>
  </si>
  <si>
    <t xml:space="preserve">047050</t>
  </si>
  <si>
    <t xml:space="preserve">포스코인터내셔널</t>
  </si>
  <si>
    <t xml:space="preserve">KOSE:A047050</t>
  </si>
  <si>
    <t xml:space="preserve">047050 KS Equity</t>
  </si>
  <si>
    <t xml:space="preserve">상품 중개업</t>
  </si>
  <si>
    <t xml:space="preserve">005940</t>
  </si>
  <si>
    <r>
      <rPr>
        <sz val="9"/>
        <rFont val="Arial"/>
        <family val="0"/>
        <charset val="1"/>
      </rPr>
      <t xml:space="preserve">NH</t>
    </r>
    <r>
      <rPr>
        <sz val="9"/>
        <rFont val="WenQuanYi Zen Hei"/>
        <family val="2"/>
      </rPr>
      <t xml:space="preserve">투자증권</t>
    </r>
  </si>
  <si>
    <t xml:space="preserve">KOSE:A005940</t>
  </si>
  <si>
    <t xml:space="preserve">005940 KS Equity</t>
  </si>
  <si>
    <t xml:space="preserve">443060</t>
  </si>
  <si>
    <r>
      <rPr>
        <sz val="9"/>
        <rFont val="Arial"/>
        <family val="0"/>
        <charset val="1"/>
      </rPr>
      <t xml:space="preserve">HD</t>
    </r>
    <r>
      <rPr>
        <sz val="9"/>
        <rFont val="WenQuanYi Zen Hei"/>
        <family val="2"/>
      </rPr>
      <t xml:space="preserve">현대마린솔루션</t>
    </r>
  </si>
  <si>
    <t xml:space="preserve">KOSE:A443060</t>
  </si>
  <si>
    <t xml:space="preserve">443060 KS Equity</t>
  </si>
  <si>
    <t xml:space="preserve">006260</t>
  </si>
  <si>
    <t xml:space="preserve">LS</t>
  </si>
  <si>
    <t xml:space="preserve">KOSE:A006260</t>
  </si>
  <si>
    <t xml:space="preserve">006260 KS Equity</t>
  </si>
  <si>
    <t xml:space="preserve">028050</t>
  </si>
  <si>
    <r>
      <rPr>
        <sz val="9"/>
        <rFont val="WenQuanYi Zen Hei"/>
        <family val="2"/>
      </rPr>
      <t xml:space="preserve">삼성</t>
    </r>
    <r>
      <rPr>
        <sz val="9"/>
        <rFont val="Arial"/>
        <family val="0"/>
        <charset val="1"/>
      </rPr>
      <t xml:space="preserve">E&amp;A</t>
    </r>
  </si>
  <si>
    <t xml:space="preserve">KOSE:A028050</t>
  </si>
  <si>
    <t xml:space="preserve">028050 KS Equity</t>
  </si>
  <si>
    <r>
      <rPr>
        <sz val="9"/>
        <rFont val="WenQuanYi Zen Hei"/>
        <family val="2"/>
      </rPr>
      <t xml:space="preserve">건축기술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엔지니어링 및 관련 기술 서비스업</t>
    </r>
  </si>
  <si>
    <t xml:space="preserve">KOSE:A180640</t>
  </si>
  <si>
    <t xml:space="preserve">180640 KS Equity</t>
  </si>
  <si>
    <t xml:space="preserve">KOSE:A0126Z0</t>
  </si>
  <si>
    <t xml:space="preserve">0126Z0 KS Equity</t>
  </si>
  <si>
    <t xml:space="preserve">277810</t>
  </si>
  <si>
    <t xml:space="preserve">레인보우로보틱스</t>
  </si>
  <si>
    <t xml:space="preserve">KOSDAQ:A277810</t>
  </si>
  <si>
    <t xml:space="preserve">277810 KQ Equity</t>
  </si>
  <si>
    <t xml:space="preserve">090430</t>
  </si>
  <si>
    <t xml:space="preserve">아모레퍼시픽</t>
  </si>
  <si>
    <t xml:space="preserve">KOSE:A090430</t>
  </si>
  <si>
    <t xml:space="preserve">090430 KS Equity</t>
  </si>
  <si>
    <t xml:space="preserve">161390</t>
  </si>
  <si>
    <t xml:space="preserve">한국타이어앤테크놀로지</t>
  </si>
  <si>
    <t xml:space="preserve">KOSE:A161390</t>
  </si>
  <si>
    <t xml:space="preserve">161390 KS Equity</t>
  </si>
  <si>
    <t xml:space="preserve">고무제품 제조업</t>
  </si>
  <si>
    <t xml:space="preserve">036930</t>
  </si>
  <si>
    <t xml:space="preserve">주성엔지니어링</t>
  </si>
  <si>
    <t xml:space="preserve">KOSDAQ:A036930</t>
  </si>
  <si>
    <t xml:space="preserve">036930 KQ Equity</t>
  </si>
  <si>
    <t xml:space="preserve">007660</t>
  </si>
  <si>
    <t xml:space="preserve">이수페타시스</t>
  </si>
  <si>
    <t xml:space="preserve">KOSE:A007660</t>
  </si>
  <si>
    <t xml:space="preserve">007660 KS Equity</t>
  </si>
  <si>
    <t xml:space="preserve">016360</t>
  </si>
  <si>
    <t xml:space="preserve">삼성증권</t>
  </si>
  <si>
    <t xml:space="preserve">KOSE:A016360</t>
  </si>
  <si>
    <t xml:space="preserve">016360 KS Equity</t>
  </si>
  <si>
    <t xml:space="preserve">352820</t>
  </si>
  <si>
    <t xml:space="preserve">하이브</t>
  </si>
  <si>
    <t xml:space="preserve">KOSE:A352820</t>
  </si>
  <si>
    <t xml:space="preserve">352820 KS Equity</t>
  </si>
  <si>
    <t xml:space="preserve">KOSE:A000880</t>
  </si>
  <si>
    <t xml:space="preserve">000880 KS Equity</t>
  </si>
  <si>
    <t xml:space="preserve">039490</t>
  </si>
  <si>
    <t xml:space="preserve">키움증권</t>
  </si>
  <si>
    <t xml:space="preserve">KOSE:A039490</t>
  </si>
  <si>
    <t xml:space="preserve">039490 KS Equity</t>
  </si>
  <si>
    <t xml:space="preserve">064400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</si>
  <si>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씨엔에스</t>
    </r>
  </si>
  <si>
    <t xml:space="preserve">KOSE:A064400</t>
  </si>
  <si>
    <t xml:space="preserve">064400 KS Equity</t>
  </si>
  <si>
    <t xml:space="preserve">021240</t>
  </si>
  <si>
    <t xml:space="preserve">코웨이</t>
  </si>
  <si>
    <t xml:space="preserve">KOSE:A021240</t>
  </si>
  <si>
    <t xml:space="preserve">021240 KS Equity</t>
  </si>
  <si>
    <t xml:space="preserve">그외 기타 개인 서비스업</t>
  </si>
  <si>
    <t xml:space="preserve">KOSE:A047040</t>
  </si>
  <si>
    <t xml:space="preserve">047040 KS Equity</t>
  </si>
  <si>
    <t xml:space="preserve">건물 건설업</t>
  </si>
  <si>
    <t xml:space="preserve">326030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</si>
  <si>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바이오팜</t>
    </r>
  </si>
  <si>
    <t xml:space="preserve">KOSE:A326030</t>
  </si>
  <si>
    <t xml:space="preserve">326030 KS Equity</t>
  </si>
  <si>
    <t xml:space="preserve">KOSE:A009830</t>
  </si>
  <si>
    <t xml:space="preserve">009830 KS Equity</t>
  </si>
  <si>
    <t xml:space="preserve">KOSE:A267270</t>
  </si>
  <si>
    <t xml:space="preserve">267270 KS Equity</t>
  </si>
  <si>
    <t xml:space="preserve">KOSE:A005387</t>
  </si>
  <si>
    <t xml:space="preserve">005387 KS Equity</t>
  </si>
  <si>
    <t xml:space="preserve">032640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</si>
  <si>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유플러스</t>
    </r>
  </si>
  <si>
    <t xml:space="preserve">KOSE:A032640</t>
  </si>
  <si>
    <t xml:space="preserve">032640 KS Equity</t>
  </si>
  <si>
    <t xml:space="preserve">KOSE:A000500</t>
  </si>
  <si>
    <t xml:space="preserve">000500 KS Equity</t>
  </si>
  <si>
    <t xml:space="preserve">절연선 및 케이블 제조업</t>
  </si>
  <si>
    <t xml:space="preserve">377300</t>
  </si>
  <si>
    <t xml:space="preserve">카카오페이</t>
  </si>
  <si>
    <t xml:space="preserve">KOSE:A377300</t>
  </si>
  <si>
    <t xml:space="preserve">377300 KS Equity</t>
  </si>
  <si>
    <t xml:space="preserve">000100</t>
  </si>
  <si>
    <t xml:space="preserve">유한양행</t>
  </si>
  <si>
    <t xml:space="preserve">KOSE:A000100</t>
  </si>
  <si>
    <t xml:space="preserve">000100 KS Equity</t>
  </si>
  <si>
    <t xml:space="preserve">의약품 제조업</t>
  </si>
  <si>
    <t xml:space="preserve">KOSE:A128940</t>
  </si>
  <si>
    <t xml:space="preserve">128940 KS Equity</t>
  </si>
  <si>
    <t xml:space="preserve">062040</t>
  </si>
  <si>
    <t xml:space="preserve">산일전기</t>
  </si>
  <si>
    <t xml:space="preserve">KOSE:A062040</t>
  </si>
  <si>
    <t xml:space="preserve">062040 KS Equity</t>
  </si>
  <si>
    <t xml:space="preserve">088350</t>
  </si>
  <si>
    <t xml:space="preserve">한화생명</t>
  </si>
  <si>
    <t xml:space="preserve">KOSE:A088350</t>
  </si>
  <si>
    <t xml:space="preserve">088350 KS Equity</t>
  </si>
  <si>
    <t xml:space="preserve">001440</t>
  </si>
  <si>
    <t xml:space="preserve">대한전선</t>
  </si>
  <si>
    <t xml:space="preserve">KOSE:A001440</t>
  </si>
  <si>
    <t xml:space="preserve">001440 KS Equity</t>
  </si>
  <si>
    <t xml:space="preserve">240810</t>
  </si>
  <si>
    <r>
      <rPr>
        <sz val="9"/>
        <rFont val="WenQuanYi Zen Hei"/>
        <family val="2"/>
      </rPr>
      <t xml:space="preserve">원익</t>
    </r>
    <r>
      <rPr>
        <sz val="9"/>
        <rFont val="Arial"/>
        <family val="0"/>
        <charset val="1"/>
      </rPr>
      <t xml:space="preserve">IPS</t>
    </r>
  </si>
  <si>
    <t xml:space="preserve">KOSDAQ:A240810</t>
  </si>
  <si>
    <t xml:space="preserve">240810 KQ Equity</t>
  </si>
  <si>
    <t xml:space="preserve">039030</t>
  </si>
  <si>
    <t xml:space="preserve">이오테크닉스</t>
  </si>
  <si>
    <t xml:space="preserve">KOSDAQ:A039030</t>
  </si>
  <si>
    <t xml:space="preserve">039030 KQ Equity</t>
  </si>
  <si>
    <t xml:space="preserve">KOSE:A271560</t>
  </si>
  <si>
    <t xml:space="preserve">271560 KS Equity</t>
  </si>
  <si>
    <t xml:space="preserve">353200</t>
  </si>
  <si>
    <t xml:space="preserve">대덕전자</t>
  </si>
  <si>
    <t xml:space="preserve">KOSE:A353200</t>
  </si>
  <si>
    <t xml:space="preserve">353200 KS Equity</t>
  </si>
  <si>
    <t xml:space="preserve">KOSE:A066970</t>
  </si>
  <si>
    <t xml:space="preserve">066970 KS Equity</t>
  </si>
  <si>
    <t xml:space="preserve">058470</t>
  </si>
  <si>
    <t xml:space="preserve">리노공업</t>
  </si>
  <si>
    <t xml:space="preserve">KOSDAQ:A058470</t>
  </si>
  <si>
    <t xml:space="preserve">058470 KQ Equity</t>
  </si>
  <si>
    <t xml:space="preserve">138930</t>
  </si>
  <si>
    <r>
      <rPr>
        <sz val="9"/>
        <rFont val="Arial"/>
        <family val="0"/>
        <charset val="1"/>
      </rPr>
      <t xml:space="preserve">BNK</t>
    </r>
    <r>
      <rPr>
        <sz val="9"/>
        <rFont val="WenQuanYi Zen Hei"/>
        <family val="2"/>
      </rPr>
      <t xml:space="preserve">금융지주</t>
    </r>
  </si>
  <si>
    <t xml:space="preserve">KOSE:A138930</t>
  </si>
  <si>
    <t xml:space="preserve">138930 KS Equity</t>
  </si>
  <si>
    <t xml:space="preserve">088980</t>
  </si>
  <si>
    <t xml:space="preserve">맥쿼리인프라</t>
  </si>
  <si>
    <t xml:space="preserve">KOSE:A088980</t>
  </si>
  <si>
    <t xml:space="preserve">088980 KS Equity</t>
  </si>
  <si>
    <t xml:space="preserve">신탁업 및 집합투자업</t>
  </si>
  <si>
    <t xml:space="preserve">036570</t>
  </si>
  <si>
    <t xml:space="preserve">NC</t>
  </si>
  <si>
    <t xml:space="preserve">KOSE:A036570</t>
  </si>
  <si>
    <t xml:space="preserve">036570 KS Equity</t>
  </si>
  <si>
    <t xml:space="preserve">소프트웨어 개발 및 공급업</t>
  </si>
  <si>
    <t xml:space="preserve">001450</t>
  </si>
  <si>
    <t xml:space="preserve">현대해상</t>
  </si>
  <si>
    <t xml:space="preserve">KOSE:A001450</t>
  </si>
  <si>
    <t xml:space="preserve">001450 KS Equity</t>
  </si>
  <si>
    <t xml:space="preserve">034220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</si>
  <si>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디스플레이</t>
    </r>
  </si>
  <si>
    <t xml:space="preserve">KOSE:A034220</t>
  </si>
  <si>
    <t xml:space="preserve">034220 KS Equity</t>
  </si>
  <si>
    <t xml:space="preserve">222800</t>
  </si>
  <si>
    <t xml:space="preserve">심텍</t>
  </si>
  <si>
    <t xml:space="preserve">KOSDAQ:A222800</t>
  </si>
  <si>
    <t xml:space="preserve">222800 KQ Equity</t>
  </si>
  <si>
    <t xml:space="preserve">028300</t>
  </si>
  <si>
    <t xml:space="preserve">HLB</t>
  </si>
  <si>
    <t xml:space="preserve">KOSDAQ:A028300</t>
  </si>
  <si>
    <t xml:space="preserve">028300 KQ Equity</t>
  </si>
  <si>
    <t xml:space="preserve">051900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</si>
  <si>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생활건강</t>
    </r>
  </si>
  <si>
    <t xml:space="preserve">KOSE:A051900</t>
  </si>
  <si>
    <t xml:space="preserve">051900 KS Equity</t>
  </si>
  <si>
    <t xml:space="preserve">KOSE:A005385</t>
  </si>
  <si>
    <t xml:space="preserve">005385 KS Equity</t>
  </si>
  <si>
    <t xml:space="preserve">KOSE:A454910</t>
  </si>
  <si>
    <t xml:space="preserve">454910 KS Equity</t>
  </si>
  <si>
    <t xml:space="preserve">010060</t>
  </si>
  <si>
    <r>
      <rPr>
        <sz val="9"/>
        <rFont val="Arial"/>
        <family val="0"/>
        <charset val="1"/>
      </rPr>
      <t xml:space="preserve">OCI</t>
    </r>
    <r>
      <rPr>
        <sz val="9"/>
        <rFont val="WenQuanYi Zen Hei"/>
        <family val="2"/>
      </rPr>
      <t xml:space="preserve">홀딩스</t>
    </r>
  </si>
  <si>
    <t xml:space="preserve">KOSE:A010060</t>
  </si>
  <si>
    <t xml:space="preserve">010060 KS Equity</t>
  </si>
  <si>
    <t xml:space="preserve">004020</t>
  </si>
  <si>
    <t xml:space="preserve">현대제철</t>
  </si>
  <si>
    <t xml:space="preserve">KOSE:A004020</t>
  </si>
  <si>
    <t xml:space="preserve">004020 KS Equity</t>
  </si>
  <si>
    <t xml:space="preserve">002380</t>
  </si>
  <si>
    <t xml:space="preserve">KCC</t>
  </si>
  <si>
    <t xml:space="preserve">KOSE:A002380</t>
  </si>
  <si>
    <t xml:space="preserve">002380 KS Equity</t>
  </si>
  <si>
    <t xml:space="preserve">KOSE:A011790</t>
  </si>
  <si>
    <t xml:space="preserve">011790 KS Equity</t>
  </si>
  <si>
    <t xml:space="preserve">403870</t>
  </si>
  <si>
    <t xml:space="preserve">HPSP</t>
  </si>
  <si>
    <t xml:space="preserve">KOSDAQ:A403870</t>
  </si>
  <si>
    <t xml:space="preserve">403870 KQ Equity</t>
  </si>
  <si>
    <t xml:space="preserve">052690</t>
  </si>
  <si>
    <t xml:space="preserve">한전기술</t>
  </si>
  <si>
    <t xml:space="preserve">KOSE:A052690</t>
  </si>
  <si>
    <t xml:space="preserve">052690 KS Equity</t>
  </si>
  <si>
    <t xml:space="preserve">214450</t>
  </si>
  <si>
    <t xml:space="preserve">파마리서치</t>
  </si>
  <si>
    <t xml:space="preserve">KOSDAQ:A214450</t>
  </si>
  <si>
    <t xml:space="preserve">214450 KQ Equity</t>
  </si>
  <si>
    <t xml:space="preserve">생활용품 도매업</t>
  </si>
  <si>
    <t xml:space="preserve">000990</t>
  </si>
  <si>
    <r>
      <rPr>
        <sz val="9"/>
        <rFont val="Arial"/>
        <family val="0"/>
        <charset val="1"/>
      </rPr>
      <t xml:space="preserve">DB</t>
    </r>
    <r>
      <rPr>
        <sz val="9"/>
        <rFont val="WenQuanYi Zen Hei"/>
        <family val="2"/>
      </rPr>
      <t xml:space="preserve">하이텍</t>
    </r>
  </si>
  <si>
    <t xml:space="preserve">KOSE:A000990</t>
  </si>
  <si>
    <t xml:space="preserve">000990 KS Equity</t>
  </si>
  <si>
    <t xml:space="preserve">082740</t>
  </si>
  <si>
    <t xml:space="preserve">한화엔진</t>
  </si>
  <si>
    <t xml:space="preserve">KOSE:A082740</t>
  </si>
  <si>
    <t xml:space="preserve">082740 KS Equity</t>
  </si>
  <si>
    <t xml:space="preserve">298380</t>
  </si>
  <si>
    <t xml:space="preserve">에이비엘바이오</t>
  </si>
  <si>
    <t xml:space="preserve">KOSDAQ:A298380</t>
  </si>
  <si>
    <t xml:space="preserve">298380 KQ Equity</t>
  </si>
  <si>
    <t xml:space="preserve">KOSE:A001040</t>
  </si>
  <si>
    <t xml:space="preserve">001040 KS Equity</t>
  </si>
  <si>
    <t xml:space="preserve">000250</t>
  </si>
  <si>
    <t xml:space="preserve">삼천당제약</t>
  </si>
  <si>
    <t xml:space="preserve">KOSDAQ:A000250</t>
  </si>
  <si>
    <t xml:space="preserve">000250 KQ Equity</t>
  </si>
  <si>
    <t xml:space="preserve">108490</t>
  </si>
  <si>
    <t xml:space="preserve">로보티즈</t>
  </si>
  <si>
    <t xml:space="preserve">KOSDAQ:A108490</t>
  </si>
  <si>
    <t xml:space="preserve">108490 KQ Equity</t>
  </si>
  <si>
    <t xml:space="preserve">095340</t>
  </si>
  <si>
    <t xml:space="preserve">ISC</t>
  </si>
  <si>
    <t xml:space="preserve">KOSDAQ:A095340</t>
  </si>
  <si>
    <t xml:space="preserve">095340 KQ Equity</t>
  </si>
  <si>
    <t xml:space="preserve">KOSE:A018880</t>
  </si>
  <si>
    <t xml:space="preserve">018880 KS Equity</t>
  </si>
  <si>
    <t xml:space="preserve">KOSE:A004170</t>
  </si>
  <si>
    <t xml:space="preserve">004170 KS Equity</t>
  </si>
  <si>
    <t xml:space="preserve">종합 소매업</t>
  </si>
  <si>
    <t xml:space="preserve">161890</t>
  </si>
  <si>
    <t xml:space="preserve">한국콜마</t>
  </si>
  <si>
    <t xml:space="preserve">KOSE:A161890</t>
  </si>
  <si>
    <t xml:space="preserve">161890 KS Equity</t>
  </si>
  <si>
    <t xml:space="preserve">319660</t>
  </si>
  <si>
    <t xml:space="preserve">피에스케이</t>
  </si>
  <si>
    <t xml:space="preserve">KOSDAQ:A319660</t>
  </si>
  <si>
    <t xml:space="preserve">319660 KQ Equity</t>
  </si>
  <si>
    <t xml:space="preserve">KOSE:A008930</t>
  </si>
  <si>
    <t xml:space="preserve">008930 KS Equity</t>
  </si>
  <si>
    <t xml:space="preserve">087010</t>
  </si>
  <si>
    <t xml:space="preserve">펩트론</t>
  </si>
  <si>
    <t xml:space="preserve">KOSDAQ:A087010</t>
  </si>
  <si>
    <t xml:space="preserve">087010 KQ Equity</t>
  </si>
  <si>
    <t xml:space="preserve">011780</t>
  </si>
  <si>
    <t xml:space="preserve">금호석유화학</t>
  </si>
  <si>
    <t xml:space="preserve">KOSE:A011780</t>
  </si>
  <si>
    <t xml:space="preserve">011780 KS Equity</t>
  </si>
  <si>
    <t xml:space="preserve">141080</t>
  </si>
  <si>
    <t xml:space="preserve">리가켐바이오</t>
  </si>
  <si>
    <t xml:space="preserve">KOSDAQ:A141080</t>
  </si>
  <si>
    <t xml:space="preserve">141080 KQ Equity</t>
  </si>
  <si>
    <t xml:space="preserve">022100</t>
  </si>
  <si>
    <r>
      <rPr>
        <sz val="9"/>
        <rFont val="WenQuanYi Zen Hei"/>
        <family val="2"/>
      </rPr>
      <t xml:space="preserve">포스코</t>
    </r>
    <r>
      <rPr>
        <sz val="9"/>
        <rFont val="Arial"/>
        <family val="0"/>
        <charset val="1"/>
      </rPr>
      <t xml:space="preserve">DX</t>
    </r>
  </si>
  <si>
    <t xml:space="preserve">KOSE:A022100</t>
  </si>
  <si>
    <t xml:space="preserve">022100 KS Equity</t>
  </si>
  <si>
    <t xml:space="preserve">103590</t>
  </si>
  <si>
    <t xml:space="preserve">일진전기</t>
  </si>
  <si>
    <t xml:space="preserve">KOSE:A103590</t>
  </si>
  <si>
    <t xml:space="preserve">103590 KS Equity</t>
  </si>
  <si>
    <t xml:space="preserve">192820</t>
  </si>
  <si>
    <t xml:space="preserve">코스맥스</t>
  </si>
  <si>
    <t xml:space="preserve">KOSE:A192820</t>
  </si>
  <si>
    <t xml:space="preserve">192820 KS Equity</t>
  </si>
  <si>
    <t xml:space="preserve">KOSDAQ:A257720</t>
  </si>
  <si>
    <t xml:space="preserve">257720 KQ Equity</t>
  </si>
  <si>
    <t xml:space="preserve">028670</t>
  </si>
  <si>
    <t xml:space="preserve">팬오션</t>
  </si>
  <si>
    <t xml:space="preserve">KOSE:A028670</t>
  </si>
  <si>
    <t xml:space="preserve">028670 KS Equity</t>
  </si>
  <si>
    <t xml:space="preserve">440110</t>
  </si>
  <si>
    <t xml:space="preserve">파두</t>
  </si>
  <si>
    <t xml:space="preserve">KOSDAQ:A440110</t>
  </si>
  <si>
    <t xml:space="preserve">440110 KQ Equity</t>
  </si>
  <si>
    <t xml:space="preserve">145020</t>
  </si>
  <si>
    <t xml:space="preserve">휴젤</t>
  </si>
  <si>
    <t xml:space="preserve">KOSDAQ:A145020</t>
  </si>
  <si>
    <t xml:space="preserve">145020 KQ Equity</t>
  </si>
  <si>
    <t xml:space="preserve">084370</t>
  </si>
  <si>
    <t xml:space="preserve">유진테크</t>
  </si>
  <si>
    <t xml:space="preserve">KOSDAQ:A084370</t>
  </si>
  <si>
    <t xml:space="preserve">084370 KQ Equity</t>
  </si>
  <si>
    <t xml:space="preserve">023530</t>
  </si>
  <si>
    <t xml:space="preserve">롯데쇼핑</t>
  </si>
  <si>
    <t xml:space="preserve">KOSE:A023530</t>
  </si>
  <si>
    <t xml:space="preserve">023530 KS Equity</t>
  </si>
  <si>
    <t xml:space="preserve">017800</t>
  </si>
  <si>
    <t xml:space="preserve">현대엘리베이터</t>
  </si>
  <si>
    <t xml:space="preserve">KOSE:A017800</t>
  </si>
  <si>
    <t xml:space="preserve">017800 KS Equity</t>
  </si>
  <si>
    <t xml:space="preserve">006360</t>
  </si>
  <si>
    <r>
      <rPr>
        <sz val="9"/>
        <rFont val="Arial"/>
        <family val="0"/>
        <charset val="1"/>
      </rPr>
      <t xml:space="preserve">GS</t>
    </r>
    <r>
      <rPr>
        <sz val="9"/>
        <rFont val="WenQuanYi Zen Hei"/>
        <family val="2"/>
      </rPr>
      <t xml:space="preserve">건설</t>
    </r>
  </si>
  <si>
    <t xml:space="preserve">KOSE:A006360</t>
  </si>
  <si>
    <t xml:space="preserve">006360 KS Equity</t>
  </si>
  <si>
    <t xml:space="preserve">009420</t>
  </si>
  <si>
    <t xml:space="preserve">한올바이오파마</t>
  </si>
  <si>
    <t xml:space="preserve">KOSE:A009420</t>
  </si>
  <si>
    <t xml:space="preserve">009420 KS Equity</t>
  </si>
  <si>
    <t xml:space="preserve">375500</t>
  </si>
  <si>
    <r>
      <rPr>
        <sz val="9"/>
        <rFont val="Arial"/>
        <family val="0"/>
        <charset val="1"/>
      </rPr>
      <t xml:space="preserve">DL</t>
    </r>
    <r>
      <rPr>
        <sz val="9"/>
        <rFont val="WenQuanYi Zen Hei"/>
        <family val="2"/>
      </rPr>
      <t xml:space="preserve">이앤씨</t>
    </r>
  </si>
  <si>
    <t xml:space="preserve">KOSE:A375500</t>
  </si>
  <si>
    <t xml:space="preserve">375500 KS Equity</t>
  </si>
  <si>
    <t xml:space="preserve">097950</t>
  </si>
  <si>
    <r>
      <rPr>
        <sz val="9"/>
        <rFont val="Arial"/>
        <family val="0"/>
        <charset val="1"/>
      </rPr>
      <t xml:space="preserve">CJ</t>
    </r>
    <r>
      <rPr>
        <sz val="9"/>
        <rFont val="WenQuanYi Zen Hei"/>
        <family val="2"/>
      </rPr>
      <t xml:space="preserve">제일제당</t>
    </r>
  </si>
  <si>
    <t xml:space="preserve">KOSE:A097950</t>
  </si>
  <si>
    <t xml:space="preserve">097950 KS Equity</t>
  </si>
  <si>
    <t xml:space="preserve">031980</t>
  </si>
  <si>
    <t xml:space="preserve">피에스케이홀딩스</t>
  </si>
  <si>
    <t xml:space="preserve">KOSDAQ:A031980</t>
  </si>
  <si>
    <t xml:space="preserve">031980 KQ Equity</t>
  </si>
  <si>
    <t xml:space="preserve">310210</t>
  </si>
  <si>
    <t xml:space="preserve">보로노이</t>
  </si>
  <si>
    <t xml:space="preserve">KOSDAQ:A310210</t>
  </si>
  <si>
    <t xml:space="preserve">310210 KQ Equity</t>
  </si>
  <si>
    <t xml:space="preserve">007340</t>
  </si>
  <si>
    <r>
      <rPr>
        <sz val="9"/>
        <rFont val="Arial"/>
        <family val="0"/>
        <charset val="1"/>
      </rPr>
      <t xml:space="preserve">DN</t>
    </r>
    <r>
      <rPr>
        <sz val="9"/>
        <rFont val="WenQuanYi Zen Hei"/>
        <family val="2"/>
      </rPr>
      <t xml:space="preserve">오토모티브</t>
    </r>
  </si>
  <si>
    <t xml:space="preserve">KOSE:A007340</t>
  </si>
  <si>
    <t xml:space="preserve">007340 KS Equity</t>
  </si>
  <si>
    <t xml:space="preserve">064760</t>
  </si>
  <si>
    <t xml:space="preserve">티씨케이</t>
  </si>
  <si>
    <t xml:space="preserve">KOSDAQ:A064760</t>
  </si>
  <si>
    <t xml:space="preserve">064760 KQ Equity</t>
  </si>
  <si>
    <t xml:space="preserve">기타 비금속 광물제품 제조업</t>
  </si>
  <si>
    <t xml:space="preserve">004370</t>
  </si>
  <si>
    <t xml:space="preserve">농심</t>
  </si>
  <si>
    <t xml:space="preserve">KOSE:A004370</t>
  </si>
  <si>
    <t xml:space="preserve">004370 KS Equity</t>
  </si>
  <si>
    <t xml:space="preserve">282330</t>
  </si>
  <si>
    <r>
      <rPr>
        <sz val="9"/>
        <rFont val="Arial"/>
        <family val="0"/>
        <charset val="1"/>
      </rPr>
      <t xml:space="preserve">BGF</t>
    </r>
    <r>
      <rPr>
        <sz val="9"/>
        <rFont val="WenQuanYi Zen Hei"/>
        <family val="2"/>
      </rPr>
      <t xml:space="preserve">리테일</t>
    </r>
  </si>
  <si>
    <t xml:space="preserve">KOSE:A282330</t>
  </si>
  <si>
    <t xml:space="preserve">282330 KS Equity</t>
  </si>
  <si>
    <t xml:space="preserve">095610</t>
  </si>
  <si>
    <t xml:space="preserve">테스</t>
  </si>
  <si>
    <t xml:space="preserve">KOSDAQ:A095610</t>
  </si>
  <si>
    <t xml:space="preserve">095610 KQ Equity</t>
  </si>
  <si>
    <t xml:space="preserve">336260</t>
  </si>
  <si>
    <t xml:space="preserve">두산퓨얼셀</t>
  </si>
  <si>
    <t xml:space="preserve">KOSE:A336260</t>
  </si>
  <si>
    <t xml:space="preserve">336260 KS Equity</t>
  </si>
  <si>
    <t xml:space="preserve">450080</t>
  </si>
  <si>
    <t xml:space="preserve">에코프로머티</t>
  </si>
  <si>
    <t xml:space="preserve">KOSE:A450080</t>
  </si>
  <si>
    <t xml:space="preserve">450080 KS Equity</t>
  </si>
  <si>
    <t xml:space="preserve">131290</t>
  </si>
  <si>
    <t xml:space="preserve">티에스이</t>
  </si>
  <si>
    <t xml:space="preserve">KOSDAQ:A131290</t>
  </si>
  <si>
    <t xml:space="preserve">131290 KQ Equity</t>
  </si>
  <si>
    <r>
      <rPr>
        <sz val="9"/>
        <rFont val="WenQuanYi Zen Hei"/>
        <family val="2"/>
      </rPr>
      <t xml:space="preserve">측정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시험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항해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제어 및 기타 정밀기기 제조업</t>
    </r>
    <r>
      <rPr>
        <sz val="9"/>
        <rFont val="Arial"/>
        <family val="0"/>
        <charset val="1"/>
      </rPr>
      <t xml:space="preserve">; </t>
    </r>
    <r>
      <rPr>
        <sz val="9"/>
        <rFont val="WenQuanYi Zen Hei"/>
        <family val="2"/>
      </rPr>
      <t xml:space="preserve">광학기기 제외</t>
    </r>
  </si>
  <si>
    <t xml:space="preserve">483650</t>
  </si>
  <si>
    <t xml:space="preserve">달바글로벌</t>
  </si>
  <si>
    <t xml:space="preserve">KOSE:A483650</t>
  </si>
  <si>
    <t xml:space="preserve">483650 KS Equity</t>
  </si>
  <si>
    <t xml:space="preserve">080220</t>
  </si>
  <si>
    <t xml:space="preserve">제주반도체</t>
  </si>
  <si>
    <t xml:space="preserve">KOSDAQ:A080220</t>
  </si>
  <si>
    <t xml:space="preserve">080220 KQ Equity</t>
  </si>
  <si>
    <t xml:space="preserve">319400</t>
  </si>
  <si>
    <t xml:space="preserve">현대무벡스</t>
  </si>
  <si>
    <t xml:space="preserve">KOSDAQ:A319400</t>
  </si>
  <si>
    <t xml:space="preserve">319400 KQ Equity</t>
  </si>
  <si>
    <t xml:space="preserve">067310</t>
  </si>
  <si>
    <t xml:space="preserve">하나마이크론</t>
  </si>
  <si>
    <t xml:space="preserve">KOSDAQ:A067310</t>
  </si>
  <si>
    <t xml:space="preserve">067310 KQ Equity</t>
  </si>
  <si>
    <t xml:space="preserve">204320</t>
  </si>
  <si>
    <r>
      <rPr>
        <sz val="9"/>
        <rFont val="Arial"/>
        <family val="0"/>
        <charset val="1"/>
      </rPr>
      <t xml:space="preserve">HL</t>
    </r>
    <r>
      <rPr>
        <sz val="9"/>
        <rFont val="WenQuanYi Zen Hei"/>
        <family val="2"/>
      </rPr>
      <t xml:space="preserve">만도</t>
    </r>
  </si>
  <si>
    <t xml:space="preserve">KOSE:A204320</t>
  </si>
  <si>
    <t xml:space="preserve">204320 KS Equity</t>
  </si>
  <si>
    <t xml:space="preserve">KOSDAQ:A347850</t>
  </si>
  <si>
    <t xml:space="preserve">347850 KQ Equity</t>
  </si>
  <si>
    <t xml:space="preserve">103140</t>
  </si>
  <si>
    <t xml:space="preserve">풍산</t>
  </si>
  <si>
    <t xml:space="preserve">KOSE:A103140</t>
  </si>
  <si>
    <t xml:space="preserve">103140 KS Equity</t>
  </si>
  <si>
    <t xml:space="preserve">KOSE:A181710</t>
  </si>
  <si>
    <t xml:space="preserve">181710 KS Equity</t>
  </si>
  <si>
    <t xml:space="preserve">178320</t>
  </si>
  <si>
    <t xml:space="preserve">서진시스템</t>
  </si>
  <si>
    <t xml:space="preserve">KOSDAQ:A178320</t>
  </si>
  <si>
    <t xml:space="preserve">178320 KQ Equity</t>
  </si>
  <si>
    <t xml:space="preserve">214150</t>
  </si>
  <si>
    <t xml:space="preserve">클래시스</t>
  </si>
  <si>
    <t xml:space="preserve">KOSDAQ:A214150</t>
  </si>
  <si>
    <t xml:space="preserve">214150 KQ Equity</t>
  </si>
  <si>
    <t xml:space="preserve">의료용 기기 제조업</t>
  </si>
  <si>
    <t xml:space="preserve">237690</t>
  </si>
  <si>
    <t xml:space="preserve">에스티팜</t>
  </si>
  <si>
    <t xml:space="preserve">KOSDAQ:A237690</t>
  </si>
  <si>
    <t xml:space="preserve">237690 KQ Equity</t>
  </si>
  <si>
    <t xml:space="preserve">073240</t>
  </si>
  <si>
    <t xml:space="preserve">금호타이어</t>
  </si>
  <si>
    <t xml:space="preserve">KOSE:A073240</t>
  </si>
  <si>
    <t xml:space="preserve">073240 KS Equity</t>
  </si>
  <si>
    <t xml:space="preserve">069960</t>
  </si>
  <si>
    <t xml:space="preserve">현대백화점</t>
  </si>
  <si>
    <t xml:space="preserve">KOSE:A069960</t>
  </si>
  <si>
    <t xml:space="preserve">069960 KS Equity</t>
  </si>
  <si>
    <t xml:space="preserve">005290</t>
  </si>
  <si>
    <t xml:space="preserve">동진쎄미켐</t>
  </si>
  <si>
    <t xml:space="preserve">KOSDAQ:A005290</t>
  </si>
  <si>
    <t xml:space="preserve">005290 KQ Equity</t>
  </si>
  <si>
    <t xml:space="preserve">010170</t>
  </si>
  <si>
    <t xml:space="preserve">대한광통신</t>
  </si>
  <si>
    <t xml:space="preserve">KOSDAQ:A010170</t>
  </si>
  <si>
    <t xml:space="preserve">010170 KQ Equity</t>
  </si>
  <si>
    <t xml:space="preserve">263750</t>
  </si>
  <si>
    <t xml:space="preserve">펄어비스</t>
  </si>
  <si>
    <t xml:space="preserve">KOSDAQ:A263750</t>
  </si>
  <si>
    <t xml:space="preserve">263750 KQ Equity</t>
  </si>
  <si>
    <t xml:space="preserve">112610</t>
  </si>
  <si>
    <t xml:space="preserve">씨에스윈드</t>
  </si>
  <si>
    <t xml:space="preserve">KOSE:A112610</t>
  </si>
  <si>
    <t xml:space="preserve">112610 KS Equity</t>
  </si>
  <si>
    <r>
      <rPr>
        <sz val="9"/>
        <rFont val="WenQuanYi Zen Hei"/>
        <family val="2"/>
      </rPr>
      <t xml:space="preserve">구조용 금속제품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탱크 및 증기발생기 제조업</t>
    </r>
  </si>
  <si>
    <t xml:space="preserve">226950</t>
  </si>
  <si>
    <t xml:space="preserve">올릭스</t>
  </si>
  <si>
    <t xml:space="preserve">KOSDAQ:A226950</t>
  </si>
  <si>
    <t xml:space="preserve">226950 KQ Equity</t>
  </si>
  <si>
    <t xml:space="preserve">098460</t>
  </si>
  <si>
    <t xml:space="preserve">고영</t>
  </si>
  <si>
    <t xml:space="preserve">KOSDAQ:A098460</t>
  </si>
  <si>
    <t xml:space="preserve">098460 KQ Equity</t>
  </si>
  <si>
    <t xml:space="preserve">058610</t>
  </si>
  <si>
    <t xml:space="preserve">에스피지</t>
  </si>
  <si>
    <t xml:space="preserve">KOSDAQ:A058610</t>
  </si>
  <si>
    <t xml:space="preserve">058610 KQ Equity</t>
  </si>
  <si>
    <t xml:space="preserve">083650</t>
  </si>
  <si>
    <t xml:space="preserve">비에이치아이</t>
  </si>
  <si>
    <t xml:space="preserve">KOSDAQ:A083650</t>
  </si>
  <si>
    <t xml:space="preserve">083650 KQ Equity</t>
  </si>
  <si>
    <t xml:space="preserve">032820</t>
  </si>
  <si>
    <t xml:space="preserve">우리기술</t>
  </si>
  <si>
    <t xml:space="preserve">KOSDAQ:A032820</t>
  </si>
  <si>
    <t xml:space="preserve">032820 KQ Equity</t>
  </si>
  <si>
    <t xml:space="preserve">120110</t>
  </si>
  <si>
    <t xml:space="preserve">코오롱인더</t>
  </si>
  <si>
    <t xml:space="preserve">KOSE:A120110</t>
  </si>
  <si>
    <t xml:space="preserve">120110 KS Equity</t>
  </si>
  <si>
    <t xml:space="preserve">화학섬유 제조업</t>
  </si>
  <si>
    <t xml:space="preserve">089030</t>
  </si>
  <si>
    <t xml:space="preserve">테크윙</t>
  </si>
  <si>
    <t xml:space="preserve">KOSDAQ:A089030</t>
  </si>
  <si>
    <t xml:space="preserve">089030 KQ Equity</t>
  </si>
  <si>
    <t xml:space="preserve">475150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</si>
  <si>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이터닉스</t>
    </r>
  </si>
  <si>
    <t xml:space="preserve">KOSE:A475150</t>
  </si>
  <si>
    <t xml:space="preserve">475150 KS Equity</t>
  </si>
  <si>
    <t xml:space="preserve">322000</t>
  </si>
  <si>
    <r>
      <rPr>
        <sz val="9"/>
        <rFont val="Arial"/>
        <family val="0"/>
        <charset val="1"/>
      </rPr>
      <t xml:space="preserve">HD</t>
    </r>
    <r>
      <rPr>
        <sz val="9"/>
        <rFont val="WenQuanYi Zen Hei"/>
        <family val="2"/>
      </rPr>
      <t xml:space="preserve">현대에너지솔루션</t>
    </r>
  </si>
  <si>
    <t xml:space="preserve">KOSE:A322000</t>
  </si>
  <si>
    <t xml:space="preserve">322000 KS Equity</t>
  </si>
  <si>
    <t xml:space="preserve">131970</t>
  </si>
  <si>
    <t xml:space="preserve">두산테스나</t>
  </si>
  <si>
    <t xml:space="preserve">KOSDAQ:A131970</t>
  </si>
  <si>
    <t xml:space="preserve">131970 KQ Equity</t>
  </si>
  <si>
    <r>
      <rPr>
        <sz val="9"/>
        <rFont val="WenQuanYi Zen Hei"/>
        <family val="2"/>
      </rPr>
      <t xml:space="preserve">그외 기타 전문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과학 및 기술 서비스업</t>
    </r>
  </si>
  <si>
    <t xml:space="preserve">950160</t>
  </si>
  <si>
    <t xml:space="preserve">코오롱티슈진</t>
  </si>
  <si>
    <t xml:space="preserve">KOSDAQ:A950160</t>
  </si>
  <si>
    <t xml:space="preserve">950160 KQ Equity</t>
  </si>
  <si>
    <t xml:space="preserve">KOSE:A009155</t>
  </si>
  <si>
    <t xml:space="preserve">009155 KS Equity</t>
  </si>
  <si>
    <t xml:space="preserve">KOSDAQ:A241710</t>
  </si>
  <si>
    <t xml:space="preserve">241710 KQ Equity</t>
  </si>
  <si>
    <t xml:space="preserve">035900</t>
  </si>
  <si>
    <t xml:space="preserve">JYP Ent.</t>
  </si>
  <si>
    <t xml:space="preserve">KOSDAQ:A035900</t>
  </si>
  <si>
    <t xml:space="preserve">035900 KQ Equity</t>
  </si>
  <si>
    <t xml:space="preserve">오디오물 출판 및 원판 녹음업</t>
  </si>
  <si>
    <t xml:space="preserve">089970</t>
  </si>
  <si>
    <t xml:space="preserve">브이엠</t>
  </si>
  <si>
    <t xml:space="preserve">KOSDAQ:A089970</t>
  </si>
  <si>
    <t xml:space="preserve">089970 KQ Equity</t>
  </si>
  <si>
    <t xml:space="preserve">030530</t>
  </si>
  <si>
    <t xml:space="preserve">원익홀딩스</t>
  </si>
  <si>
    <t xml:space="preserve">KOSDAQ:A030530</t>
  </si>
  <si>
    <t xml:space="preserve">030530 KQ Equity</t>
  </si>
  <si>
    <t xml:space="preserve">323280</t>
  </si>
  <si>
    <t xml:space="preserve">태성</t>
  </si>
  <si>
    <t xml:space="preserve">KOSDAQ:A323280</t>
  </si>
  <si>
    <t xml:space="preserve">323280 KQ Equity</t>
  </si>
  <si>
    <t xml:space="preserve">093370</t>
  </si>
  <si>
    <t xml:space="preserve">후성</t>
  </si>
  <si>
    <t xml:space="preserve">KOSE:A093370</t>
  </si>
  <si>
    <t xml:space="preserve">093370 KS Equity</t>
  </si>
  <si>
    <t xml:space="preserve">290650</t>
  </si>
  <si>
    <t xml:space="preserve">엘앤씨바이오</t>
  </si>
  <si>
    <t xml:space="preserve">KOSDAQ:A290650</t>
  </si>
  <si>
    <t xml:space="preserve">290650 KQ Equity</t>
  </si>
  <si>
    <t xml:space="preserve">078600</t>
  </si>
  <si>
    <t xml:space="preserve">대주전자재료</t>
  </si>
  <si>
    <t xml:space="preserve">KOSDAQ:A078600</t>
  </si>
  <si>
    <t xml:space="preserve">078600 KQ Equity</t>
  </si>
  <si>
    <t xml:space="preserve">KOSDAQ:A082920</t>
  </si>
  <si>
    <t xml:space="preserve">082920 KQ Equity</t>
  </si>
  <si>
    <t xml:space="preserve">420770</t>
  </si>
  <si>
    <t xml:space="preserve">기가비스</t>
  </si>
  <si>
    <t xml:space="preserve">KOSDAQ:A420770</t>
  </si>
  <si>
    <t xml:space="preserve">420770 KQ Equity</t>
  </si>
  <si>
    <t xml:space="preserve">KOSDAQ:A183300</t>
  </si>
  <si>
    <t xml:space="preserve">183300 KQ Equity</t>
  </si>
  <si>
    <t xml:space="preserve">281820</t>
  </si>
  <si>
    <t xml:space="preserve">케이씨텍</t>
  </si>
  <si>
    <t xml:space="preserve">KOSE:A281820</t>
  </si>
  <si>
    <t xml:space="preserve">281820 KS Equity</t>
  </si>
  <si>
    <t xml:space="preserve">218410</t>
  </si>
  <si>
    <t xml:space="preserve">RFHIC</t>
  </si>
  <si>
    <t xml:space="preserve">KOSDAQ:A218410</t>
  </si>
  <si>
    <t xml:space="preserve">218410 KQ Equity</t>
  </si>
  <si>
    <t xml:space="preserve">007810</t>
  </si>
  <si>
    <t xml:space="preserve">코리아써키트</t>
  </si>
  <si>
    <t xml:space="preserve">KOSE:A007810</t>
  </si>
  <si>
    <t xml:space="preserve">007810 KS Equity</t>
  </si>
  <si>
    <t xml:space="preserve">043260</t>
  </si>
  <si>
    <t xml:space="preserve">성호전자</t>
  </si>
  <si>
    <t xml:space="preserve">KOSDAQ:A043260</t>
  </si>
  <si>
    <t xml:space="preserve">043260 KQ Equity</t>
  </si>
  <si>
    <t xml:space="preserve">001820</t>
  </si>
  <si>
    <t xml:space="preserve">삼화콘덴서</t>
  </si>
  <si>
    <t xml:space="preserve">KOSE:A001820</t>
  </si>
  <si>
    <t xml:space="preserve">001820 KS Equity</t>
  </si>
  <si>
    <t xml:space="preserve">006340</t>
  </si>
  <si>
    <t xml:space="preserve">대원전선</t>
  </si>
  <si>
    <t xml:space="preserve">KOSE:A006340</t>
  </si>
  <si>
    <t xml:space="preserve">006340 KS Equity</t>
  </si>
  <si>
    <t xml:space="preserve">232140</t>
  </si>
  <si>
    <t xml:space="preserve">와이씨</t>
  </si>
  <si>
    <t xml:space="preserve">KOSDAQ:A232140</t>
  </si>
  <si>
    <t xml:space="preserve">232140 KQ Equity</t>
  </si>
  <si>
    <t xml:space="preserve">347700</t>
  </si>
  <si>
    <t xml:space="preserve">스피어</t>
  </si>
  <si>
    <t xml:space="preserve">KOSDAQ:A347700</t>
  </si>
  <si>
    <t xml:space="preserve">347700 KQ Equity</t>
  </si>
  <si>
    <t xml:space="preserve">036540</t>
  </si>
  <si>
    <r>
      <rPr>
        <sz val="9"/>
        <rFont val="Arial"/>
        <family val="0"/>
        <charset val="1"/>
      </rPr>
      <t xml:space="preserve">SFA</t>
    </r>
    <r>
      <rPr>
        <sz val="9"/>
        <rFont val="WenQuanYi Zen Hei"/>
        <family val="2"/>
      </rPr>
      <t xml:space="preserve">반도체</t>
    </r>
  </si>
  <si>
    <t xml:space="preserve">KOSDAQ:A036540</t>
  </si>
  <si>
    <t xml:space="preserve">036540 KQ Equity</t>
  </si>
  <si>
    <t xml:space="preserve">KOSDAQ:A356860</t>
  </si>
  <si>
    <t xml:space="preserve">356860 KQ Equity</t>
  </si>
  <si>
    <t xml:space="preserve">100090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</si>
  <si>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오션플랜트</t>
    </r>
  </si>
  <si>
    <t xml:space="preserve">KOSE:A100090</t>
  </si>
  <si>
    <t xml:space="preserve">100090 KS Equity</t>
  </si>
  <si>
    <t xml:space="preserve">KOSDAQ:A950260</t>
  </si>
  <si>
    <t xml:space="preserve">950260 KQ Equity</t>
  </si>
  <si>
    <t xml:space="preserve">124500</t>
  </si>
  <si>
    <t xml:space="preserve">아이티센글로벌</t>
  </si>
  <si>
    <t xml:space="preserve">KOSDAQ:A124500</t>
  </si>
  <si>
    <t xml:space="preserve">124500 KQ Equity</t>
  </si>
  <si>
    <t xml:space="preserve">KOSDAQ:A476830</t>
  </si>
  <si>
    <t xml:space="preserve">476830 KQ Equity</t>
  </si>
  <si>
    <t xml:space="preserve">100790</t>
  </si>
  <si>
    <t xml:space="preserve">미래에셋벤처투자</t>
  </si>
  <si>
    <t xml:space="preserve">KOSDAQ:A100790</t>
  </si>
  <si>
    <t xml:space="preserve">100790 KQ Equity</t>
  </si>
  <si>
    <t xml:space="preserve">119850</t>
  </si>
  <si>
    <t xml:space="preserve">지엔씨에너지</t>
  </si>
  <si>
    <t xml:space="preserve">KOSDAQ:A119850</t>
  </si>
  <si>
    <t xml:space="preserve">119850 KQ Equity</t>
  </si>
  <si>
    <t xml:space="preserve">090360</t>
  </si>
  <si>
    <t xml:space="preserve">로보스타</t>
  </si>
  <si>
    <t xml:space="preserve">KOSDAQ:A090360</t>
  </si>
  <si>
    <t xml:space="preserve">090360 KQ Equity</t>
  </si>
  <si>
    <t xml:space="preserve">466100</t>
  </si>
  <si>
    <t xml:space="preserve">클로봇</t>
  </si>
  <si>
    <t xml:space="preserve">KOSDAQ:A466100</t>
  </si>
  <si>
    <t xml:space="preserve">466100 KQ Equity</t>
  </si>
  <si>
    <t xml:space="preserve">KOSE:A241560</t>
  </si>
  <si>
    <t xml:space="preserve">241560 KS Equity</t>
  </si>
  <si>
    <t xml:space="preserve">175330</t>
  </si>
  <si>
    <r>
      <rPr>
        <sz val="9"/>
        <rFont val="Arial"/>
        <family val="0"/>
        <charset val="1"/>
      </rPr>
      <t xml:space="preserve">JB</t>
    </r>
    <r>
      <rPr>
        <sz val="9"/>
        <rFont val="WenQuanYi Zen Hei"/>
        <family val="2"/>
      </rPr>
      <t xml:space="preserve">금융지주</t>
    </r>
  </si>
  <si>
    <t xml:space="preserve">KOSE:A175330</t>
  </si>
  <si>
    <t xml:space="preserve">175330 KS Equity</t>
  </si>
  <si>
    <t xml:space="preserve">029780</t>
  </si>
  <si>
    <t xml:space="preserve">삼성카드</t>
  </si>
  <si>
    <t xml:space="preserve">KOSE:A029780</t>
  </si>
  <si>
    <t xml:space="preserve">029780 KS Equity</t>
  </si>
  <si>
    <t xml:space="preserve">036460</t>
  </si>
  <si>
    <t xml:space="preserve">한국가스공사</t>
  </si>
  <si>
    <t xml:space="preserve">KOSE:A036460</t>
  </si>
  <si>
    <t xml:space="preserve">036460 KS Equity</t>
  </si>
  <si>
    <t xml:space="preserve">연료용 가스 제조 및 배관공급업</t>
  </si>
  <si>
    <t xml:space="preserve">111770</t>
  </si>
  <si>
    <t xml:space="preserve">영원무역</t>
  </si>
  <si>
    <t xml:space="preserve">KOSE:A111770</t>
  </si>
  <si>
    <t xml:space="preserve">111770 KS Equity</t>
  </si>
  <si>
    <t xml:space="preserve">상품 종합 도매업</t>
  </si>
  <si>
    <t xml:space="preserve">251270</t>
  </si>
  <si>
    <t xml:space="preserve">넷마블</t>
  </si>
  <si>
    <t xml:space="preserve">KOSE:A251270</t>
  </si>
  <si>
    <t xml:space="preserve">251270 KS Equity</t>
  </si>
  <si>
    <t xml:space="preserve">139130</t>
  </si>
  <si>
    <r>
      <rPr>
        <sz val="9"/>
        <rFont val="Arial"/>
        <family val="0"/>
        <charset val="1"/>
      </rPr>
      <t xml:space="preserve">iM</t>
    </r>
    <r>
      <rPr>
        <sz val="9"/>
        <rFont val="WenQuanYi Zen Hei"/>
        <family val="2"/>
      </rPr>
      <t xml:space="preserve">금융지주</t>
    </r>
  </si>
  <si>
    <t xml:space="preserve">KOSE:A139130</t>
  </si>
  <si>
    <t xml:space="preserve">139130 KS Equity</t>
  </si>
  <si>
    <t xml:space="preserve">085620</t>
  </si>
  <si>
    <t xml:space="preserve">미래에셋생명</t>
  </si>
  <si>
    <t xml:space="preserve">KOSE:A085620</t>
  </si>
  <si>
    <t xml:space="preserve">085620 KS Equity</t>
  </si>
  <si>
    <t xml:space="preserve">KOSE:A011170</t>
  </si>
  <si>
    <t xml:space="preserve">011170 KS Equity</t>
  </si>
  <si>
    <t xml:space="preserve">357780</t>
  </si>
  <si>
    <t xml:space="preserve">솔브레인</t>
  </si>
  <si>
    <t xml:space="preserve">KOSDAQ:A357780</t>
  </si>
  <si>
    <t xml:space="preserve">357780 KQ Equity</t>
  </si>
  <si>
    <t xml:space="preserve">489790</t>
  </si>
  <si>
    <t xml:space="preserve">한화비전</t>
  </si>
  <si>
    <t xml:space="preserve">KOSE:A489790</t>
  </si>
  <si>
    <t xml:space="preserve">489790 KS Equity</t>
  </si>
  <si>
    <t xml:space="preserve">030000</t>
  </si>
  <si>
    <t xml:space="preserve">제일기획</t>
  </si>
  <si>
    <t xml:space="preserve">KOSE:A030000</t>
  </si>
  <si>
    <t xml:space="preserve">030000 KS Equity</t>
  </si>
  <si>
    <t xml:space="preserve">광고업</t>
  </si>
  <si>
    <t xml:space="preserve">014680</t>
  </si>
  <si>
    <t xml:space="preserve">한솔케미칼</t>
  </si>
  <si>
    <t xml:space="preserve">KOSE:A014680</t>
  </si>
  <si>
    <t xml:space="preserve">014680 KS Equity</t>
  </si>
  <si>
    <t xml:space="preserve">051600</t>
  </si>
  <si>
    <r>
      <rPr>
        <sz val="9"/>
        <rFont val="WenQuanYi Zen Hei"/>
        <family val="2"/>
      </rPr>
      <t xml:space="preserve">한전</t>
    </r>
    <r>
      <rPr>
        <sz val="9"/>
        <rFont val="Arial"/>
        <family val="0"/>
        <charset val="1"/>
      </rPr>
      <t xml:space="preserve">KPS</t>
    </r>
  </si>
  <si>
    <t xml:space="preserve">KOSE:A051600</t>
  </si>
  <si>
    <t xml:space="preserve">051600 KS Equity</t>
  </si>
  <si>
    <t xml:space="preserve">전기 및 통신 공사업</t>
  </si>
  <si>
    <t xml:space="preserve">KOSE:A139480</t>
  </si>
  <si>
    <t xml:space="preserve">139480 KS Equity</t>
  </si>
  <si>
    <t xml:space="preserve">457190</t>
  </si>
  <si>
    <t xml:space="preserve">이수스페셜티케미컬</t>
  </si>
  <si>
    <t xml:space="preserve">KOSE:A457190</t>
  </si>
  <si>
    <t xml:space="preserve">457190 KS Equity</t>
  </si>
  <si>
    <t xml:space="preserve">020150</t>
  </si>
  <si>
    <t xml:space="preserve">롯데에너지머티리얼즈</t>
  </si>
  <si>
    <t xml:space="preserve">KOSE:A020150</t>
  </si>
  <si>
    <t xml:space="preserve">020150 KS Equity</t>
  </si>
  <si>
    <t xml:space="preserve">140860</t>
  </si>
  <si>
    <t xml:space="preserve">파크시스템스</t>
  </si>
  <si>
    <t xml:space="preserve">KOSDAQ:A140860</t>
  </si>
  <si>
    <t xml:space="preserve">140860 KQ Equity</t>
  </si>
  <si>
    <t xml:space="preserve">041510</t>
  </si>
  <si>
    <t xml:space="preserve">에스엠</t>
  </si>
  <si>
    <t xml:space="preserve">KOSDAQ:A041510</t>
  </si>
  <si>
    <t xml:space="preserve">041510 KQ Equity</t>
  </si>
  <si>
    <t xml:space="preserve">071970</t>
  </si>
  <si>
    <r>
      <rPr>
        <sz val="9"/>
        <rFont val="Arial"/>
        <family val="0"/>
        <charset val="1"/>
      </rPr>
      <t xml:space="preserve">HD</t>
    </r>
    <r>
      <rPr>
        <sz val="9"/>
        <rFont val="WenQuanYi Zen Hei"/>
        <family val="2"/>
      </rPr>
      <t xml:space="preserve">현대마린엔진</t>
    </r>
  </si>
  <si>
    <t xml:space="preserve">KOSE:A071970</t>
  </si>
  <si>
    <t xml:space="preserve">071970 KS Equity</t>
  </si>
  <si>
    <t xml:space="preserve">096530</t>
  </si>
  <si>
    <t xml:space="preserve">씨젠</t>
  </si>
  <si>
    <t xml:space="preserve">KOSDAQ:A096530</t>
  </si>
  <si>
    <t xml:space="preserve">096530 KQ Equity</t>
  </si>
  <si>
    <t xml:space="preserve">의료용품 및 기타 의약 관련제품 제조업</t>
  </si>
  <si>
    <t xml:space="preserve">008770</t>
  </si>
  <si>
    <t xml:space="preserve">호텔신라</t>
  </si>
  <si>
    <t xml:space="preserve">KOSE:A008770</t>
  </si>
  <si>
    <t xml:space="preserve">008770 KS Equity</t>
  </si>
  <si>
    <t xml:space="preserve">기타 상품 전문 소매업</t>
  </si>
  <si>
    <t xml:space="preserve">007390</t>
  </si>
  <si>
    <t xml:space="preserve">네이처셀</t>
  </si>
  <si>
    <t xml:space="preserve">KOSDAQ:A007390</t>
  </si>
  <si>
    <t xml:space="preserve">007390 KQ Equity</t>
  </si>
  <si>
    <t xml:space="preserve">비알코올음료 및 얼음 제조업</t>
  </si>
  <si>
    <t xml:space="preserve">298020</t>
  </si>
  <si>
    <t xml:space="preserve">효성티앤씨</t>
  </si>
  <si>
    <t xml:space="preserve">KOSE:A298020</t>
  </si>
  <si>
    <t xml:space="preserve">298020 KS Equity</t>
  </si>
  <si>
    <t xml:space="preserve">001430</t>
  </si>
  <si>
    <t xml:space="preserve">세아베스틸지주</t>
  </si>
  <si>
    <t xml:space="preserve">KOSE:A001430</t>
  </si>
  <si>
    <t xml:space="preserve">001430 KS Equity</t>
  </si>
  <si>
    <t xml:space="preserve">039200</t>
  </si>
  <si>
    <t xml:space="preserve">오스코텍</t>
  </si>
  <si>
    <t xml:space="preserve">KOSDAQ:A039200</t>
  </si>
  <si>
    <t xml:space="preserve">039200 KQ Equity</t>
  </si>
  <si>
    <t xml:space="preserve">361610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</si>
  <si>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아이이테크놀로지</t>
    </r>
  </si>
  <si>
    <t xml:space="preserve">KOSE:A361610</t>
  </si>
  <si>
    <t xml:space="preserve">361610 KS Equity</t>
  </si>
  <si>
    <t xml:space="preserve">001740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</si>
  <si>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네트웍스</t>
    </r>
  </si>
  <si>
    <t xml:space="preserve">KOSE:A001740</t>
  </si>
  <si>
    <t xml:space="preserve">001740 KS Equity</t>
  </si>
  <si>
    <t xml:space="preserve">KOSE:A066575</t>
  </si>
  <si>
    <t xml:space="preserve">066575 KS Equity</t>
  </si>
  <si>
    <t xml:space="preserve">003380</t>
  </si>
  <si>
    <t xml:space="preserve">하림지주</t>
  </si>
  <si>
    <t xml:space="preserve">KOSDAQ:A003380</t>
  </si>
  <si>
    <t xml:space="preserve">003380 KQ Equity</t>
  </si>
  <si>
    <t xml:space="preserve">475830</t>
  </si>
  <si>
    <t xml:space="preserve">오름테라퓨틱</t>
  </si>
  <si>
    <t xml:space="preserve">KOSDAQ:A475830</t>
  </si>
  <si>
    <t xml:space="preserve">475830 KQ Equity</t>
  </si>
  <si>
    <t xml:space="preserve">195940</t>
  </si>
  <si>
    <r>
      <rPr>
        <sz val="9"/>
        <rFont val="Arial"/>
        <family val="0"/>
        <charset val="1"/>
      </rPr>
      <t xml:space="preserve">HK</t>
    </r>
    <r>
      <rPr>
        <sz val="9"/>
        <rFont val="WenQuanYi Zen Hei"/>
        <family val="2"/>
      </rPr>
      <t xml:space="preserve">이노엔</t>
    </r>
  </si>
  <si>
    <t xml:space="preserve">KOSDAQ:A195940</t>
  </si>
  <si>
    <t xml:space="preserve">195940 KQ Equity</t>
  </si>
  <si>
    <t xml:space="preserve">017960</t>
  </si>
  <si>
    <t xml:space="preserve">한국카본</t>
  </si>
  <si>
    <t xml:space="preserve">KOSE:A017960</t>
  </si>
  <si>
    <t xml:space="preserve">017960 KS Equity</t>
  </si>
  <si>
    <t xml:space="preserve">127120</t>
  </si>
  <si>
    <t xml:space="preserve">제이에스링크</t>
  </si>
  <si>
    <t xml:space="preserve">KOSDAQ:A127120</t>
  </si>
  <si>
    <t xml:space="preserve">127120 KQ Equity</t>
  </si>
  <si>
    <t xml:space="preserve">204270</t>
  </si>
  <si>
    <t xml:space="preserve">제이앤티씨</t>
  </si>
  <si>
    <t xml:space="preserve">KOSDAQ:A204270</t>
  </si>
  <si>
    <t xml:space="preserve">204270 KQ Equity</t>
  </si>
  <si>
    <t xml:space="preserve">KOSE:A006110</t>
  </si>
  <si>
    <t xml:space="preserve">006110 KS Equity</t>
  </si>
  <si>
    <t xml:space="preserve">003530</t>
  </si>
  <si>
    <t xml:space="preserve">한화투자증권</t>
  </si>
  <si>
    <t xml:space="preserve">KOSE:A003530</t>
  </si>
  <si>
    <t xml:space="preserve">003530 KS Equity</t>
  </si>
  <si>
    <t xml:space="preserve">032350</t>
  </si>
  <si>
    <t xml:space="preserve">롯데관광개발</t>
  </si>
  <si>
    <t xml:space="preserve">KOSE:A032350</t>
  </si>
  <si>
    <t xml:space="preserve">032350 KS Equity</t>
  </si>
  <si>
    <t xml:space="preserve">여행사 및 기타 여행보조 서비스업</t>
  </si>
  <si>
    <t xml:space="preserve">086450</t>
  </si>
  <si>
    <t xml:space="preserve">동국제약</t>
  </si>
  <si>
    <t xml:space="preserve">KOSDAQ:A086450</t>
  </si>
  <si>
    <t xml:space="preserve">086450 KQ Equity</t>
  </si>
  <si>
    <t xml:space="preserve">166090</t>
  </si>
  <si>
    <t xml:space="preserve">하나머티리얼즈</t>
  </si>
  <si>
    <t xml:space="preserve">KOSDAQ:A166090</t>
  </si>
  <si>
    <t xml:space="preserve">166090 KQ Equity</t>
  </si>
  <si>
    <t xml:space="preserve">293490</t>
  </si>
  <si>
    <t xml:space="preserve">카카오게임즈</t>
  </si>
  <si>
    <t xml:space="preserve">KOSDAQ:A293490</t>
  </si>
  <si>
    <t xml:space="preserve">293490 KQ Equity</t>
  </si>
  <si>
    <t xml:space="preserve">437730</t>
  </si>
  <si>
    <t xml:space="preserve">삼현</t>
  </si>
  <si>
    <t xml:space="preserve">KOSDAQ:A437730</t>
  </si>
  <si>
    <t xml:space="preserve">437730 KQ Equity</t>
  </si>
  <si>
    <t xml:space="preserve">003160</t>
  </si>
  <si>
    <t xml:space="preserve">디아이</t>
  </si>
  <si>
    <t xml:space="preserve">KOSE:A003160</t>
  </si>
  <si>
    <t xml:space="preserve">003160 KS Equity</t>
  </si>
  <si>
    <t xml:space="preserve">KOSE:A005180</t>
  </si>
  <si>
    <t xml:space="preserve">005180 KS Equity</t>
  </si>
  <si>
    <t xml:space="preserve">낙농제품 및 식용빙과류 제조업</t>
  </si>
  <si>
    <t xml:space="preserve">195870</t>
  </si>
  <si>
    <t xml:space="preserve">해성디에스</t>
  </si>
  <si>
    <t xml:space="preserve">KOSE:A195870</t>
  </si>
  <si>
    <t xml:space="preserve">195870 KS Equity</t>
  </si>
  <si>
    <t xml:space="preserve">491000</t>
  </si>
  <si>
    <t xml:space="preserve">리브스메드</t>
  </si>
  <si>
    <t xml:space="preserve">KOSDAQ:A491000</t>
  </si>
  <si>
    <t xml:space="preserve">491000 KQ Equity</t>
  </si>
  <si>
    <t xml:space="preserve">101490</t>
  </si>
  <si>
    <t xml:space="preserve">에스앤에스텍</t>
  </si>
  <si>
    <t xml:space="preserve">KOSDAQ:A101490</t>
  </si>
  <si>
    <t xml:space="preserve">101490 KQ Equity</t>
  </si>
  <si>
    <t xml:space="preserve">445680</t>
  </si>
  <si>
    <t xml:space="preserve">큐리옥스바이오시스템즈</t>
  </si>
  <si>
    <t xml:space="preserve">KOSDAQ:A445680</t>
  </si>
  <si>
    <t xml:space="preserve">445680 KQ Equity</t>
  </si>
  <si>
    <t xml:space="preserve">041830</t>
  </si>
  <si>
    <t xml:space="preserve">인바디</t>
  </si>
  <si>
    <t xml:space="preserve">KOSDAQ:A041830</t>
  </si>
  <si>
    <t xml:space="preserve">041830 KQ Equity</t>
  </si>
  <si>
    <t xml:space="preserve">KOSDAQ:A458870</t>
  </si>
  <si>
    <t xml:space="preserve">458870 KQ Equity</t>
  </si>
  <si>
    <t xml:space="preserve">252990</t>
  </si>
  <si>
    <t xml:space="preserve">샘씨엔에스</t>
  </si>
  <si>
    <t xml:space="preserve">KOSDAQ:A252990</t>
  </si>
  <si>
    <t xml:space="preserve">252990 KQ Equity</t>
  </si>
  <si>
    <t xml:space="preserve">031330</t>
  </si>
  <si>
    <t xml:space="preserve">에스에이엠티</t>
  </si>
  <si>
    <t xml:space="preserve">KOSDAQ:A031330</t>
  </si>
  <si>
    <t xml:space="preserve">031330 KQ Equity</t>
  </si>
  <si>
    <t xml:space="preserve">기계장비 및 관련 물품 도매업</t>
  </si>
  <si>
    <t xml:space="preserve">213420</t>
  </si>
  <si>
    <t xml:space="preserve">덕산네오룩스</t>
  </si>
  <si>
    <t xml:space="preserve">KOSDAQ:A213420</t>
  </si>
  <si>
    <t xml:space="preserve">213420 KQ Equity</t>
  </si>
  <si>
    <t xml:space="preserve">005090</t>
  </si>
  <si>
    <r>
      <rPr>
        <sz val="9"/>
        <rFont val="Arial"/>
        <family val="0"/>
        <charset val="1"/>
      </rPr>
      <t xml:space="preserve">SGC</t>
    </r>
    <r>
      <rPr>
        <sz val="9"/>
        <rFont val="WenQuanYi Zen Hei"/>
        <family val="2"/>
      </rPr>
      <t xml:space="preserve">에너지</t>
    </r>
  </si>
  <si>
    <t xml:space="preserve">KOSE:A005090</t>
  </si>
  <si>
    <t xml:space="preserve">005090 KS Equity</t>
  </si>
  <si>
    <t xml:space="preserve">유리 및 유리제품 제조업</t>
  </si>
  <si>
    <t xml:space="preserve">122870</t>
  </si>
  <si>
    <t xml:space="preserve">와이지엔터테인먼트</t>
  </si>
  <si>
    <t xml:space="preserve">KOSDAQ:A122870</t>
  </si>
  <si>
    <t xml:space="preserve">122870 KQ Equity</t>
  </si>
  <si>
    <t xml:space="preserve">083450</t>
  </si>
  <si>
    <t xml:space="preserve">GST</t>
  </si>
  <si>
    <t xml:space="preserve">KOSDAQ:A083450</t>
  </si>
  <si>
    <t xml:space="preserve">083450 KQ Equity</t>
  </si>
  <si>
    <t xml:space="preserve">090710</t>
  </si>
  <si>
    <t xml:space="preserve">휴림로봇</t>
  </si>
  <si>
    <t xml:space="preserve">KOSDAQ:A090710</t>
  </si>
  <si>
    <t xml:space="preserve">090710 KQ Equity</t>
  </si>
  <si>
    <t xml:space="preserve">417200</t>
  </si>
  <si>
    <r>
      <rPr>
        <sz val="9"/>
        <rFont val="Arial"/>
        <family val="0"/>
        <charset val="1"/>
      </rPr>
      <t xml:space="preserve">LS</t>
    </r>
    <r>
      <rPr>
        <sz val="9"/>
        <rFont val="WenQuanYi Zen Hei"/>
        <family val="2"/>
      </rPr>
      <t xml:space="preserve">머트리얼즈</t>
    </r>
  </si>
  <si>
    <t xml:space="preserve">KOSDAQ:A417200</t>
  </si>
  <si>
    <t xml:space="preserve">417200 KQ Equity</t>
  </si>
  <si>
    <t xml:space="preserve">033100</t>
  </si>
  <si>
    <t xml:space="preserve">제룡전기</t>
  </si>
  <si>
    <t xml:space="preserve">KOSDAQ:A033100</t>
  </si>
  <si>
    <t xml:space="preserve">033100 KQ Equity</t>
  </si>
  <si>
    <t xml:space="preserve">074600</t>
  </si>
  <si>
    <r>
      <rPr>
        <sz val="9"/>
        <rFont val="WenQuanYi Zen Hei"/>
        <family val="2"/>
      </rPr>
      <t xml:space="preserve">원익</t>
    </r>
    <r>
      <rPr>
        <sz val="9"/>
        <rFont val="Arial"/>
        <family val="0"/>
        <charset val="1"/>
      </rPr>
      <t xml:space="preserve">QnC</t>
    </r>
  </si>
  <si>
    <t xml:space="preserve">KOSDAQ:A074600</t>
  </si>
  <si>
    <t xml:space="preserve">074600 KQ Equity</t>
  </si>
  <si>
    <t xml:space="preserve">189300</t>
  </si>
  <si>
    <t xml:space="preserve">인텔리안테크</t>
  </si>
  <si>
    <t xml:space="preserve">KOSDAQ:A189300</t>
  </si>
  <si>
    <t xml:space="preserve">189300 KQ Equity</t>
  </si>
  <si>
    <t xml:space="preserve">035250</t>
  </si>
  <si>
    <t xml:space="preserve">강원랜드</t>
  </si>
  <si>
    <t xml:space="preserve">KOSE:A035250</t>
  </si>
  <si>
    <t xml:space="preserve">035250 KS Equity</t>
  </si>
  <si>
    <t xml:space="preserve">유원지 및 기타 오락관련 서비스업</t>
  </si>
  <si>
    <t xml:space="preserve">031210</t>
  </si>
  <si>
    <t xml:space="preserve">서울보증보험</t>
  </si>
  <si>
    <t xml:space="preserve">KOSE:A031210</t>
  </si>
  <si>
    <t xml:space="preserve">031210 KS Equity</t>
  </si>
  <si>
    <t xml:space="preserve">012750</t>
  </si>
  <si>
    <t xml:space="preserve">에스원</t>
  </si>
  <si>
    <t xml:space="preserve">KOSE:A012750</t>
  </si>
  <si>
    <t xml:space="preserve">012750 KS Equity</t>
  </si>
  <si>
    <r>
      <rPr>
        <sz val="9"/>
        <rFont val="WenQuanYi Zen Hei"/>
        <family val="2"/>
      </rPr>
      <t xml:space="preserve">경비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경호 및 탐정업</t>
    </r>
  </si>
  <si>
    <t xml:space="preserve">302440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</si>
  <si>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바이오사이언스</t>
    </r>
  </si>
  <si>
    <t xml:space="preserve">KOSE:A302440</t>
  </si>
  <si>
    <t xml:space="preserve">302440 KS Equity</t>
  </si>
  <si>
    <t xml:space="preserve">003690</t>
  </si>
  <si>
    <t xml:space="preserve">코리안리</t>
  </si>
  <si>
    <t xml:space="preserve">KOSE:A003690</t>
  </si>
  <si>
    <t xml:space="preserve">003690 KS Equity</t>
  </si>
  <si>
    <t xml:space="preserve">재 보험업</t>
  </si>
  <si>
    <t xml:space="preserve">KOSE:A004800</t>
  </si>
  <si>
    <t xml:space="preserve">004800 KS Equity</t>
  </si>
  <si>
    <t xml:space="preserve">383220</t>
  </si>
  <si>
    <t xml:space="preserve">F&amp;F</t>
  </si>
  <si>
    <t xml:space="preserve">KOSE:A383220</t>
  </si>
  <si>
    <t xml:space="preserve">383220 KS Equity</t>
  </si>
  <si>
    <t xml:space="preserve">KOSE:A004990</t>
  </si>
  <si>
    <t xml:space="preserve">004990 KS Equity</t>
  </si>
  <si>
    <t xml:space="preserve">005850</t>
  </si>
  <si>
    <t xml:space="preserve">에스엘</t>
  </si>
  <si>
    <t xml:space="preserve">KOSE:A005850</t>
  </si>
  <si>
    <t xml:space="preserve">005850 KS Equity</t>
  </si>
  <si>
    <t xml:space="preserve">KOSDAQ:A214370</t>
  </si>
  <si>
    <t xml:space="preserve">214370 KQ Equity</t>
  </si>
  <si>
    <t xml:space="preserve">000240</t>
  </si>
  <si>
    <t xml:space="preserve">한국앤컴퍼니</t>
  </si>
  <si>
    <t xml:space="preserve">KOSE:A000240</t>
  </si>
  <si>
    <t xml:space="preserve">000240 KS Equity</t>
  </si>
  <si>
    <t xml:space="preserve">279570</t>
  </si>
  <si>
    <t xml:space="preserve">케이뱅크</t>
  </si>
  <si>
    <t xml:space="preserve">KOSE:A279570</t>
  </si>
  <si>
    <t xml:space="preserve">279570 KS Equity</t>
  </si>
  <si>
    <t xml:space="preserve">009970</t>
  </si>
  <si>
    <t xml:space="preserve">영원무역홀딩스</t>
  </si>
  <si>
    <t xml:space="preserve">KOSE:A009970</t>
  </si>
  <si>
    <t xml:space="preserve">009970 KS Equity</t>
  </si>
  <si>
    <t xml:space="preserve">005440</t>
  </si>
  <si>
    <t xml:space="preserve">현대지에프홀딩스</t>
  </si>
  <si>
    <t xml:space="preserve">KOSE:A005440</t>
  </si>
  <si>
    <t xml:space="preserve">005440 KS Equity</t>
  </si>
  <si>
    <t xml:space="preserve">081660</t>
  </si>
  <si>
    <t xml:space="preserve">미스토홀딩스</t>
  </si>
  <si>
    <t xml:space="preserve">KOSE:A081660</t>
  </si>
  <si>
    <t xml:space="preserve">081660 KS Equity</t>
  </si>
  <si>
    <t xml:space="preserve">018670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</si>
  <si>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가스</t>
    </r>
  </si>
  <si>
    <t xml:space="preserve">KOSE:A018670</t>
  </si>
  <si>
    <t xml:space="preserve">018670 KS Equity</t>
  </si>
  <si>
    <t xml:space="preserve">007070</t>
  </si>
  <si>
    <r>
      <rPr>
        <sz val="9"/>
        <rFont val="Arial"/>
        <family val="0"/>
        <charset val="1"/>
      </rPr>
      <t xml:space="preserve">GS</t>
    </r>
    <r>
      <rPr>
        <sz val="9"/>
        <rFont val="WenQuanYi Zen Hei"/>
        <family val="2"/>
      </rPr>
      <t xml:space="preserve">리테일</t>
    </r>
  </si>
  <si>
    <t xml:space="preserve">KOSE:A007070</t>
  </si>
  <si>
    <t xml:space="preserve">007070 KS Equity</t>
  </si>
  <si>
    <t xml:space="preserve">002790</t>
  </si>
  <si>
    <t xml:space="preserve">아모레퍼시픽홀딩스</t>
  </si>
  <si>
    <t xml:space="preserve">KOSE:A002790</t>
  </si>
  <si>
    <t xml:space="preserve">002790 KS Equity</t>
  </si>
  <si>
    <t xml:space="preserve">KOSE:A089860</t>
  </si>
  <si>
    <t xml:space="preserve">089860 KS Equity</t>
  </si>
  <si>
    <t xml:space="preserve">KOSDAQ:A068760</t>
  </si>
  <si>
    <t xml:space="preserve">068760 KQ Equity</t>
  </si>
  <si>
    <t xml:space="preserve">439260</t>
  </si>
  <si>
    <t xml:space="preserve">대한조선</t>
  </si>
  <si>
    <t xml:space="preserve">KOSE:A439260</t>
  </si>
  <si>
    <t xml:space="preserve">439260 KS Equity</t>
  </si>
  <si>
    <t xml:space="preserve">000120</t>
  </si>
  <si>
    <r>
      <rPr>
        <sz val="9"/>
        <rFont val="Arial"/>
        <family val="0"/>
        <charset val="1"/>
      </rPr>
      <t xml:space="preserve">CJ</t>
    </r>
    <r>
      <rPr>
        <sz val="9"/>
        <rFont val="WenQuanYi Zen Hei"/>
        <family val="2"/>
      </rPr>
      <t xml:space="preserve">대한통운</t>
    </r>
  </si>
  <si>
    <t xml:space="preserve">KOSE:A000120</t>
  </si>
  <si>
    <t xml:space="preserve">000120 KS Equity</t>
  </si>
  <si>
    <t xml:space="preserve">도로 화물 운송업</t>
  </si>
  <si>
    <t xml:space="preserve">006040</t>
  </si>
  <si>
    <t xml:space="preserve">동원산업</t>
  </si>
  <si>
    <t xml:space="preserve">KOSE:A006040</t>
  </si>
  <si>
    <t xml:space="preserve">006040 KS Equity</t>
  </si>
  <si>
    <t xml:space="preserve">어로 어업</t>
  </si>
  <si>
    <t xml:space="preserve">KOSE:A000155</t>
  </si>
  <si>
    <t xml:space="preserve">000155 KS Equity</t>
  </si>
  <si>
    <t xml:space="preserve">001120</t>
  </si>
  <si>
    <r>
      <rPr>
        <sz val="9"/>
        <rFont val="Arial"/>
        <family val="0"/>
        <charset val="1"/>
      </rPr>
      <t xml:space="preserve">LX</t>
    </r>
    <r>
      <rPr>
        <sz val="9"/>
        <rFont val="WenQuanYi Zen Hei"/>
        <family val="2"/>
      </rPr>
      <t xml:space="preserve">인터내셔널</t>
    </r>
  </si>
  <si>
    <t xml:space="preserve">KOSE:A001120</t>
  </si>
  <si>
    <t xml:space="preserve">001120 KS Equity</t>
  </si>
  <si>
    <t xml:space="preserve">011210</t>
  </si>
  <si>
    <t xml:space="preserve">현대위아</t>
  </si>
  <si>
    <t xml:space="preserve">KOSE:A011210</t>
  </si>
  <si>
    <t xml:space="preserve">011210 KS Equity</t>
  </si>
  <si>
    <t xml:space="preserve">KOSDAQ:A060370</t>
  </si>
  <si>
    <t xml:space="preserve">060370 KQ Equity</t>
  </si>
  <si>
    <t xml:space="preserve">294870</t>
  </si>
  <si>
    <r>
      <rPr>
        <sz val="9"/>
        <rFont val="Arial"/>
        <family val="0"/>
        <charset val="1"/>
      </rPr>
      <t xml:space="preserve">IPARK</t>
    </r>
    <r>
      <rPr>
        <sz val="9"/>
        <rFont val="WenQuanYi Zen Hei"/>
        <family val="2"/>
      </rPr>
      <t xml:space="preserve">현대산업개발</t>
    </r>
  </si>
  <si>
    <t xml:space="preserve">KOSE:A294870</t>
  </si>
  <si>
    <t xml:space="preserve">294870 KS Equity</t>
  </si>
  <si>
    <t xml:space="preserve">KOSE:A001800</t>
  </si>
  <si>
    <t xml:space="preserve">001800 KS Equity</t>
  </si>
  <si>
    <t xml:space="preserve">006280</t>
  </si>
  <si>
    <t xml:space="preserve">녹십자</t>
  </si>
  <si>
    <t xml:space="preserve">KOSE:A006280</t>
  </si>
  <si>
    <t xml:space="preserve">006280 KS Equity</t>
  </si>
  <si>
    <t xml:space="preserve">097230</t>
  </si>
  <si>
    <r>
      <rPr>
        <sz val="9"/>
        <rFont val="Arial"/>
        <family val="0"/>
        <charset val="1"/>
      </rPr>
      <t xml:space="preserve">HJ</t>
    </r>
    <r>
      <rPr>
        <sz val="9"/>
        <rFont val="WenQuanYi Zen Hei"/>
        <family val="2"/>
      </rPr>
      <t xml:space="preserve">중공업</t>
    </r>
  </si>
  <si>
    <t xml:space="preserve">KOSE:A097230</t>
  </si>
  <si>
    <t xml:space="preserve">097230 KS Equity</t>
  </si>
  <si>
    <t xml:space="preserve">0009K0</t>
  </si>
  <si>
    <t xml:space="preserve">에임드바이오</t>
  </si>
  <si>
    <t xml:space="preserve">KOSDAQ:A0009K0</t>
  </si>
  <si>
    <t xml:space="preserve">0009K0 KQ Equity</t>
  </si>
  <si>
    <t xml:space="preserve">KOSE:A00680K</t>
  </si>
  <si>
    <t xml:space="preserve">00680K KS Equity</t>
  </si>
  <si>
    <t xml:space="preserve">280360</t>
  </si>
  <si>
    <t xml:space="preserve">롯데웰푸드</t>
  </si>
  <si>
    <t xml:space="preserve">KOSE:A280360</t>
  </si>
  <si>
    <t xml:space="preserve">280360 KS Equity</t>
  </si>
  <si>
    <t xml:space="preserve">229640</t>
  </si>
  <si>
    <r>
      <rPr>
        <sz val="9"/>
        <rFont val="Arial"/>
        <family val="0"/>
        <charset val="1"/>
      </rPr>
      <t xml:space="preserve">LS</t>
    </r>
    <r>
      <rPr>
        <sz val="9"/>
        <rFont val="WenQuanYi Zen Hei"/>
        <family val="2"/>
      </rPr>
      <t xml:space="preserve">에코에너지</t>
    </r>
  </si>
  <si>
    <t xml:space="preserve">KOSE:A229640</t>
  </si>
  <si>
    <t xml:space="preserve">229640 KS Equity</t>
  </si>
  <si>
    <t xml:space="preserve">069620</t>
  </si>
  <si>
    <t xml:space="preserve">대웅제약</t>
  </si>
  <si>
    <t xml:space="preserve">KOSE:A069620</t>
  </si>
  <si>
    <t xml:space="preserve">069620 KS Equity</t>
  </si>
  <si>
    <t xml:space="preserve">KOSE:A000815</t>
  </si>
  <si>
    <t xml:space="preserve">000815 KS Equity</t>
  </si>
  <si>
    <t xml:space="preserve">005070</t>
  </si>
  <si>
    <t xml:space="preserve">코스모신소재</t>
  </si>
  <si>
    <t xml:space="preserve">KOSE:A005070</t>
  </si>
  <si>
    <t xml:space="preserve">005070 KS Equity</t>
  </si>
  <si>
    <t xml:space="preserve">003540</t>
  </si>
  <si>
    <t xml:space="preserve">대신증권</t>
  </si>
  <si>
    <t xml:space="preserve">KOSE:A003540</t>
  </si>
  <si>
    <t xml:space="preserve">003540 KS Equity</t>
  </si>
  <si>
    <t xml:space="preserve">192080</t>
  </si>
  <si>
    <t xml:space="preserve">더블유게임즈</t>
  </si>
  <si>
    <t xml:space="preserve">KOSE:A192080</t>
  </si>
  <si>
    <t xml:space="preserve">192080 KS Equity</t>
  </si>
  <si>
    <t xml:space="preserve">004000</t>
  </si>
  <si>
    <t xml:space="preserve">롯데정밀화학</t>
  </si>
  <si>
    <t xml:space="preserve">KOSE:A004000</t>
  </si>
  <si>
    <t xml:space="preserve">004000 KS Equity</t>
  </si>
  <si>
    <t xml:space="preserve">000210</t>
  </si>
  <si>
    <t xml:space="preserve">DL</t>
  </si>
  <si>
    <t xml:space="preserve">KOSE:A000210</t>
  </si>
  <si>
    <t xml:space="preserve">000210 KS Equity</t>
  </si>
  <si>
    <t xml:space="preserve">KOSE:A000370</t>
  </si>
  <si>
    <t xml:space="preserve">000370 KS Equity</t>
  </si>
  <si>
    <t xml:space="preserve">KOSE:A051915</t>
  </si>
  <si>
    <t xml:space="preserve">051915 KS Equity</t>
  </si>
  <si>
    <t xml:space="preserve">285130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</si>
  <si>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케미칼</t>
    </r>
  </si>
  <si>
    <t xml:space="preserve">KOSE:A285130</t>
  </si>
  <si>
    <t xml:space="preserve">285130 KS Equity</t>
  </si>
  <si>
    <t xml:space="preserve">합성고무 및 플라스틱 물질 제조업</t>
  </si>
  <si>
    <t xml:space="preserve">077970</t>
  </si>
  <si>
    <r>
      <rPr>
        <sz val="9"/>
        <rFont val="Arial"/>
        <family val="0"/>
        <charset val="1"/>
      </rPr>
      <t xml:space="preserve">STX</t>
    </r>
    <r>
      <rPr>
        <sz val="9"/>
        <rFont val="WenQuanYi Zen Hei"/>
        <family val="2"/>
      </rPr>
      <t xml:space="preserve">엔진</t>
    </r>
  </si>
  <si>
    <t xml:space="preserve">KOSE:A077970</t>
  </si>
  <si>
    <t xml:space="preserve">077970 KS Equity</t>
  </si>
  <si>
    <t xml:space="preserve">185750</t>
  </si>
  <si>
    <t xml:space="preserve">종근당</t>
  </si>
  <si>
    <t xml:space="preserve">KOSE:A185750</t>
  </si>
  <si>
    <t xml:space="preserve">185750 KS Equity</t>
  </si>
  <si>
    <t xml:space="preserve">004490</t>
  </si>
  <si>
    <t xml:space="preserve">세방전지</t>
  </si>
  <si>
    <t xml:space="preserve">KOSE:A004490</t>
  </si>
  <si>
    <t xml:space="preserve">004490 KS Equity</t>
  </si>
  <si>
    <t xml:space="preserve">005300</t>
  </si>
  <si>
    <t xml:space="preserve">롯데칠성</t>
  </si>
  <si>
    <t xml:space="preserve">KOSE:A005300</t>
  </si>
  <si>
    <t xml:space="preserve">005300 KS Equity</t>
  </si>
  <si>
    <t xml:space="preserve">034230</t>
  </si>
  <si>
    <t xml:space="preserve">파라다이스</t>
  </si>
  <si>
    <t xml:space="preserve">KOSE:A034230</t>
  </si>
  <si>
    <t xml:space="preserve">034230 KS Equity</t>
  </si>
  <si>
    <t xml:space="preserve">009450</t>
  </si>
  <si>
    <t xml:space="preserve">경동나비엔</t>
  </si>
  <si>
    <t xml:space="preserve">KOSE:A009450</t>
  </si>
  <si>
    <t xml:space="preserve">009450 KS Equity</t>
  </si>
  <si>
    <t xml:space="preserve">가정용 기기 제조업</t>
  </si>
  <si>
    <t xml:space="preserve">009240</t>
  </si>
  <si>
    <t xml:space="preserve">한샘</t>
  </si>
  <si>
    <t xml:space="preserve">KOSE:A009240</t>
  </si>
  <si>
    <t xml:space="preserve">009240 KS Equity</t>
  </si>
  <si>
    <t xml:space="preserve">079160</t>
  </si>
  <si>
    <t xml:space="preserve">CJ CGV</t>
  </si>
  <si>
    <t xml:space="preserve">KOSE:A079160</t>
  </si>
  <si>
    <t xml:space="preserve">079160 KS Equity</t>
  </si>
  <si>
    <r>
      <rPr>
        <sz val="9"/>
        <rFont val="WenQuanYi Zen Hei"/>
        <family val="2"/>
      </rPr>
      <t xml:space="preserve">영화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비디오물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방송프로그램 제작 및 배급업</t>
    </r>
  </si>
  <si>
    <t xml:space="preserve">056190</t>
  </si>
  <si>
    <t xml:space="preserve">SFA</t>
  </si>
  <si>
    <t xml:space="preserve">KOSDAQ:A056190</t>
  </si>
  <si>
    <t xml:space="preserve">056190 KQ Equity</t>
  </si>
  <si>
    <t xml:space="preserve">036830</t>
  </si>
  <si>
    <t xml:space="preserve">솔브레인홀딩스</t>
  </si>
  <si>
    <t xml:space="preserve">KOSDAQ:A036830</t>
  </si>
  <si>
    <t xml:space="preserve">036830 KQ Equity</t>
  </si>
  <si>
    <t xml:space="preserve">499790</t>
  </si>
  <si>
    <r>
      <rPr>
        <sz val="9"/>
        <rFont val="Arial"/>
        <family val="0"/>
        <charset val="1"/>
      </rPr>
      <t xml:space="preserve">GS</t>
    </r>
    <r>
      <rPr>
        <sz val="9"/>
        <rFont val="WenQuanYi Zen Hei"/>
        <family val="2"/>
      </rPr>
      <t xml:space="preserve">피앤엘</t>
    </r>
  </si>
  <si>
    <t xml:space="preserve">KOSE:A499790</t>
  </si>
  <si>
    <t xml:space="preserve">499790 KS Equity</t>
  </si>
  <si>
    <t xml:space="preserve">014620</t>
  </si>
  <si>
    <t xml:space="preserve">성광벤드</t>
  </si>
  <si>
    <t xml:space="preserve">KOSDAQ:A014620</t>
  </si>
  <si>
    <t xml:space="preserve">014620 KQ Equity</t>
  </si>
  <si>
    <t xml:space="preserve">065350</t>
  </si>
  <si>
    <t xml:space="preserve">신성델타테크</t>
  </si>
  <si>
    <t xml:space="preserve">KOSDAQ:A065350</t>
  </si>
  <si>
    <t xml:space="preserve">065350 KQ Equity</t>
  </si>
  <si>
    <t xml:space="preserve">298050</t>
  </si>
  <si>
    <r>
      <rPr>
        <sz val="9"/>
        <rFont val="Arial"/>
        <family val="0"/>
        <charset val="1"/>
      </rPr>
      <t xml:space="preserve">HS</t>
    </r>
    <r>
      <rPr>
        <sz val="9"/>
        <rFont val="WenQuanYi Zen Hei"/>
        <family val="2"/>
      </rPr>
      <t xml:space="preserve">효성첨단소재</t>
    </r>
  </si>
  <si>
    <t xml:space="preserve">KOSE:A298050</t>
  </si>
  <si>
    <t xml:space="preserve">298050 KS Equity</t>
  </si>
  <si>
    <t xml:space="preserve">038500</t>
  </si>
  <si>
    <t xml:space="preserve">삼표시멘트</t>
  </si>
  <si>
    <t xml:space="preserve">KOSDAQ:A038500</t>
  </si>
  <si>
    <t xml:space="preserve">038500 KQ Equity</t>
  </si>
  <si>
    <t xml:space="preserve">099320</t>
  </si>
  <si>
    <t xml:space="preserve">쎄트렉아이</t>
  </si>
  <si>
    <t xml:space="preserve">KOSDAQ:A099320</t>
  </si>
  <si>
    <t xml:space="preserve">099320 KQ Equity</t>
  </si>
  <si>
    <t xml:space="preserve">115180</t>
  </si>
  <si>
    <t xml:space="preserve">큐리언트</t>
  </si>
  <si>
    <t xml:space="preserve">KOSDAQ:A115180</t>
  </si>
  <si>
    <t xml:space="preserve">115180 KQ Equity</t>
  </si>
  <si>
    <t xml:space="preserve">085660</t>
  </si>
  <si>
    <t xml:space="preserve">차바이오텍</t>
  </si>
  <si>
    <t xml:space="preserve">KOSDAQ:A085660</t>
  </si>
  <si>
    <t xml:space="preserve">085660 KQ Equity</t>
  </si>
  <si>
    <t xml:space="preserve">281740</t>
  </si>
  <si>
    <t xml:space="preserve">레이크머티리얼즈</t>
  </si>
  <si>
    <t xml:space="preserve">KOSDAQ:A281740</t>
  </si>
  <si>
    <t xml:space="preserve">281740 KQ Equity</t>
  </si>
  <si>
    <t xml:space="preserve">456040</t>
  </si>
  <si>
    <t xml:space="preserve">OCI</t>
  </si>
  <si>
    <t xml:space="preserve">KOSE:A456040</t>
  </si>
  <si>
    <t xml:space="preserve">456040 KS Equity</t>
  </si>
  <si>
    <t xml:space="preserve">251970</t>
  </si>
  <si>
    <t xml:space="preserve">펌텍코리아</t>
  </si>
  <si>
    <t xml:space="preserve">KOSDAQ:A251970</t>
  </si>
  <si>
    <t xml:space="preserve">251970 KQ Equity</t>
  </si>
  <si>
    <t xml:space="preserve">064960</t>
  </si>
  <si>
    <r>
      <rPr>
        <sz val="9"/>
        <rFont val="Arial"/>
        <family val="0"/>
        <charset val="1"/>
      </rPr>
      <t xml:space="preserve">SNT</t>
    </r>
    <r>
      <rPr>
        <sz val="9"/>
        <rFont val="WenQuanYi Zen Hei"/>
        <family val="2"/>
      </rPr>
      <t xml:space="preserve">모티브</t>
    </r>
  </si>
  <si>
    <t xml:space="preserve">KOSE:A064960</t>
  </si>
  <si>
    <t xml:space="preserve">064960 KS Equity</t>
  </si>
  <si>
    <t xml:space="preserve">035760</t>
  </si>
  <si>
    <t xml:space="preserve">CJ ENM</t>
  </si>
  <si>
    <t xml:space="preserve">KOSDAQ:A035760</t>
  </si>
  <si>
    <t xml:space="preserve">035760 KQ Equity</t>
  </si>
  <si>
    <t xml:space="preserve">텔레비전 방송업</t>
  </si>
  <si>
    <t xml:space="preserve">137400</t>
  </si>
  <si>
    <t xml:space="preserve">피엔티</t>
  </si>
  <si>
    <t xml:space="preserve">KOSDAQ:A137400</t>
  </si>
  <si>
    <t xml:space="preserve">137400 KQ Equity</t>
  </si>
  <si>
    <t xml:space="preserve">093320</t>
  </si>
  <si>
    <t xml:space="preserve">케이아이엔엑스</t>
  </si>
  <si>
    <t xml:space="preserve">KOSDAQ:A093320</t>
  </si>
  <si>
    <t xml:space="preserve">093320 KQ Equity</t>
  </si>
  <si>
    <t xml:space="preserve">388210</t>
  </si>
  <si>
    <t xml:space="preserve">씨엠티엑스</t>
  </si>
  <si>
    <t xml:space="preserve">KOSDAQ:A388210</t>
  </si>
  <si>
    <t xml:space="preserve">388210 KQ Equity</t>
  </si>
  <si>
    <t xml:space="preserve">KOSDAQ:A328130</t>
  </si>
  <si>
    <t xml:space="preserve">328130 KQ Equity</t>
  </si>
  <si>
    <t xml:space="preserve">KOSDAQ:A476060</t>
  </si>
  <si>
    <t xml:space="preserve">476060 KQ Equity</t>
  </si>
  <si>
    <t xml:space="preserve">KOSDAQ:A033790</t>
  </si>
  <si>
    <t xml:space="preserve">033790 KQ Equity</t>
  </si>
  <si>
    <t xml:space="preserve">006730</t>
  </si>
  <si>
    <r>
      <rPr>
        <sz val="9"/>
        <rFont val="WenQuanYi Zen Hei"/>
        <family val="2"/>
      </rPr>
      <t xml:space="preserve">서부</t>
    </r>
    <r>
      <rPr>
        <sz val="9"/>
        <rFont val="Arial"/>
        <family val="0"/>
        <charset val="1"/>
      </rPr>
      <t xml:space="preserve">T&amp;D</t>
    </r>
  </si>
  <si>
    <t xml:space="preserve">KOSDAQ:A006730</t>
  </si>
  <si>
    <t xml:space="preserve">006730 KQ Equity</t>
  </si>
  <si>
    <t xml:space="preserve">041960</t>
  </si>
  <si>
    <t xml:space="preserve">코미팜</t>
  </si>
  <si>
    <t xml:space="preserve">KOSDAQ:A041960</t>
  </si>
  <si>
    <t xml:space="preserve">041960 KQ Equity</t>
  </si>
  <si>
    <t xml:space="preserve">100840</t>
  </si>
  <si>
    <r>
      <rPr>
        <sz val="9"/>
        <rFont val="Arial"/>
        <family val="0"/>
        <charset val="1"/>
      </rPr>
      <t xml:space="preserve">SNT</t>
    </r>
    <r>
      <rPr>
        <sz val="9"/>
        <rFont val="WenQuanYi Zen Hei"/>
        <family val="2"/>
      </rPr>
      <t xml:space="preserve">에너지</t>
    </r>
  </si>
  <si>
    <t xml:space="preserve">KOSE:A100840</t>
  </si>
  <si>
    <t xml:space="preserve">100840 KS Equity</t>
  </si>
  <si>
    <t xml:space="preserve">044490</t>
  </si>
  <si>
    <t xml:space="preserve">태웅</t>
  </si>
  <si>
    <t xml:space="preserve">KOSDAQ:A044490</t>
  </si>
  <si>
    <t xml:space="preserve">044490 KQ Equity</t>
  </si>
  <si>
    <t xml:space="preserve">기타 금속 가공제품 제조업</t>
  </si>
  <si>
    <t xml:space="preserve">005880</t>
  </si>
  <si>
    <t xml:space="preserve">대한해운</t>
  </si>
  <si>
    <t xml:space="preserve">KOSE:A005880</t>
  </si>
  <si>
    <t xml:space="preserve">005880 KS Equity</t>
  </si>
  <si>
    <t xml:space="preserve">023160</t>
  </si>
  <si>
    <t xml:space="preserve">태광</t>
  </si>
  <si>
    <t xml:space="preserve">KOSDAQ:A023160</t>
  </si>
  <si>
    <t xml:space="preserve">023160 KQ Equity</t>
  </si>
  <si>
    <t xml:space="preserve">090460</t>
  </si>
  <si>
    <t xml:space="preserve">비에이치</t>
  </si>
  <si>
    <t xml:space="preserve">KOSE:A090460</t>
  </si>
  <si>
    <t xml:space="preserve">090460 KS Equity</t>
  </si>
  <si>
    <t xml:space="preserve">001680</t>
  </si>
  <si>
    <t xml:space="preserve">대상</t>
  </si>
  <si>
    <t xml:space="preserve">KOSE:A001680</t>
  </si>
  <si>
    <t xml:space="preserve">001680 KS Equity</t>
  </si>
  <si>
    <t xml:space="preserve">171090</t>
  </si>
  <si>
    <t xml:space="preserve">선익시스템</t>
  </si>
  <si>
    <t xml:space="preserve">KOSDAQ:A171090</t>
  </si>
  <si>
    <t xml:space="preserve">171090 KQ Equity</t>
  </si>
  <si>
    <t xml:space="preserve">253450</t>
  </si>
  <si>
    <t xml:space="preserve">스튜디오드래곤</t>
  </si>
  <si>
    <t xml:space="preserve">KOSDAQ:A253450</t>
  </si>
  <si>
    <t xml:space="preserve">253450 KQ Equity</t>
  </si>
  <si>
    <t xml:space="preserve">053800</t>
  </si>
  <si>
    <t xml:space="preserve">안랩</t>
  </si>
  <si>
    <t xml:space="preserve">KOSDAQ:A053800</t>
  </si>
  <si>
    <t xml:space="preserve">053800 KQ Equity</t>
  </si>
  <si>
    <t xml:space="preserve">001060</t>
  </si>
  <si>
    <r>
      <rPr>
        <sz val="9"/>
        <rFont val="Arial"/>
        <family val="0"/>
        <charset val="1"/>
      </rPr>
      <t xml:space="preserve">JW</t>
    </r>
    <r>
      <rPr>
        <sz val="9"/>
        <rFont val="WenQuanYi Zen Hei"/>
        <family val="2"/>
      </rPr>
      <t xml:space="preserve">중외제약</t>
    </r>
  </si>
  <si>
    <t xml:space="preserve">KOSE:A001060</t>
  </si>
  <si>
    <t xml:space="preserve">001060 KS Equity</t>
  </si>
  <si>
    <t xml:space="preserve">006650</t>
  </si>
  <si>
    <t xml:space="preserve">대한유화</t>
  </si>
  <si>
    <t xml:space="preserve">KOSE:A006650</t>
  </si>
  <si>
    <t xml:space="preserve">006650 KS Equity</t>
  </si>
  <si>
    <t xml:space="preserve">KOSDAQ:A425420</t>
  </si>
  <si>
    <t xml:space="preserve">425420 KQ Equity</t>
  </si>
  <si>
    <t xml:space="preserve">005690</t>
  </si>
  <si>
    <t xml:space="preserve">파미셀</t>
  </si>
  <si>
    <t xml:space="preserve">KOSE:A005690</t>
  </si>
  <si>
    <t xml:space="preserve">005690 KS Equity</t>
  </si>
  <si>
    <t xml:space="preserve">KOSE:A002990</t>
  </si>
  <si>
    <t xml:space="preserve">002990 KS Equity</t>
  </si>
  <si>
    <t xml:space="preserve">079900</t>
  </si>
  <si>
    <t xml:space="preserve">전진건설로봇</t>
  </si>
  <si>
    <t xml:space="preserve">KOSE:A079900</t>
  </si>
  <si>
    <t xml:space="preserve">079900 KS Equity</t>
  </si>
  <si>
    <t xml:space="preserve">KOSDAQ:A327260</t>
  </si>
  <si>
    <t xml:space="preserve">327260 KQ Equity</t>
  </si>
  <si>
    <t xml:space="preserve">033240</t>
  </si>
  <si>
    <t xml:space="preserve">자화전자</t>
  </si>
  <si>
    <t xml:space="preserve">KOSE:A033240</t>
  </si>
  <si>
    <t xml:space="preserve">033240 KS Equity</t>
  </si>
  <si>
    <t xml:space="preserve">094170</t>
  </si>
  <si>
    <t xml:space="preserve">동운아나텍</t>
  </si>
  <si>
    <t xml:space="preserve">KOSDAQ:A094170</t>
  </si>
  <si>
    <t xml:space="preserve">094170 KQ Equity</t>
  </si>
  <si>
    <t xml:space="preserve">032500</t>
  </si>
  <si>
    <t xml:space="preserve">케이엠더블유</t>
  </si>
  <si>
    <t xml:space="preserve">KOSDAQ:A032500</t>
  </si>
  <si>
    <t xml:space="preserve">032500 KQ Equity</t>
  </si>
  <si>
    <t xml:space="preserve">KOSDAQ:A456160</t>
  </si>
  <si>
    <t xml:space="preserve">456160 KQ Equity</t>
  </si>
  <si>
    <t xml:space="preserve">KOSE:A00088K</t>
  </si>
  <si>
    <t xml:space="preserve">00088K KS Equity</t>
  </si>
  <si>
    <t xml:space="preserve">161580</t>
  </si>
  <si>
    <t xml:space="preserve">필옵틱스</t>
  </si>
  <si>
    <t xml:space="preserve">KOSDAQ:A161580</t>
  </si>
  <si>
    <t xml:space="preserve">161580 KQ Equity</t>
  </si>
  <si>
    <t xml:space="preserve">102710</t>
  </si>
  <si>
    <t xml:space="preserve">이엔에프테크놀로지</t>
  </si>
  <si>
    <t xml:space="preserve">KOSDAQ:A102710</t>
  </si>
  <si>
    <t xml:space="preserve">102710 KQ Equity</t>
  </si>
  <si>
    <t xml:space="preserve">222080</t>
  </si>
  <si>
    <r>
      <rPr>
        <sz val="9"/>
        <rFont val="Arial"/>
        <family val="0"/>
        <charset val="1"/>
      </rPr>
      <t xml:space="preserve">SFA</t>
    </r>
    <r>
      <rPr>
        <sz val="9"/>
        <rFont val="WenQuanYi Zen Hei"/>
        <family val="2"/>
      </rPr>
      <t xml:space="preserve">넥셀</t>
    </r>
  </si>
  <si>
    <t xml:space="preserve">KOSDAQ:A222080</t>
  </si>
  <si>
    <t xml:space="preserve">222080 KQ Equity</t>
  </si>
  <si>
    <t xml:space="preserve">059090</t>
  </si>
  <si>
    <t xml:space="preserve">미코</t>
  </si>
  <si>
    <t xml:space="preserve">KOSDAQ:A059090</t>
  </si>
  <si>
    <t xml:space="preserve">059090 KQ Equity</t>
  </si>
  <si>
    <t xml:space="preserve">060250</t>
  </si>
  <si>
    <t xml:space="preserve">NHN KCP</t>
  </si>
  <si>
    <t xml:space="preserve">KOSDAQ:A060250</t>
  </si>
  <si>
    <t xml:space="preserve">060250 KQ Equity</t>
  </si>
  <si>
    <t xml:space="preserve">기타 정보 서비스업</t>
  </si>
  <si>
    <t xml:space="preserve">048410</t>
  </si>
  <si>
    <t xml:space="preserve">현대바이오</t>
  </si>
  <si>
    <t xml:space="preserve">KOSDAQ:A048410</t>
  </si>
  <si>
    <t xml:space="preserve">048410 KQ Equity</t>
  </si>
  <si>
    <t xml:space="preserve">122640</t>
  </si>
  <si>
    <t xml:space="preserve">예스티</t>
  </si>
  <si>
    <t xml:space="preserve">KOSDAQ:A122640</t>
  </si>
  <si>
    <t xml:space="preserve">122640 KQ Equity</t>
  </si>
  <si>
    <t xml:space="preserve">108320</t>
  </si>
  <si>
    <r>
      <rPr>
        <sz val="9"/>
        <rFont val="Arial"/>
        <family val="0"/>
        <charset val="1"/>
      </rPr>
      <t xml:space="preserve">LX</t>
    </r>
    <r>
      <rPr>
        <sz val="9"/>
        <rFont val="WenQuanYi Zen Hei"/>
        <family val="2"/>
      </rPr>
      <t xml:space="preserve">세미콘</t>
    </r>
  </si>
  <si>
    <t xml:space="preserve">KOSE:A108320</t>
  </si>
  <si>
    <t xml:space="preserve">108320 KS Equity</t>
  </si>
  <si>
    <t xml:space="preserve">121600</t>
  </si>
  <si>
    <t xml:space="preserve">나노신소재</t>
  </si>
  <si>
    <t xml:space="preserve">KOSDAQ:A121600</t>
  </si>
  <si>
    <t xml:space="preserve">121600 KQ Equity</t>
  </si>
  <si>
    <t xml:space="preserve">046890</t>
  </si>
  <si>
    <t xml:space="preserve">서울반도체</t>
  </si>
  <si>
    <t xml:space="preserve">KOSDAQ:A046890</t>
  </si>
  <si>
    <t xml:space="preserve">046890 KQ Equity</t>
  </si>
  <si>
    <t xml:space="preserve">KOSE:A001510</t>
  </si>
  <si>
    <t xml:space="preserve">001510 KS Equity</t>
  </si>
  <si>
    <t xml:space="preserve">036810</t>
  </si>
  <si>
    <t xml:space="preserve">에프에스티</t>
  </si>
  <si>
    <t xml:space="preserve">KOSDAQ:A036810</t>
  </si>
  <si>
    <t xml:space="preserve">036810 KQ Equity</t>
  </si>
  <si>
    <t xml:space="preserve">052400</t>
  </si>
  <si>
    <t xml:space="preserve">코나아이</t>
  </si>
  <si>
    <t xml:space="preserve">KOSDAQ:A052400</t>
  </si>
  <si>
    <t xml:space="preserve">052400 KQ Equity</t>
  </si>
  <si>
    <t xml:space="preserve">019170</t>
  </si>
  <si>
    <t xml:space="preserve">신풍제약</t>
  </si>
  <si>
    <t xml:space="preserve">KOSE:A019170</t>
  </si>
  <si>
    <t xml:space="preserve">019170 KS Equity</t>
  </si>
  <si>
    <t xml:space="preserve">460860</t>
  </si>
  <si>
    <t xml:space="preserve">동국제강</t>
  </si>
  <si>
    <t xml:space="preserve">KOSE:A460860</t>
  </si>
  <si>
    <t xml:space="preserve">460860 KS Equity</t>
  </si>
  <si>
    <t xml:space="preserve">KOSDAQ:A025980</t>
  </si>
  <si>
    <t xml:space="preserve">025980 KQ Equity</t>
  </si>
  <si>
    <t xml:space="preserve">스포츠 서비스업</t>
  </si>
  <si>
    <t xml:space="preserve">KOSE:A0220W0</t>
  </si>
  <si>
    <t xml:space="preserve">0220W0 KS Equity</t>
  </si>
  <si>
    <t xml:space="preserve">009520</t>
  </si>
  <si>
    <t xml:space="preserve">포스코엠텍</t>
  </si>
  <si>
    <t xml:space="preserve">KOSDAQ:A009520</t>
  </si>
  <si>
    <t xml:space="preserve">009520 KQ Equity</t>
  </si>
  <si>
    <t xml:space="preserve">160190</t>
  </si>
  <si>
    <t xml:space="preserve">하이젠알앤엠</t>
  </si>
  <si>
    <t xml:space="preserve">KOSDAQ:A160190</t>
  </si>
  <si>
    <t xml:space="preserve">160190 KQ Equity</t>
  </si>
  <si>
    <t xml:space="preserve">295310</t>
  </si>
  <si>
    <t xml:space="preserve">에이치브이엠</t>
  </si>
  <si>
    <t xml:space="preserve">KOSDAQ:A295310</t>
  </si>
  <si>
    <t xml:space="preserve">295310 KQ Equity</t>
  </si>
  <si>
    <t xml:space="preserve">045100</t>
  </si>
  <si>
    <t xml:space="preserve">한양이엔지</t>
  </si>
  <si>
    <t xml:space="preserve">KOSDAQ:A045100</t>
  </si>
  <si>
    <t xml:space="preserve">045100 KQ Equity</t>
  </si>
  <si>
    <t xml:space="preserve">033500</t>
  </si>
  <si>
    <t xml:space="preserve">동성화인텍</t>
  </si>
  <si>
    <t xml:space="preserve">KOSDAQ:A033500</t>
  </si>
  <si>
    <t xml:space="preserve">033500 KQ Equity</t>
  </si>
  <si>
    <t xml:space="preserve">050890</t>
  </si>
  <si>
    <t xml:space="preserve">쏠리드</t>
  </si>
  <si>
    <t xml:space="preserve">KOSDAQ:A050890</t>
  </si>
  <si>
    <t xml:space="preserve">050890 KQ Equity</t>
  </si>
  <si>
    <t xml:space="preserve">161000</t>
  </si>
  <si>
    <t xml:space="preserve">애경케미칼</t>
  </si>
  <si>
    <t xml:space="preserve">KOSE:A161000</t>
  </si>
  <si>
    <t xml:space="preserve">161000 KS Equity</t>
  </si>
  <si>
    <t xml:space="preserve">086900</t>
  </si>
  <si>
    <t xml:space="preserve">메디톡스</t>
  </si>
  <si>
    <t xml:space="preserve">KOSDAQ:A086900</t>
  </si>
  <si>
    <t xml:space="preserve">086900 KQ Equity</t>
  </si>
  <si>
    <t xml:space="preserve">KOSDAQ:A024850</t>
  </si>
  <si>
    <t xml:space="preserve">024850 KQ Equity</t>
  </si>
  <si>
    <t xml:space="preserve">019210</t>
  </si>
  <si>
    <r>
      <rPr>
        <sz val="9"/>
        <rFont val="WenQuanYi Zen Hei"/>
        <family val="2"/>
      </rPr>
      <t xml:space="preserve">와이지</t>
    </r>
    <r>
      <rPr>
        <sz val="9"/>
        <rFont val="Arial"/>
        <family val="0"/>
        <charset val="1"/>
      </rPr>
      <t xml:space="preserve">-</t>
    </r>
    <r>
      <rPr>
        <sz val="9"/>
        <rFont val="WenQuanYi Zen Hei"/>
        <family val="2"/>
      </rPr>
      <t xml:space="preserve">원</t>
    </r>
  </si>
  <si>
    <t xml:space="preserve">KOSDAQ:A019210</t>
  </si>
  <si>
    <t xml:space="preserve">019210 KQ Equity</t>
  </si>
  <si>
    <t xml:space="preserve">033640</t>
  </si>
  <si>
    <t xml:space="preserve">네패스</t>
  </si>
  <si>
    <t xml:space="preserve">KOSDAQ:A033640</t>
  </si>
  <si>
    <t xml:space="preserve">033640 KQ Equity</t>
  </si>
  <si>
    <t xml:space="preserve">112040</t>
  </si>
  <si>
    <t xml:space="preserve">위메이드</t>
  </si>
  <si>
    <t xml:space="preserve">KOSDAQ:A112040</t>
  </si>
  <si>
    <t xml:space="preserve">112040 KQ Equity</t>
  </si>
  <si>
    <t xml:space="preserve">358570</t>
  </si>
  <si>
    <t xml:space="preserve">지아이이노베이션</t>
  </si>
  <si>
    <t xml:space="preserve">KOSDAQ:A358570</t>
  </si>
  <si>
    <t xml:space="preserve">358570 KQ Equity</t>
  </si>
  <si>
    <t xml:space="preserve">037460</t>
  </si>
  <si>
    <t xml:space="preserve">삼지전자</t>
  </si>
  <si>
    <t xml:space="preserve">KOSDAQ:A037460</t>
  </si>
  <si>
    <t xml:space="preserve">037460 KQ Equity</t>
  </si>
  <si>
    <t xml:space="preserve">253590</t>
  </si>
  <si>
    <t xml:space="preserve">네오셈</t>
  </si>
  <si>
    <t xml:space="preserve">KOSDAQ:A253590</t>
  </si>
  <si>
    <t xml:space="preserve">253590 KQ Equity</t>
  </si>
  <si>
    <t xml:space="preserve">490470</t>
  </si>
  <si>
    <t xml:space="preserve">세미파이브</t>
  </si>
  <si>
    <t xml:space="preserve">KOSDAQ:A490470</t>
  </si>
  <si>
    <t xml:space="preserve">490470 KQ Equity</t>
  </si>
  <si>
    <t xml:space="preserve">KOSDAQ:A041190</t>
  </si>
  <si>
    <t xml:space="preserve">041190 KQ Equity</t>
  </si>
  <si>
    <t xml:space="preserve">101160</t>
  </si>
  <si>
    <t xml:space="preserve">월덱스</t>
  </si>
  <si>
    <t xml:space="preserve">KOSDAQ:A101160</t>
  </si>
  <si>
    <t xml:space="preserve">101160 KQ Equity</t>
  </si>
  <si>
    <t xml:space="preserve">399720</t>
  </si>
  <si>
    <t xml:space="preserve">가온칩스</t>
  </si>
  <si>
    <t xml:space="preserve">KOSDAQ:A399720</t>
  </si>
  <si>
    <t xml:space="preserve">399720 KQ Equity</t>
  </si>
  <si>
    <t xml:space="preserve">249420</t>
  </si>
  <si>
    <t xml:space="preserve">일동제약</t>
  </si>
  <si>
    <t xml:space="preserve">KOSE:A249420</t>
  </si>
  <si>
    <t xml:space="preserve">249420 KS Equity</t>
  </si>
  <si>
    <t xml:space="preserve">365340</t>
  </si>
  <si>
    <t xml:space="preserve">성일하이텍</t>
  </si>
  <si>
    <t xml:space="preserve">KOSDAQ:A365340</t>
  </si>
  <si>
    <t xml:space="preserve">365340 KQ Equity</t>
  </si>
  <si>
    <t xml:space="preserve">KOSE:A484870</t>
  </si>
  <si>
    <t xml:space="preserve">484870 KS Equity</t>
  </si>
  <si>
    <t xml:space="preserve">010780</t>
  </si>
  <si>
    <t xml:space="preserve">아이에스동서</t>
  </si>
  <si>
    <t xml:space="preserve">KOSE:A010780</t>
  </si>
  <si>
    <t xml:space="preserve">010780 KS Equity</t>
  </si>
  <si>
    <r>
      <rPr>
        <sz val="9"/>
        <rFont val="WenQuanYi Zen Hei"/>
        <family val="2"/>
      </rPr>
      <t xml:space="preserve">내화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비내화 요업제품 제조업</t>
    </r>
  </si>
  <si>
    <t xml:space="preserve">KOSDAQ:A340570</t>
  </si>
  <si>
    <t xml:space="preserve">340570 KQ Equity</t>
  </si>
  <si>
    <t xml:space="preserve">383310</t>
  </si>
  <si>
    <t xml:space="preserve">에코프로에이치엔</t>
  </si>
  <si>
    <t xml:space="preserve">KOSDAQ:A383310</t>
  </si>
  <si>
    <t xml:space="preserve">383310 KQ Equity</t>
  </si>
  <si>
    <t xml:space="preserve">460930</t>
  </si>
  <si>
    <t xml:space="preserve">현대힘스</t>
  </si>
  <si>
    <t xml:space="preserve">KOSDAQ:A460930</t>
  </si>
  <si>
    <t xml:space="preserve">460930 KQ Equity</t>
  </si>
  <si>
    <t xml:space="preserve">KOSDAQ:A397030</t>
  </si>
  <si>
    <t xml:space="preserve">397030 KQ Equity</t>
  </si>
  <si>
    <t xml:space="preserve">082270</t>
  </si>
  <si>
    <t xml:space="preserve">젬백스</t>
  </si>
  <si>
    <t xml:space="preserve">KOSDAQ:A082270</t>
  </si>
  <si>
    <t xml:space="preserve">082270 KQ Equity</t>
  </si>
  <si>
    <t xml:space="preserve">KOSE:A004710</t>
  </si>
  <si>
    <t xml:space="preserve">004710 KS Equity</t>
  </si>
  <si>
    <t xml:space="preserve">064290</t>
  </si>
  <si>
    <t xml:space="preserve">인텍플러스</t>
  </si>
  <si>
    <t xml:space="preserve">KOSDAQ:A064290</t>
  </si>
  <si>
    <t xml:space="preserve">064290 KQ Equity</t>
  </si>
  <si>
    <t xml:space="preserve">348370</t>
  </si>
  <si>
    <t xml:space="preserve">엔켐</t>
  </si>
  <si>
    <t xml:space="preserve">KOSDAQ:A348370</t>
  </si>
  <si>
    <t xml:space="preserve">348370 KQ Equity</t>
  </si>
  <si>
    <t xml:space="preserve">077360</t>
  </si>
  <si>
    <t xml:space="preserve">덕산하이메탈</t>
  </si>
  <si>
    <t xml:space="preserve">KOSDAQ:A077360</t>
  </si>
  <si>
    <t xml:space="preserve">077360 KQ Equity</t>
  </si>
  <si>
    <t xml:space="preserve">376900</t>
  </si>
  <si>
    <t xml:space="preserve">로킷헬스케어</t>
  </si>
  <si>
    <t xml:space="preserve">KOSDAQ:A376900</t>
  </si>
  <si>
    <t xml:space="preserve">376900 KQ Equity</t>
  </si>
  <si>
    <t xml:space="preserve">KOSE:A317400</t>
  </si>
  <si>
    <t xml:space="preserve">317400 KS Equity</t>
  </si>
  <si>
    <t xml:space="preserve">336570</t>
  </si>
  <si>
    <t xml:space="preserve">원텍</t>
  </si>
  <si>
    <t xml:space="preserve">KOSDAQ:A336570</t>
  </si>
  <si>
    <t xml:space="preserve">336570 KQ Equity</t>
  </si>
  <si>
    <t xml:space="preserve">067160</t>
  </si>
  <si>
    <t xml:space="preserve">SOOP</t>
  </si>
  <si>
    <t xml:space="preserve">KOSDAQ:A067160</t>
  </si>
  <si>
    <t xml:space="preserve">067160 KQ Equity</t>
  </si>
  <si>
    <t xml:space="preserve">003030</t>
  </si>
  <si>
    <t xml:space="preserve">세아제강지주</t>
  </si>
  <si>
    <t xml:space="preserve">KOSE:A003030</t>
  </si>
  <si>
    <t xml:space="preserve">003030 KS Equity</t>
  </si>
  <si>
    <t xml:space="preserve">018290</t>
  </si>
  <si>
    <t xml:space="preserve">브이티</t>
  </si>
  <si>
    <t xml:space="preserve">KOSDAQ:A018290</t>
  </si>
  <si>
    <t xml:space="preserve">018290 KQ Equity</t>
  </si>
  <si>
    <t xml:space="preserve">컴퓨터 및 주변장치 제조업</t>
  </si>
  <si>
    <t xml:space="preserve">056080</t>
  </si>
  <si>
    <t xml:space="preserve">유진로봇</t>
  </si>
  <si>
    <t xml:space="preserve">KOSDAQ:A056080</t>
  </si>
  <si>
    <t xml:space="preserve">056080 KQ Equity</t>
  </si>
  <si>
    <t xml:space="preserve">001200</t>
  </si>
  <si>
    <t xml:space="preserve">유진투자증권</t>
  </si>
  <si>
    <t xml:space="preserve">KOSE:A001200</t>
  </si>
  <si>
    <t xml:space="preserve">001200 KS Equity</t>
  </si>
  <si>
    <t xml:space="preserve">452260</t>
  </si>
  <si>
    <t xml:space="preserve">한화갤러리아</t>
  </si>
  <si>
    <t xml:space="preserve">KOSE:A452260</t>
  </si>
  <si>
    <t xml:space="preserve">452260 KS Equity</t>
  </si>
  <si>
    <t xml:space="preserve">030520</t>
  </si>
  <si>
    <t xml:space="preserve">한컴</t>
  </si>
  <si>
    <t xml:space="preserve">KOSDAQ:A030520</t>
  </si>
  <si>
    <t xml:space="preserve">030520 KQ Equity</t>
  </si>
  <si>
    <t xml:space="preserve">003280</t>
  </si>
  <si>
    <t xml:space="preserve">흥아해운</t>
  </si>
  <si>
    <t xml:space="preserve">KOSE:A003280</t>
  </si>
  <si>
    <t xml:space="preserve">003280 KS Equity</t>
  </si>
  <si>
    <t xml:space="preserve">KOSDAQ:A477850</t>
  </si>
  <si>
    <t xml:space="preserve">477850 KQ Equity</t>
  </si>
  <si>
    <t xml:space="preserve">126340</t>
  </si>
  <si>
    <t xml:space="preserve">비나텍</t>
  </si>
  <si>
    <t xml:space="preserve">KOSDAQ:A126340</t>
  </si>
  <si>
    <t xml:space="preserve">126340 KQ Equity</t>
  </si>
  <si>
    <t xml:space="preserve">174900</t>
  </si>
  <si>
    <t xml:space="preserve">앱클론</t>
  </si>
  <si>
    <t xml:space="preserve">KOSDAQ:A174900</t>
  </si>
  <si>
    <t xml:space="preserve">174900 KQ Equity</t>
  </si>
  <si>
    <t xml:space="preserve">080580</t>
  </si>
  <si>
    <t xml:space="preserve">오킨스전자</t>
  </si>
  <si>
    <t xml:space="preserve">KOSDAQ:A080580</t>
  </si>
  <si>
    <t xml:space="preserve">080580 KQ Equity</t>
  </si>
  <si>
    <t xml:space="preserve">272290</t>
  </si>
  <si>
    <t xml:space="preserve">이녹스첨단소재</t>
  </si>
  <si>
    <t xml:space="preserve">KOSDAQ:A272290</t>
  </si>
  <si>
    <t xml:space="preserve">272290 KQ Equity</t>
  </si>
  <si>
    <t xml:space="preserve">192650</t>
  </si>
  <si>
    <t xml:space="preserve">드림텍</t>
  </si>
  <si>
    <t xml:space="preserve">KOSE:A192650</t>
  </si>
  <si>
    <t xml:space="preserve">192650 KS Equity</t>
  </si>
  <si>
    <t xml:space="preserve">017900</t>
  </si>
  <si>
    <t xml:space="preserve">광전자</t>
  </si>
  <si>
    <t xml:space="preserve">KOSE:A017900</t>
  </si>
  <si>
    <t xml:space="preserve">017900 KS Equity</t>
  </si>
  <si>
    <t xml:space="preserve">003000</t>
  </si>
  <si>
    <t xml:space="preserve">부광약품</t>
  </si>
  <si>
    <t xml:space="preserve">KOSE:A003000</t>
  </si>
  <si>
    <t xml:space="preserve">003000 KS Equity</t>
  </si>
  <si>
    <t xml:space="preserve">KOSDAQ:A439960</t>
  </si>
  <si>
    <t xml:space="preserve">439960 KQ Equity</t>
  </si>
  <si>
    <t xml:space="preserve">KOSDAQ:A078340</t>
  </si>
  <si>
    <t xml:space="preserve">078340 KQ Equity</t>
  </si>
  <si>
    <t xml:space="preserve">130660</t>
  </si>
  <si>
    <t xml:space="preserve">한전산업</t>
  </si>
  <si>
    <t xml:space="preserve">KOSE:A130660</t>
  </si>
  <si>
    <t xml:space="preserve">130660 KS Equity</t>
  </si>
  <si>
    <t xml:space="preserve">104830</t>
  </si>
  <si>
    <t xml:space="preserve">원익머트리얼즈</t>
  </si>
  <si>
    <t xml:space="preserve">KOSDAQ:A104830</t>
  </si>
  <si>
    <t xml:space="preserve">104830 KQ Equity</t>
  </si>
  <si>
    <t xml:space="preserve">441270</t>
  </si>
  <si>
    <t xml:space="preserve">파인엠텍</t>
  </si>
  <si>
    <t xml:space="preserve">KOSDAQ:A441270</t>
  </si>
  <si>
    <t xml:space="preserve">441270 KQ Equity</t>
  </si>
  <si>
    <t xml:space="preserve">006220</t>
  </si>
  <si>
    <t xml:space="preserve">제주은행</t>
  </si>
  <si>
    <t xml:space="preserve">KOSE:A006220</t>
  </si>
  <si>
    <t xml:space="preserve">006220 KS Equity</t>
  </si>
  <si>
    <t xml:space="preserve">368770</t>
  </si>
  <si>
    <t xml:space="preserve">파이버프로</t>
  </si>
  <si>
    <t xml:space="preserve">KOSDAQ:A368770</t>
  </si>
  <si>
    <t xml:space="preserve">368770 KQ Equity</t>
  </si>
  <si>
    <t xml:space="preserve">219130</t>
  </si>
  <si>
    <t xml:space="preserve">타이거일렉</t>
  </si>
  <si>
    <t xml:space="preserve">KOSDAQ:A219130</t>
  </si>
  <si>
    <t xml:space="preserve">219130 KQ Equity</t>
  </si>
  <si>
    <t xml:space="preserve">204620</t>
  </si>
  <si>
    <t xml:space="preserve">글로벌텍스프리</t>
  </si>
  <si>
    <t xml:space="preserve">KOSDAQ:A204620</t>
  </si>
  <si>
    <t xml:space="preserve">204620 KQ Equity</t>
  </si>
  <si>
    <t xml:space="preserve">KOSDAQ:A348340</t>
  </si>
  <si>
    <t xml:space="preserve">348340 KQ Equity</t>
  </si>
  <si>
    <t xml:space="preserve">144960</t>
  </si>
  <si>
    <t xml:space="preserve">뉴파워프라즈마</t>
  </si>
  <si>
    <t xml:space="preserve">KOSDAQ:A144960</t>
  </si>
  <si>
    <t xml:space="preserve">144960 KQ Equity</t>
  </si>
  <si>
    <t xml:space="preserve">064260</t>
  </si>
  <si>
    <t xml:space="preserve">다날</t>
  </si>
  <si>
    <t xml:space="preserve">KOSDAQ:A064260</t>
  </si>
  <si>
    <t xml:space="preserve">064260 KQ Equity</t>
  </si>
  <si>
    <t xml:space="preserve">486990</t>
  </si>
  <si>
    <t xml:space="preserve">노타</t>
  </si>
  <si>
    <t xml:space="preserve">KOSDAQ:A486990</t>
  </si>
  <si>
    <t xml:space="preserve">486990 KQ Equity</t>
  </si>
  <si>
    <t xml:space="preserve">114810</t>
  </si>
  <si>
    <t xml:space="preserve">한솔아이원스</t>
  </si>
  <si>
    <t xml:space="preserve">KOSDAQ:A114810</t>
  </si>
  <si>
    <t xml:space="preserve">114810 KQ Equity</t>
  </si>
  <si>
    <t xml:space="preserve">027360</t>
  </si>
  <si>
    <r>
      <rPr>
        <sz val="9"/>
        <rFont val="WenQuanYi Zen Hei"/>
        <family val="2"/>
      </rPr>
      <t xml:space="preserve">아주</t>
    </r>
    <r>
      <rPr>
        <sz val="9"/>
        <rFont val="Arial"/>
        <family val="0"/>
        <charset val="1"/>
      </rPr>
      <t xml:space="preserve">IB</t>
    </r>
    <r>
      <rPr>
        <sz val="9"/>
        <rFont val="WenQuanYi Zen Hei"/>
        <family val="2"/>
      </rPr>
      <t xml:space="preserve">투자</t>
    </r>
  </si>
  <si>
    <t xml:space="preserve">KOSDAQ:A027360</t>
  </si>
  <si>
    <t xml:space="preserve">027360 KQ Equity</t>
  </si>
  <si>
    <t xml:space="preserve">125490</t>
  </si>
  <si>
    <t xml:space="preserve">한라캐스트</t>
  </si>
  <si>
    <t xml:space="preserve">KOSDAQ:A125490</t>
  </si>
  <si>
    <t xml:space="preserve">125490 KQ Equity</t>
  </si>
  <si>
    <t xml:space="preserve">107640</t>
  </si>
  <si>
    <t xml:space="preserve">한중엔시에스</t>
  </si>
  <si>
    <t xml:space="preserve">KOSDAQ:A107640</t>
  </si>
  <si>
    <t xml:space="preserve">107640 KQ Equity</t>
  </si>
  <si>
    <t xml:space="preserve">0120G0</t>
  </si>
  <si>
    <t xml:space="preserve">삼양바이오팜</t>
  </si>
  <si>
    <t xml:space="preserve">KOSE:A0120G0</t>
  </si>
  <si>
    <t xml:space="preserve">0120G0 KS Equity</t>
  </si>
  <si>
    <t xml:space="preserve">089890</t>
  </si>
  <si>
    <t xml:space="preserve">코세스</t>
  </si>
  <si>
    <t xml:space="preserve">KOSDAQ:A089890</t>
  </si>
  <si>
    <t xml:space="preserve">089890 KQ Equity</t>
  </si>
  <si>
    <t xml:space="preserve">025320</t>
  </si>
  <si>
    <t xml:space="preserve">시노펙스</t>
  </si>
  <si>
    <t xml:space="preserve">KOSDAQ:A025320</t>
  </si>
  <si>
    <t xml:space="preserve">025320 KQ Equity</t>
  </si>
  <si>
    <t xml:space="preserve">170920</t>
  </si>
  <si>
    <t xml:space="preserve">엘티씨</t>
  </si>
  <si>
    <t xml:space="preserve">KOSDAQ:A170920</t>
  </si>
  <si>
    <t xml:space="preserve">170920 KQ Equity</t>
  </si>
  <si>
    <t xml:space="preserve">332570</t>
  </si>
  <si>
    <r>
      <rPr>
        <sz val="9"/>
        <rFont val="Arial"/>
        <family val="0"/>
        <charset val="1"/>
      </rPr>
      <t xml:space="preserve">PS</t>
    </r>
    <r>
      <rPr>
        <sz val="9"/>
        <rFont val="WenQuanYi Zen Hei"/>
        <family val="2"/>
      </rPr>
      <t xml:space="preserve">일렉트로닉스</t>
    </r>
  </si>
  <si>
    <t xml:space="preserve">KOSDAQ:A332570</t>
  </si>
  <si>
    <t xml:space="preserve">332570 KQ Equity</t>
  </si>
  <si>
    <t xml:space="preserve">393890</t>
  </si>
  <si>
    <t xml:space="preserve">더블유씨피</t>
  </si>
  <si>
    <t xml:space="preserve">KOSDAQ:A393890</t>
  </si>
  <si>
    <t xml:space="preserve">393890 KQ Equity</t>
  </si>
  <si>
    <t xml:space="preserve">468530</t>
  </si>
  <si>
    <t xml:space="preserve">프로티나</t>
  </si>
  <si>
    <t xml:space="preserve">KOSDAQ:A468530</t>
  </si>
  <si>
    <t xml:space="preserve">468530 KQ Equity</t>
  </si>
  <si>
    <t xml:space="preserve">092790</t>
  </si>
  <si>
    <t xml:space="preserve">넥스틸</t>
  </si>
  <si>
    <t xml:space="preserve">KOSE:A092790</t>
  </si>
  <si>
    <t xml:space="preserve">092790 KS Equity</t>
  </si>
  <si>
    <t xml:space="preserve">060280</t>
  </si>
  <si>
    <t xml:space="preserve">큐렉소</t>
  </si>
  <si>
    <t xml:space="preserve">KOSDAQ:A060280</t>
  </si>
  <si>
    <t xml:space="preserve">060280 KQ Equity</t>
  </si>
  <si>
    <t xml:space="preserve">101730</t>
  </si>
  <si>
    <t xml:space="preserve">위메이드맥스</t>
  </si>
  <si>
    <t xml:space="preserve">KOSDAQ:A101730</t>
  </si>
  <si>
    <t xml:space="preserve">101730 KQ Equity</t>
  </si>
  <si>
    <t xml:space="preserve">215600</t>
  </si>
  <si>
    <t xml:space="preserve">신라젠</t>
  </si>
  <si>
    <t xml:space="preserve">KOSDAQ:A215600</t>
  </si>
  <si>
    <t xml:space="preserve">215600 KQ Equity</t>
  </si>
  <si>
    <t xml:space="preserve">020000</t>
  </si>
  <si>
    <t xml:space="preserve">한섬</t>
  </si>
  <si>
    <t xml:space="preserve">KOSE:A020000</t>
  </si>
  <si>
    <t xml:space="preserve">020000 KS Equity</t>
  </si>
  <si>
    <t xml:space="preserve">봉제의복 제조업</t>
  </si>
  <si>
    <t xml:space="preserve">006910</t>
  </si>
  <si>
    <t xml:space="preserve">보성파워텍</t>
  </si>
  <si>
    <t xml:space="preserve">KOSDAQ:A006910</t>
  </si>
  <si>
    <t xml:space="preserve">006910 KQ Equity</t>
  </si>
  <si>
    <t xml:space="preserve">033160</t>
  </si>
  <si>
    <t xml:space="preserve">엠케이전자</t>
  </si>
  <si>
    <t xml:space="preserve">KOSDAQ:A033160</t>
  </si>
  <si>
    <t xml:space="preserve">033160 KQ Equity</t>
  </si>
  <si>
    <t xml:space="preserve">KOSE:A011930</t>
  </si>
  <si>
    <t xml:space="preserve">011930 KS Equity</t>
  </si>
  <si>
    <t xml:space="preserve">348210</t>
  </si>
  <si>
    <t xml:space="preserve">넥스틴</t>
  </si>
  <si>
    <t xml:space="preserve">KOSDAQ:A348210</t>
  </si>
  <si>
    <t xml:space="preserve">348210 KQ Equity</t>
  </si>
  <si>
    <t xml:space="preserve">356680</t>
  </si>
  <si>
    <t xml:space="preserve">엑스게이트</t>
  </si>
  <si>
    <t xml:space="preserve">KOSDAQ:A356680</t>
  </si>
  <si>
    <t xml:space="preserve">356680 KQ Equity</t>
  </si>
  <si>
    <t xml:space="preserve">200710</t>
  </si>
  <si>
    <t xml:space="preserve">에이디테크놀로지</t>
  </si>
  <si>
    <t xml:space="preserve">KOSDAQ:A200710</t>
  </si>
  <si>
    <t xml:space="preserve">200710 KQ Equity</t>
  </si>
  <si>
    <t xml:space="preserve">KOSDAQ:A069540</t>
  </si>
  <si>
    <t xml:space="preserve">069540 KQ Equity</t>
  </si>
  <si>
    <t xml:space="preserve">079370</t>
  </si>
  <si>
    <t xml:space="preserve">제우스</t>
  </si>
  <si>
    <t xml:space="preserve">KOSDAQ:A079370</t>
  </si>
  <si>
    <t xml:space="preserve">079370 KQ Equity</t>
  </si>
  <si>
    <t xml:space="preserve">039440</t>
  </si>
  <si>
    <t xml:space="preserve">에스티아이</t>
  </si>
  <si>
    <t xml:space="preserve">KOSDAQ:A039440</t>
  </si>
  <si>
    <t xml:space="preserve">039440 KQ Equity</t>
  </si>
  <si>
    <t xml:space="preserve">005950</t>
  </si>
  <si>
    <t xml:space="preserve">이수화학</t>
  </si>
  <si>
    <t xml:space="preserve">KOSE:A005950</t>
  </si>
  <si>
    <t xml:space="preserve">005950 KS Equity</t>
  </si>
  <si>
    <t xml:space="preserve">330860</t>
  </si>
  <si>
    <t xml:space="preserve">네패스아크</t>
  </si>
  <si>
    <t xml:space="preserve">KOSDAQ:A330860</t>
  </si>
  <si>
    <t xml:space="preserve">330860 KQ Equity</t>
  </si>
  <si>
    <t xml:space="preserve">290550</t>
  </si>
  <si>
    <t xml:space="preserve">디케이티</t>
  </si>
  <si>
    <t xml:space="preserve">KOSDAQ:A290550</t>
  </si>
  <si>
    <t xml:space="preserve">290550 KQ Equity</t>
  </si>
  <si>
    <t xml:space="preserve">078350</t>
  </si>
  <si>
    <t xml:space="preserve">한양디지텍</t>
  </si>
  <si>
    <t xml:space="preserve">KOSDAQ:A078350</t>
  </si>
  <si>
    <t xml:space="preserve">078350 KQ Equity</t>
  </si>
  <si>
    <t xml:space="preserve">KOSDAQ:A448900</t>
  </si>
  <si>
    <t xml:space="preserve">448900 KQ Equity</t>
  </si>
  <si>
    <t xml:space="preserve">160980</t>
  </si>
  <si>
    <t xml:space="preserve">싸이맥스</t>
  </si>
  <si>
    <t xml:space="preserve">KOSDAQ:A160980</t>
  </si>
  <si>
    <t xml:space="preserve">160980 KQ Equity</t>
  </si>
  <si>
    <t xml:space="preserve">417310</t>
  </si>
  <si>
    <t xml:space="preserve">코람코더원리츠</t>
  </si>
  <si>
    <t xml:space="preserve">KOSE:A417310</t>
  </si>
  <si>
    <t xml:space="preserve">417310 KS Equity</t>
  </si>
  <si>
    <r>
      <rPr>
        <b val="true"/>
        <sz val="9"/>
        <rFont val="Arial"/>
        <family val="0"/>
        <charset val="1"/>
      </rPr>
      <t xml:space="preserve">Preferred vs Common — 25 pairs with pref ADV20 ≥ 5</t>
    </r>
    <r>
      <rPr>
        <b val="true"/>
        <sz val="9"/>
        <rFont val="WenQuanYi Zen Hei"/>
        <family val="2"/>
      </rPr>
      <t xml:space="preserve">억 </t>
    </r>
    <r>
      <rPr>
        <b val="true"/>
        <sz val="9"/>
        <rFont val="Arial"/>
        <family val="0"/>
        <charset val="1"/>
      </rPr>
      <t xml:space="preserve">(as of 2026-09-03). </t>
    </r>
    <r>
      <rPr>
        <b val="true"/>
        <sz val="9"/>
        <rFont val="WenQuanYi Zen Hei"/>
        <family val="2"/>
      </rPr>
      <t xml:space="preserve">전체 </t>
    </r>
    <r>
      <rPr>
        <b val="true"/>
        <sz val="9"/>
        <rFont val="Arial"/>
        <family val="0"/>
        <charset val="1"/>
      </rPr>
      <t xml:space="preserve">107 </t>
    </r>
    <r>
      <rPr>
        <b val="true"/>
        <sz val="9"/>
        <rFont val="WenQuanYi Zen Hei"/>
        <family val="2"/>
      </rPr>
      <t xml:space="preserve">쌍 중</t>
    </r>
    <r>
      <rPr>
        <b val="true"/>
        <sz val="9"/>
        <rFont val="Arial"/>
        <family val="0"/>
        <charset val="1"/>
      </rPr>
      <t xml:space="preserve">. Pair </t>
    </r>
    <r>
      <rPr>
        <b val="true"/>
        <sz val="9"/>
        <rFont val="WenQuanYi Zen Hei"/>
        <family val="2"/>
      </rPr>
      <t xml:space="preserve">전략은 </t>
    </r>
    <r>
      <rPr>
        <b val="true"/>
        <sz val="9"/>
        <rFont val="Arial"/>
        <family val="0"/>
        <charset val="1"/>
      </rPr>
      <t xml:space="preserve">BBAS: </t>
    </r>
    <r>
      <rPr>
        <b val="true"/>
        <sz val="9"/>
        <rFont val="WenQuanYi Zen Hei"/>
        <family val="2"/>
      </rPr>
      <t xml:space="preserve">양 </t>
    </r>
    <r>
      <rPr>
        <b val="true"/>
        <sz val="9"/>
        <rFont val="Arial"/>
        <family val="0"/>
        <charset val="1"/>
      </rPr>
      <t xml:space="preserve">leg </t>
    </r>
    <r>
      <rPr>
        <b val="true"/>
        <sz val="9"/>
        <rFont val="WenQuanYi Zen Hei"/>
        <family val="2"/>
      </rPr>
      <t xml:space="preserve">비중 차이 </t>
    </r>
    <r>
      <rPr>
        <b val="true"/>
        <sz val="9"/>
        <rFont val="Arial"/>
        <family val="0"/>
        <charset val="1"/>
      </rPr>
      <t xml:space="preserve">4% </t>
    </r>
    <r>
      <rPr>
        <b val="true"/>
        <sz val="9"/>
        <rFont val="WenQuanYi Zen Hei"/>
        <family val="2"/>
      </rPr>
      <t xml:space="preserve">이내</t>
    </r>
  </si>
  <si>
    <t xml:space="preserve">Pref</t>
  </si>
  <si>
    <t xml:space="preserve">Pref Code</t>
  </si>
  <si>
    <t xml:space="preserve">Common</t>
  </si>
  <si>
    <t xml:space="preserve">Common Code</t>
  </si>
  <si>
    <t xml:space="preserve">Pref Px</t>
  </si>
  <si>
    <t xml:space="preserve">Common Px</t>
  </si>
  <si>
    <t xml:space="preserve">Discount (Pref/Common-1)</t>
  </si>
  <si>
    <r>
      <rPr>
        <b val="true"/>
        <sz val="9"/>
        <color rgb="FFFFFFFF"/>
        <rFont val="Arial"/>
        <family val="0"/>
        <charset val="1"/>
      </rPr>
      <t xml:space="preserve">Pref Mcap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</si>
  <si>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Pref ADV20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</si>
  <si>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Common ADV20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</si>
  <si>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Pref Tier</t>
  </si>
  <si>
    <t xml:space="preserve">Common Tier</t>
  </si>
  <si>
    <r>
      <rPr>
        <b val="true"/>
        <sz val="9"/>
        <color rgb="FFFFFFFF"/>
        <rFont val="Arial"/>
        <family val="0"/>
        <charset val="1"/>
      </rPr>
      <t xml:space="preserve">Pref MaxPos @500</t>
    </r>
    <r>
      <rPr>
        <b val="true"/>
        <sz val="9"/>
        <color rgb="FFFFFFFF"/>
        <rFont val="WenQuanYi Zen Hei"/>
        <family val="2"/>
      </rPr>
      <t xml:space="preserve">억</t>
    </r>
  </si>
  <si>
    <r>
      <rPr>
        <b val="true"/>
        <sz val="9"/>
        <color rgb="FFFFFFFF"/>
        <rFont val="Arial"/>
        <family val="0"/>
        <charset val="1"/>
      </rPr>
      <t xml:space="preserve">Common MaxPos @500</t>
    </r>
    <r>
      <rPr>
        <b val="true"/>
        <sz val="9"/>
        <color rgb="FFFFFFFF"/>
        <rFont val="WenQuanYi Zen Hei"/>
        <family val="2"/>
      </rPr>
      <t xml:space="preserve">억</t>
    </r>
  </si>
  <si>
    <t xml:space="preserve">Upside to target disc.</t>
  </si>
  <si>
    <t xml:space="preserve">아모레퍼시픽우</t>
  </si>
  <si>
    <t xml:space="preserve">090435</t>
  </si>
  <si>
    <t xml:space="preserve">C Event-Play only (illiquid)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</si>
  <si>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생활건강우</t>
    </r>
  </si>
  <si>
    <t xml:space="preserve">051905</t>
  </si>
  <si>
    <r>
      <rPr>
        <sz val="9"/>
        <rFont val="Arial"/>
        <family val="0"/>
        <charset val="1"/>
      </rPr>
      <t xml:space="preserve">C Event-Play only (&lt;3000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</si>
  <si>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삼성</t>
    </r>
    <r>
      <rPr>
        <sz val="9"/>
        <rFont val="Arial"/>
        <family val="0"/>
        <charset val="1"/>
      </rPr>
      <t xml:space="preserve">SDI</t>
    </r>
    <r>
      <rPr>
        <sz val="9"/>
        <rFont val="WenQuanYi Zen Hei"/>
        <family val="2"/>
      </rPr>
      <t xml:space="preserve">우</t>
    </r>
  </si>
  <si>
    <t xml:space="preserve">006405</t>
  </si>
  <si>
    <r>
      <rPr>
        <sz val="9"/>
        <rFont val="WenQuanYi Zen Hei"/>
        <family val="2"/>
      </rPr>
      <t xml:space="preserve">한화머시너리앤서비스홀딩스</t>
    </r>
    <r>
      <rPr>
        <sz val="9"/>
        <rFont val="Arial"/>
        <family val="0"/>
        <charset val="1"/>
      </rPr>
      <t xml:space="preserve">3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B</t>
    </r>
  </si>
  <si>
    <t xml:space="preserve">0220WL</t>
  </si>
  <si>
    <r>
      <rPr>
        <sz val="9"/>
        <rFont val="Arial"/>
        <family val="0"/>
        <charset val="1"/>
      </rPr>
      <t xml:space="preserve">S-Oil</t>
    </r>
    <r>
      <rPr>
        <sz val="9"/>
        <rFont val="WenQuanYi Zen Hei"/>
        <family val="2"/>
      </rPr>
      <t xml:space="preserve">우</t>
    </r>
  </si>
  <si>
    <t xml:space="preserve">010955</t>
  </si>
  <si>
    <r>
      <rPr>
        <sz val="9"/>
        <rFont val="WenQuanYi Zen Hei"/>
        <family val="2"/>
      </rPr>
      <t xml:space="preserve">현대차</t>
    </r>
    <r>
      <rPr>
        <sz val="9"/>
        <rFont val="Arial"/>
        <family val="0"/>
        <charset val="1"/>
      </rPr>
      <t xml:space="preserve">3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B</t>
    </r>
  </si>
  <si>
    <t xml:space="preserve">005389</t>
  </si>
  <si>
    <r>
      <rPr>
        <sz val="9"/>
        <rFont val="Arial"/>
        <family val="0"/>
        <charset val="1"/>
      </rPr>
      <t xml:space="preserve">GS</t>
    </r>
    <r>
      <rPr>
        <sz val="9"/>
        <rFont val="WenQuanYi Zen Hei"/>
        <family val="2"/>
      </rPr>
      <t xml:space="preserve">우</t>
    </r>
  </si>
  <si>
    <t xml:space="preserve">078935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</si>
  <si>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우</t>
    </r>
  </si>
  <si>
    <t xml:space="preserve">003555</t>
  </si>
  <si>
    <r>
      <rPr>
        <sz val="9"/>
        <rFont val="WenQuanYi Zen Hei"/>
        <family val="2"/>
      </rPr>
      <t xml:space="preserve">삼성물산우</t>
    </r>
    <r>
      <rPr>
        <sz val="9"/>
        <rFont val="Arial"/>
        <family val="0"/>
        <charset val="1"/>
      </rPr>
      <t xml:space="preserve">B</t>
    </r>
  </si>
  <si>
    <t xml:space="preserve">02826K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</si>
  <si>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우</t>
    </r>
  </si>
  <si>
    <t xml:space="preserve">03473K</t>
  </si>
  <si>
    <t xml:space="preserve">대신증권우</t>
  </si>
  <si>
    <t xml:space="preserve">003545</t>
  </si>
  <si>
    <t xml:space="preserve">대원전선우</t>
  </si>
  <si>
    <t xml:space="preserve">006345</t>
  </si>
  <si>
    <r>
      <rPr>
        <sz val="9"/>
        <rFont val="Arial"/>
        <family val="0"/>
        <charset val="1"/>
      </rPr>
      <t xml:space="preserve">NH</t>
    </r>
    <r>
      <rPr>
        <sz val="9"/>
        <rFont val="WenQuanYi Zen Hei"/>
        <family val="2"/>
      </rPr>
      <t xml:space="preserve">투자증권우</t>
    </r>
  </si>
  <si>
    <t xml:space="preserve">005945</t>
  </si>
  <si>
    <r>
      <rPr>
        <sz val="9"/>
        <rFont val="Arial"/>
        <family val="0"/>
        <charset val="1"/>
      </rPr>
      <t xml:space="preserve">CJ4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전환</t>
    </r>
    <r>
      <rPr>
        <sz val="9"/>
        <rFont val="Arial"/>
        <family val="0"/>
        <charset val="1"/>
      </rPr>
      <t xml:space="preserve">)</t>
    </r>
  </si>
  <si>
    <t xml:space="preserve">00104K</t>
  </si>
  <si>
    <t xml:space="preserve">금호건설우</t>
  </si>
  <si>
    <t xml:space="preserve">002995</t>
  </si>
  <si>
    <r>
      <rPr>
        <sz val="9"/>
        <rFont val="Arial"/>
        <family val="0"/>
        <charset val="1"/>
      </rPr>
      <t xml:space="preserve">Target discount (input, </t>
    </r>
    <r>
      <rPr>
        <sz val="9"/>
        <rFont val="WenQuanYi Zen Hei"/>
        <family val="2"/>
      </rPr>
      <t xml:space="preserve">가정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</si>
  <si>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→ Pref upside if discount narrows to target (</t>
    </r>
    <r>
      <rPr>
        <sz val="9"/>
        <rFont val="WenQuanYi Zen Hei"/>
        <family val="2"/>
      </rPr>
      <t xml:space="preserve">보통주 불변 가정</t>
    </r>
    <r>
      <rPr>
        <sz val="9"/>
        <rFont val="Arial"/>
        <family val="0"/>
        <charset val="1"/>
      </rPr>
      <t xml:space="preserve">)</t>
    </r>
  </si>
  <si>
    <r>
      <rPr>
        <b val="true"/>
        <sz val="9"/>
        <rFont val="Arial"/>
        <family val="0"/>
        <charset val="1"/>
      </rPr>
      <t xml:space="preserve">Holdco listed-stake coverage (</t>
    </r>
    <r>
      <rPr>
        <b val="true"/>
        <sz val="9"/>
        <rFont val="WenQuanYi Zen Hei"/>
        <family val="2"/>
      </rPr>
      <t xml:space="preserve">상장자회사 지분가치 </t>
    </r>
    <r>
      <rPr>
        <b val="true"/>
        <sz val="9"/>
        <rFont val="Arial"/>
        <family val="0"/>
        <charset val="1"/>
      </rPr>
      <t xml:space="preserve">/ </t>
    </r>
    <r>
      <rPr>
        <b val="true"/>
        <sz val="9"/>
        <rFont val="WenQuanYi Zen Hei"/>
        <family val="2"/>
      </rPr>
      <t xml:space="preserve">지주 시총</t>
    </r>
    <r>
      <rPr>
        <b val="true"/>
        <sz val="9"/>
        <rFont val="Arial"/>
        <family val="0"/>
        <charset val="1"/>
      </rPr>
      <t xml:space="preserve">). </t>
    </r>
    <r>
      <rPr>
        <b val="true"/>
        <sz val="9"/>
        <rFont val="WenQuanYi Zen Hei"/>
        <family val="2"/>
      </rPr>
      <t xml:space="preserve">지분율은 모델 기억 기반 근사치</t>
    </r>
    <r>
      <rPr>
        <b val="true"/>
        <sz val="9"/>
        <rFont val="Arial"/>
        <family val="0"/>
        <charset val="1"/>
      </rPr>
      <t xml:space="preserve">(</t>
    </r>
    <r>
      <rPr>
        <b val="true"/>
        <sz val="9"/>
        <rFont val="WenQuanYi Zen Hei"/>
        <family val="2"/>
      </rPr>
      <t xml:space="preserve">파란색</t>
    </r>
    <r>
      <rPr>
        <b val="true"/>
        <sz val="9"/>
        <rFont val="Arial"/>
        <family val="0"/>
        <charset val="1"/>
      </rPr>
      <t xml:space="preserve">) → CIQ/DART </t>
    </r>
    <r>
      <rPr>
        <b val="true"/>
        <sz val="9"/>
        <rFont val="WenQuanYi Zen Hei"/>
        <family val="2"/>
      </rPr>
      <t xml:space="preserve">검증 필수</t>
    </r>
    <r>
      <rPr>
        <b val="true"/>
        <sz val="9"/>
        <rFont val="Arial"/>
        <family val="0"/>
        <charset val="1"/>
      </rPr>
      <t xml:space="preserve">. </t>
    </r>
    <r>
      <rPr>
        <b val="true"/>
        <sz val="9"/>
        <rFont val="WenQuanYi Zen Hei"/>
        <family val="2"/>
      </rPr>
      <t xml:space="preserve">순차입금</t>
    </r>
    <r>
      <rPr>
        <b val="true"/>
        <sz val="9"/>
        <rFont val="Arial"/>
        <family val="0"/>
        <charset val="1"/>
      </rPr>
      <t xml:space="preserve">·</t>
    </r>
    <r>
      <rPr>
        <b val="true"/>
        <sz val="9"/>
        <rFont val="WenQuanYi Zen Hei"/>
        <family val="2"/>
      </rPr>
      <t xml:space="preserve">비상장 자산 미반영</t>
    </r>
    <r>
      <rPr>
        <b val="true"/>
        <sz val="9"/>
        <rFont val="Arial"/>
        <family val="0"/>
        <charset val="1"/>
      </rPr>
      <t xml:space="preserve">.</t>
    </r>
  </si>
  <si>
    <t xml:space="preserve">Holdco Code</t>
  </si>
  <si>
    <t xml:space="preserve">Holdco</t>
  </si>
  <si>
    <r>
      <rPr>
        <b val="true"/>
        <sz val="9"/>
        <color rgb="FFFFFFFF"/>
        <rFont val="Arial"/>
        <family val="0"/>
        <charset val="1"/>
      </rPr>
      <t xml:space="preserve">Holdco Mcap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</si>
  <si>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Holdco Tier</t>
  </si>
  <si>
    <t xml:space="preserve">Sub Code</t>
  </si>
  <si>
    <t xml:space="preserve">Subsidiary</t>
  </si>
  <si>
    <t xml:space="preserve">Stake % (input)</t>
  </si>
  <si>
    <r>
      <rPr>
        <b val="true"/>
        <sz val="9"/>
        <color rgb="FFFFFFFF"/>
        <rFont val="Arial"/>
        <family val="0"/>
        <charset val="1"/>
      </rPr>
      <t xml:space="preserve">Sub Mcap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</si>
  <si>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Stake value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</si>
  <si>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Holdco listed-stake NAV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</si>
  <si>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Coverage = NAV/Mcap</t>
  </si>
  <si>
    <t xml:space="preserve">Implied discount = 1 - Mcap/NAV</t>
  </si>
  <si>
    <t xml:space="preserve">000670</t>
  </si>
  <si>
    <t xml:space="preserve">영풍</t>
  </si>
  <si>
    <t xml:space="preserve">453340</t>
  </si>
  <si>
    <t xml:space="preserve">현대그린푸드</t>
  </si>
  <si>
    <r>
      <rPr>
        <i val="true"/>
        <sz val="8"/>
        <rFont val="WenQuanYi Zen Hei"/>
        <family val="2"/>
      </rPr>
      <t xml:space="preserve">해석</t>
    </r>
    <r>
      <rPr>
        <i val="true"/>
        <sz val="8"/>
        <rFont val="Arial"/>
        <family val="0"/>
        <charset val="1"/>
      </rPr>
      <t xml:space="preserve">: Coverage &gt; 1.0x = </t>
    </r>
    <r>
      <rPr>
        <i val="true"/>
        <sz val="8"/>
        <rFont val="WenQuanYi Zen Hei"/>
        <family val="2"/>
      </rPr>
      <t xml:space="preserve">상장자회사 지분가치만으로 지주 시총 초과</t>
    </r>
    <r>
      <rPr>
        <i val="true"/>
        <sz val="8"/>
        <rFont val="Arial"/>
        <family val="0"/>
        <charset val="1"/>
      </rPr>
      <t xml:space="preserve">(</t>
    </r>
    <r>
      <rPr>
        <i val="true"/>
        <sz val="8"/>
        <rFont val="WenQuanYi Zen Hei"/>
        <family val="2"/>
      </rPr>
      <t xml:space="preserve">비상장 자산</t>
    </r>
    <r>
      <rPr>
        <i val="true"/>
        <sz val="8"/>
        <rFont val="Arial"/>
        <family val="0"/>
        <charset val="1"/>
      </rPr>
      <t xml:space="preserve">·</t>
    </r>
    <r>
      <rPr>
        <i val="true"/>
        <sz val="8"/>
        <rFont val="WenQuanYi Zen Hei"/>
        <family val="2"/>
      </rPr>
      <t xml:space="preserve">순차입금 제외</t>
    </r>
    <r>
      <rPr>
        <i val="true"/>
        <sz val="8"/>
        <rFont val="Arial"/>
        <family val="0"/>
        <charset val="1"/>
      </rPr>
      <t xml:space="preserve">). </t>
    </r>
    <r>
      <rPr>
        <i val="true"/>
        <sz val="8"/>
        <rFont val="WenQuanYi Zen Hei"/>
        <family val="2"/>
      </rPr>
      <t xml:space="preserve">지분율 </t>
    </r>
    <r>
      <rPr>
        <i val="true"/>
        <sz val="8"/>
        <rFont val="Arial"/>
        <family val="0"/>
        <charset val="1"/>
      </rPr>
      <t xml:space="preserve">0 = </t>
    </r>
    <r>
      <rPr>
        <i val="true"/>
        <sz val="8"/>
        <rFont val="WenQuanYi Zen Hei"/>
        <family val="2"/>
      </rPr>
      <t xml:space="preserve">미확인</t>
    </r>
    <r>
      <rPr>
        <i val="true"/>
        <sz val="8"/>
        <rFont val="Arial"/>
        <family val="0"/>
        <charset val="1"/>
      </rPr>
      <t xml:space="preserve">. Mcap</t>
    </r>
    <r>
      <rPr>
        <i val="true"/>
        <sz val="8"/>
        <rFont val="WenQuanYi Zen Hei"/>
        <family val="2"/>
      </rPr>
      <t xml:space="preserve">은 </t>
    </r>
    <r>
      <rPr>
        <i val="true"/>
        <sz val="8"/>
        <rFont val="Arial"/>
        <family val="0"/>
        <charset val="1"/>
      </rPr>
      <t xml:space="preserve">Universe build </t>
    </r>
    <r>
      <rPr>
        <i val="true"/>
        <sz val="8"/>
        <rFont val="WenQuanYi Zen Hei"/>
        <family val="2"/>
      </rPr>
      <t xml:space="preserve">시점 값</t>
    </r>
    <r>
      <rPr>
        <i val="true"/>
        <sz val="8"/>
        <rFont val="Arial"/>
        <family val="0"/>
        <charset val="1"/>
      </rPr>
      <t xml:space="preserve">(</t>
    </r>
    <r>
      <rPr>
        <i val="true"/>
        <sz val="8"/>
        <rFont val="WenQuanYi Zen Hei"/>
        <family val="2"/>
      </rPr>
      <t xml:space="preserve">정적</t>
    </r>
    <r>
      <rPr>
        <i val="true"/>
        <sz val="8"/>
        <rFont val="Arial"/>
        <family val="0"/>
        <charset val="1"/>
      </rPr>
      <t xml:space="preserve">).</t>
    </r>
  </si>
  <si>
    <r>
      <rPr>
        <b val="true"/>
        <sz val="9"/>
        <rFont val="Arial"/>
        <family val="0"/>
        <charset val="1"/>
      </rPr>
      <t xml:space="preserve">Investment Ideas — </t>
    </r>
    <r>
      <rPr>
        <b val="true"/>
        <sz val="9"/>
        <rFont val="WenQuanYi Zen Hei"/>
        <family val="2"/>
      </rPr>
      <t xml:space="preserve">특수상황</t>
    </r>
    <r>
      <rPr>
        <b val="true"/>
        <sz val="9"/>
        <rFont val="Arial"/>
        <family val="0"/>
        <charset val="1"/>
      </rPr>
      <t xml:space="preserve">/</t>
    </r>
    <r>
      <rPr>
        <b val="true"/>
        <sz val="9"/>
        <rFont val="WenQuanYi Zen Hei"/>
        <family val="2"/>
      </rPr>
      <t xml:space="preserve">유동성 룰 내 실행 가능</t>
    </r>
    <r>
      <rPr>
        <b val="true"/>
        <sz val="9"/>
        <rFont val="Arial"/>
        <family val="0"/>
        <charset val="1"/>
      </rPr>
      <t xml:space="preserve">. Upside/Downside</t>
    </r>
    <r>
      <rPr>
        <b val="true"/>
        <sz val="9"/>
        <rFont val="WenQuanYi Zen Hei"/>
        <family val="2"/>
      </rPr>
      <t xml:space="preserve">는 정량 가정</t>
    </r>
    <r>
      <rPr>
        <b val="true"/>
        <sz val="9"/>
        <rFont val="Arial"/>
        <family val="0"/>
        <charset val="1"/>
      </rPr>
      <t xml:space="preserve">(</t>
    </r>
    <r>
      <rPr>
        <b val="true"/>
        <sz val="9"/>
        <rFont val="WenQuanYi Zen Hei"/>
        <family val="2"/>
      </rPr>
      <t xml:space="preserve">모델링 아님</t>
    </r>
    <r>
      <rPr>
        <b val="true"/>
        <sz val="9"/>
        <rFont val="Arial"/>
        <family val="0"/>
        <charset val="1"/>
      </rPr>
      <t xml:space="preserve">). as of 2026-09-03</t>
    </r>
  </si>
  <si>
    <t xml:space="preserve">#</t>
  </si>
  <si>
    <t xml:space="preserve">Idea</t>
  </si>
  <si>
    <t xml:space="preserve">Direction</t>
  </si>
  <si>
    <t xml:space="preserve">Legs (codes)</t>
  </si>
  <si>
    <t xml:space="preserve">Type</t>
  </si>
  <si>
    <t xml:space="preserve">Thesis (data-backed)</t>
  </si>
  <si>
    <t xml:space="preserve">Catalyst</t>
  </si>
  <si>
    <r>
      <rPr>
        <b val="true"/>
        <sz val="9"/>
        <color rgb="FFFFFFFF"/>
        <rFont val="Arial"/>
        <family val="0"/>
        <charset val="1"/>
      </rPr>
      <t xml:space="preserve">Sizing @500</t>
    </r>
    <r>
      <rPr>
        <b val="true"/>
        <sz val="9"/>
        <color rgb="FFFFFFFF"/>
        <rFont val="WenQuanYi Zen Hei"/>
        <family val="2"/>
      </rPr>
      <t xml:space="preserve">억 </t>
    </r>
    <r>
      <rPr>
        <b val="true"/>
        <sz val="9"/>
        <color rgb="FFFFFFFF"/>
        <rFont val="Arial"/>
        <family val="0"/>
        <charset val="1"/>
      </rPr>
      <t xml:space="preserve">(BBAS)</t>
    </r>
  </si>
  <si>
    <r>
      <rPr>
        <b val="true"/>
        <sz val="9"/>
        <color rgb="FFFFFFFF"/>
        <rFont val="Arial"/>
        <family val="0"/>
        <charset val="1"/>
      </rPr>
      <t xml:space="preserve">Upside (</t>
    </r>
    <r>
      <rPr>
        <b val="true"/>
        <sz val="9"/>
        <color rgb="FFFFFFFF"/>
        <rFont val="WenQuanYi Zen Hei"/>
        <family val="2"/>
      </rPr>
      <t xml:space="preserve">가정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</si>
  <si>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Downside (</t>
    </r>
    <r>
      <rPr>
        <b val="true"/>
        <sz val="9"/>
        <color rgb="FFFFFFFF"/>
        <rFont val="WenQuanYi Zen Hei"/>
        <family val="2"/>
      </rPr>
      <t xml:space="preserve">가정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</si>
  <si>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Key risk</t>
  </si>
  <si>
    <t xml:space="preserve">Devil's advocate</t>
  </si>
  <si>
    <t xml:space="preserve">Data needed (CIQ/DART)</t>
  </si>
  <si>
    <r>
      <rPr>
        <sz val="9"/>
        <rFont val="WenQuanYi Zen Hei"/>
        <family val="2"/>
      </rPr>
      <t xml:space="preserve">삼성전기우 </t>
    </r>
    <r>
      <rPr>
        <sz val="9"/>
        <rFont val="Arial"/>
        <family val="0"/>
        <charset val="1"/>
      </rPr>
      <t xml:space="preserve">/ </t>
    </r>
    <r>
      <rPr>
        <sz val="9"/>
        <rFont val="WenQuanYi Zen Hei"/>
        <family val="2"/>
      </rPr>
      <t xml:space="preserve">삼성전기 </t>
    </r>
    <r>
      <rPr>
        <sz val="9"/>
        <rFont val="Arial"/>
        <family val="0"/>
        <charset val="1"/>
      </rPr>
      <t xml:space="preserve">pref-common pair</t>
    </r>
  </si>
  <si>
    <t xml:space="preserve">Long pref / Short common</t>
  </si>
  <si>
    <t xml:space="preserve">009155 / 009150</t>
  </si>
  <si>
    <t xml:space="preserve">Pref discount</t>
  </si>
  <si>
    <r>
      <rPr>
        <sz val="9"/>
        <rFont val="WenQuanYi Zen Hei"/>
        <family val="2"/>
      </rPr>
      <t xml:space="preserve">괴리율 </t>
    </r>
    <r>
      <rPr>
        <sz val="9"/>
        <rFont val="Arial"/>
        <family val="0"/>
        <charset val="1"/>
      </rPr>
      <t xml:space="preserve">-63%. </t>
    </r>
    <r>
      <rPr>
        <sz val="9"/>
        <rFont val="WenQuanYi Zen Hei"/>
        <family val="2"/>
      </rPr>
      <t xml:space="preserve">양 </t>
    </r>
    <r>
      <rPr>
        <sz val="9"/>
        <rFont val="Arial"/>
        <family val="0"/>
        <charset val="1"/>
      </rPr>
      <t xml:space="preserve">leg </t>
    </r>
    <r>
      <rPr>
        <sz val="9"/>
        <rFont val="WenQuanYi Zen Hei"/>
        <family val="2"/>
      </rPr>
      <t xml:space="preserve">모두 </t>
    </r>
    <r>
      <rPr>
        <sz val="9"/>
        <rFont val="Arial"/>
        <family val="0"/>
        <charset val="1"/>
      </rPr>
      <t xml:space="preserve">A1(</t>
    </r>
    <r>
      <rPr>
        <sz val="9"/>
        <rFont val="WenQuanYi Zen Hei"/>
        <family val="2"/>
      </rPr>
      <t xml:space="preserve">우선주 </t>
    </r>
    <r>
      <rPr>
        <sz val="9"/>
        <rFont val="Arial"/>
        <family val="0"/>
        <charset val="1"/>
      </rPr>
      <t xml:space="preserve">ADV20 181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). 2</t>
    </r>
    <r>
      <rPr>
        <sz val="9"/>
        <rFont val="WenQuanYi Zen Hei"/>
        <family val="2"/>
      </rPr>
      <t xml:space="preserve">차 상법개정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자사주 소각 의무화 논의는 우선주 배당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청산가치 재평가 촉매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보통주 </t>
    </r>
    <r>
      <rPr>
        <sz val="9"/>
        <rFont val="Arial"/>
        <family val="0"/>
        <charset val="1"/>
      </rPr>
      <t xml:space="preserve">YTD +429%</t>
    </r>
    <r>
      <rPr>
        <sz val="9"/>
        <rFont val="WenQuanYi Zen Hei"/>
        <family val="2"/>
      </rPr>
      <t xml:space="preserve">로 모멘텀 과열 → 보통주 </t>
    </r>
    <r>
      <rPr>
        <sz val="9"/>
        <rFont val="Arial"/>
        <family val="0"/>
        <charset val="1"/>
      </rPr>
      <t xml:space="preserve">short leg</t>
    </r>
    <r>
      <rPr>
        <sz val="9"/>
        <rFont val="WenQuanYi Zen Hei"/>
        <family val="2"/>
      </rPr>
      <t xml:space="preserve">가 </t>
    </r>
    <r>
      <rPr>
        <sz val="9"/>
        <rFont val="Arial"/>
        <family val="0"/>
        <charset val="1"/>
      </rPr>
      <t xml:space="preserve">hedge </t>
    </r>
    <r>
      <rPr>
        <sz val="9"/>
        <rFont val="WenQuanYi Zen Hei"/>
        <family val="2"/>
      </rPr>
      <t xml:space="preserve">겸 </t>
    </r>
    <r>
      <rPr>
        <sz val="9"/>
        <rFont val="Arial"/>
        <family val="0"/>
        <charset val="1"/>
      </rPr>
      <t xml:space="preserve">alpha.</t>
    </r>
  </si>
  <si>
    <r>
      <rPr>
        <sz val="9"/>
        <rFont val="WenQuanYi Zen Hei"/>
        <family val="2"/>
      </rPr>
      <t xml:space="preserve">자사주 소각 의무화 입법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배당 확대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우선주 </t>
    </r>
    <r>
      <rPr>
        <sz val="9"/>
        <rFont val="Arial"/>
        <family val="0"/>
        <charset val="1"/>
      </rPr>
      <t xml:space="preserve">ETF/</t>
    </r>
    <r>
      <rPr>
        <sz val="9"/>
        <rFont val="WenQuanYi Zen Hei"/>
        <family val="2"/>
      </rPr>
      <t xml:space="preserve">패시브 수급</t>
    </r>
  </si>
  <si>
    <r>
      <rPr>
        <sz val="9"/>
        <rFont val="Arial"/>
        <family val="0"/>
        <charset val="1"/>
      </rPr>
      <t xml:space="preserve">6% / 6% (pair </t>
    </r>
    <r>
      <rPr>
        <sz val="9"/>
        <rFont val="WenQuanYi Zen Hei"/>
        <family val="2"/>
      </rPr>
      <t xml:space="preserve">차이 </t>
    </r>
    <r>
      <rPr>
        <sz val="9"/>
        <rFont val="Arial"/>
        <family val="0"/>
        <charset val="1"/>
      </rPr>
      <t xml:space="preserve">4% </t>
    </r>
    <r>
      <rPr>
        <sz val="9"/>
        <rFont val="WenQuanYi Zen Hei"/>
        <family val="2"/>
      </rPr>
      <t xml:space="preserve">이내</t>
    </r>
    <r>
      <rPr>
        <sz val="9"/>
        <rFont val="Arial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</si>
  <si>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괴리율 </t>
    </r>
    <r>
      <rPr>
        <sz val="9"/>
        <rFont val="Arial"/>
        <family val="0"/>
        <charset val="1"/>
      </rPr>
      <t xml:space="preserve">-63% → -50% </t>
    </r>
    <r>
      <rPr>
        <sz val="9"/>
        <rFont val="WenQuanYi Zen Hei"/>
        <family val="2"/>
      </rPr>
      <t xml:space="preserve">수렴 시 </t>
    </r>
    <r>
      <rPr>
        <sz val="9"/>
        <rFont val="Arial"/>
        <family val="0"/>
        <charset val="1"/>
      </rPr>
      <t xml:space="preserve">pref </t>
    </r>
    <r>
      <rPr>
        <sz val="9"/>
        <rFont val="WenQuanYi Zen Hei"/>
        <family val="2"/>
      </rPr>
      <t xml:space="preserve">상대수익 </t>
    </r>
    <r>
      <rPr>
        <sz val="9"/>
        <rFont val="Arial"/>
        <family val="0"/>
        <charset val="1"/>
      </rPr>
      <t xml:space="preserve">+35%; -55%</t>
    </r>
    <r>
      <rPr>
        <sz val="9"/>
        <rFont val="WenQuanYi Zen Hei"/>
        <family val="2"/>
      </rPr>
      <t xml:space="preserve">면 </t>
    </r>
    <r>
      <rPr>
        <sz val="9"/>
        <rFont val="Arial"/>
        <family val="0"/>
        <charset val="1"/>
      </rPr>
      <t xml:space="preserve">+22%</t>
    </r>
  </si>
  <si>
    <r>
      <rPr>
        <sz val="9"/>
        <rFont val="WenQuanYi Zen Hei"/>
        <family val="2"/>
      </rPr>
      <t xml:space="preserve">괴리율 </t>
    </r>
    <r>
      <rPr>
        <sz val="9"/>
        <rFont val="Arial"/>
        <family val="0"/>
        <charset val="1"/>
      </rPr>
      <t xml:space="preserve">-70%</t>
    </r>
    <r>
      <rPr>
        <sz val="9"/>
        <rFont val="WenQuanYi Zen Hei"/>
        <family val="2"/>
      </rPr>
      <t xml:space="preserve">로 확대 시 </t>
    </r>
    <r>
      <rPr>
        <sz val="9"/>
        <rFont val="Arial"/>
        <family val="0"/>
        <charset val="1"/>
      </rPr>
      <t xml:space="preserve">-19%. </t>
    </r>
    <r>
      <rPr>
        <sz val="9"/>
        <rFont val="WenQuanYi Zen Hei"/>
        <family val="2"/>
      </rPr>
      <t xml:space="preserve">보통주 급등 국면에서 </t>
    </r>
    <r>
      <rPr>
        <sz val="9"/>
        <rFont val="Arial"/>
        <family val="0"/>
        <charset val="1"/>
      </rPr>
      <t xml:space="preserve">pref </t>
    </r>
    <r>
      <rPr>
        <sz val="9"/>
        <rFont val="WenQuanYi Zen Hei"/>
        <family val="2"/>
      </rPr>
      <t xml:space="preserve">소외 지속</t>
    </r>
  </si>
  <si>
    <r>
      <rPr>
        <sz val="9"/>
        <rFont val="WenQuanYi Zen Hei"/>
        <family val="2"/>
      </rPr>
      <t xml:space="preserve">괴리율 </t>
    </r>
    <r>
      <rPr>
        <sz val="9"/>
        <rFont val="Arial"/>
        <family val="0"/>
        <charset val="1"/>
      </rPr>
      <t xml:space="preserve">mean-reversion </t>
    </r>
    <r>
      <rPr>
        <sz val="9"/>
        <rFont val="WenQuanYi Zen Hei"/>
        <family val="2"/>
      </rPr>
      <t xml:space="preserve">시점 불확실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대차 가능 여부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비용</t>
    </r>
  </si>
  <si>
    <r>
      <rPr>
        <sz val="9"/>
        <rFont val="WenQuanYi Zen Hei"/>
        <family val="2"/>
      </rPr>
      <t xml:space="preserve">괴리율은 수년간 </t>
    </r>
    <r>
      <rPr>
        <sz val="9"/>
        <rFont val="Arial"/>
        <family val="0"/>
        <charset val="1"/>
      </rPr>
      <t xml:space="preserve">-50~-65% </t>
    </r>
    <r>
      <rPr>
        <sz val="9"/>
        <rFont val="WenQuanYi Zen Hei"/>
        <family val="2"/>
      </rPr>
      <t xml:space="preserve">박스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촉매 없이는 </t>
    </r>
    <r>
      <rPr>
        <sz val="9"/>
        <rFont val="Arial"/>
        <family val="0"/>
        <charset val="1"/>
      </rPr>
      <t xml:space="preserve">carry(</t>
    </r>
    <r>
      <rPr>
        <sz val="9"/>
        <rFont val="WenQuanYi Zen Hei"/>
        <family val="2"/>
      </rPr>
      <t xml:space="preserve">배당차</t>
    </r>
    <r>
      <rPr>
        <sz val="9"/>
        <rFont val="Arial"/>
        <family val="0"/>
        <charset val="1"/>
      </rPr>
      <t xml:space="preserve">)</t>
    </r>
    <r>
      <rPr>
        <sz val="9"/>
        <rFont val="WenQuanYi Zen Hei"/>
        <family val="2"/>
      </rPr>
      <t xml:space="preserve">만 남음</t>
    </r>
    <r>
      <rPr>
        <sz val="9"/>
        <rFont val="Arial"/>
        <family val="0"/>
        <charset val="1"/>
      </rPr>
      <t xml:space="preserve">. 2025-26 </t>
    </r>
    <r>
      <rPr>
        <sz val="9"/>
        <rFont val="WenQuanYi Zen Hei"/>
        <family val="2"/>
      </rPr>
      <t xml:space="preserve">랠리에서 </t>
    </r>
    <r>
      <rPr>
        <sz val="9"/>
        <rFont val="Arial"/>
        <family val="0"/>
        <charset val="1"/>
      </rPr>
      <t xml:space="preserve">pref </t>
    </r>
    <r>
      <rPr>
        <sz val="9"/>
        <rFont val="WenQuanYi Zen Hei"/>
        <family val="2"/>
      </rPr>
      <t xml:space="preserve">소외 → 구조적일 수 있음</t>
    </r>
  </si>
  <si>
    <r>
      <rPr>
        <sz val="9"/>
        <rFont val="WenQuanYi Zen Hei"/>
        <family val="2"/>
      </rPr>
      <t xml:space="preserve">배당 이력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우선주 발행주식수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유통물량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대차잔고</t>
    </r>
  </si>
  <si>
    <r>
      <rPr>
        <sz val="9"/>
        <rFont val="WenQuanYi Zen Hei"/>
        <family val="2"/>
      </rPr>
      <t xml:space="preserve">현대차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B / </t>
    </r>
    <r>
      <rPr>
        <sz val="9"/>
        <rFont val="WenQuanYi Zen Hei"/>
        <family val="2"/>
      </rPr>
      <t xml:space="preserve">현대차 </t>
    </r>
    <r>
      <rPr>
        <sz val="9"/>
        <rFont val="Arial"/>
        <family val="0"/>
        <charset val="1"/>
      </rPr>
      <t xml:space="preserve">pair</t>
    </r>
  </si>
  <si>
    <t xml:space="preserve">005387 / 005380</t>
  </si>
  <si>
    <r>
      <rPr>
        <sz val="9"/>
        <rFont val="WenQuanYi Zen Hei"/>
        <family val="2"/>
      </rPr>
      <t xml:space="preserve">괴리율 </t>
    </r>
    <r>
      <rPr>
        <sz val="9"/>
        <rFont val="Arial"/>
        <family val="0"/>
        <charset val="1"/>
      </rPr>
      <t xml:space="preserve">-52%, 2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B ADV20 217</t>
    </r>
    <r>
      <rPr>
        <sz val="9"/>
        <rFont val="WenQuanYi Zen Hei"/>
        <family val="2"/>
      </rPr>
      <t xml:space="preserve">억으로 </t>
    </r>
    <r>
      <rPr>
        <sz val="9"/>
        <rFont val="Arial"/>
        <family val="0"/>
        <charset val="1"/>
      </rPr>
      <t xml:space="preserve">1,000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Book 6%</t>
    </r>
    <r>
      <rPr>
        <sz val="9"/>
        <rFont val="WenQuanYi Zen Hei"/>
        <family val="2"/>
      </rPr>
      <t xml:space="preserve">도 </t>
    </r>
    <r>
      <rPr>
        <sz val="9"/>
        <rFont val="Arial"/>
        <family val="0"/>
        <charset val="1"/>
      </rPr>
      <t xml:space="preserve">3</t>
    </r>
    <r>
      <rPr>
        <sz val="9"/>
        <rFont val="WenQuanYi Zen Hei"/>
        <family val="2"/>
      </rPr>
      <t xml:space="preserve">일 청산 가능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현대차 밸류업</t>
    </r>
    <r>
      <rPr>
        <sz val="9"/>
        <rFont val="Arial"/>
        <family val="0"/>
        <charset val="1"/>
      </rPr>
      <t xml:space="preserve">(TSR 35%)·</t>
    </r>
    <r>
      <rPr>
        <sz val="9"/>
        <rFont val="WenQuanYi Zen Hei"/>
        <family val="2"/>
      </rPr>
      <t xml:space="preserve">자사주 소각은 우선주에 동일 적용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지배구조 개편 시 우선주 매입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소각 시나리오</t>
    </r>
    <r>
      <rPr>
        <sz val="9"/>
        <rFont val="Arial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</si>
  <si>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자사주 소각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지배구조 개편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모비스 순환출자</t>
    </r>
    <r>
      <rPr>
        <sz val="9"/>
        <rFont val="Arial"/>
        <family val="0"/>
        <charset val="1"/>
      </rPr>
      <t xml:space="preserve">), </t>
    </r>
    <r>
      <rPr>
        <sz val="9"/>
        <rFont val="WenQuanYi Zen Hei"/>
        <family val="2"/>
      </rPr>
      <t xml:space="preserve">배당 확대</t>
    </r>
  </si>
  <si>
    <t xml:space="preserve">6% / 6%</t>
  </si>
  <si>
    <r>
      <rPr>
        <sz val="9"/>
        <rFont val="Arial"/>
        <family val="0"/>
        <charset val="1"/>
      </rPr>
      <t xml:space="preserve">-52% → -40% </t>
    </r>
    <r>
      <rPr>
        <sz val="9"/>
        <rFont val="WenQuanYi Zen Hei"/>
        <family val="2"/>
      </rPr>
      <t xml:space="preserve">수렴 시 </t>
    </r>
    <r>
      <rPr>
        <sz val="9"/>
        <rFont val="Arial"/>
        <family val="0"/>
        <charset val="1"/>
      </rPr>
      <t xml:space="preserve">+25%</t>
    </r>
  </si>
  <si>
    <r>
      <rPr>
        <sz val="9"/>
        <rFont val="Arial"/>
        <family val="0"/>
        <charset val="1"/>
      </rPr>
      <t xml:space="preserve">-58% </t>
    </r>
    <r>
      <rPr>
        <sz val="9"/>
        <rFont val="WenQuanYi Zen Hei"/>
        <family val="2"/>
      </rPr>
      <t xml:space="preserve">확대 시 </t>
    </r>
    <r>
      <rPr>
        <sz val="9"/>
        <rFont val="Arial"/>
        <family val="0"/>
        <charset val="1"/>
      </rPr>
      <t xml:space="preserve">-13%</t>
    </r>
  </si>
  <si>
    <r>
      <rPr>
        <sz val="9"/>
        <rFont val="WenQuanYi Zen Hei"/>
        <family val="2"/>
      </rPr>
      <t xml:space="preserve">관세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자동차 사이클은 </t>
    </r>
    <r>
      <rPr>
        <sz val="9"/>
        <rFont val="Arial"/>
        <family val="0"/>
        <charset val="1"/>
      </rPr>
      <t xml:space="preserve">pair</t>
    </r>
    <r>
      <rPr>
        <sz val="9"/>
        <rFont val="WenQuanYi Zen Hei"/>
        <family val="2"/>
      </rPr>
      <t xml:space="preserve">로 중립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우선주 유동성은 보통주 대비 </t>
    </r>
    <r>
      <rPr>
        <sz val="9"/>
        <rFont val="Arial"/>
        <family val="0"/>
        <charset val="1"/>
      </rPr>
      <t xml:space="preserve">1/10</t>
    </r>
  </si>
  <si>
    <r>
      <rPr>
        <sz val="9"/>
        <rFont val="WenQuanYi Zen Hei"/>
        <family val="2"/>
      </rPr>
      <t xml:space="preserve">현대차 우선주 괴리율은 이미 </t>
    </r>
    <r>
      <rPr>
        <sz val="9"/>
        <rFont val="Arial"/>
        <family val="0"/>
        <charset val="1"/>
      </rPr>
      <t xml:space="preserve">2021</t>
    </r>
    <r>
      <rPr>
        <sz val="9"/>
        <rFont val="WenQuanYi Zen Hei"/>
        <family val="2"/>
      </rPr>
      <t xml:space="preserve">년 이후 좁혀진 상태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추가 수렴 촉매 제한적</t>
    </r>
  </si>
  <si>
    <r>
      <rPr>
        <sz val="9"/>
        <rFont val="WenQuanYi Zen Hei"/>
        <family val="2"/>
      </rPr>
      <t xml:space="preserve">배당 정책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자사주 소각 대상에 우선주 포함 여부</t>
    </r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</si>
  <si>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스퀘어 </t>
    </r>
    <r>
      <rPr>
        <sz val="9"/>
        <rFont val="Arial"/>
        <family val="0"/>
        <charset val="1"/>
      </rPr>
      <t xml:space="preserve">NAV discount vs SK</t>
    </r>
    <r>
      <rPr>
        <sz val="9"/>
        <rFont val="WenQuanYi Zen Hei"/>
        <family val="2"/>
      </rPr>
      <t xml:space="preserve">하이닉스</t>
    </r>
  </si>
  <si>
    <r>
      <rPr>
        <sz val="9"/>
        <rFont val="Arial"/>
        <family val="0"/>
        <charset val="1"/>
      </rPr>
      <t xml:space="preserve">Long SK</t>
    </r>
    <r>
      <rPr>
        <sz val="9"/>
        <rFont val="WenQuanYi Zen Hei"/>
        <family val="2"/>
      </rPr>
      <t xml:space="preserve">스퀘어 </t>
    </r>
    <r>
      <rPr>
        <sz val="9"/>
        <rFont val="Arial"/>
        <family val="0"/>
        <charset val="1"/>
      </rPr>
      <t xml:space="preserve">/ Short SK</t>
    </r>
    <r>
      <rPr>
        <sz val="9"/>
        <rFont val="WenQuanYi Zen Hei"/>
        <family val="2"/>
      </rPr>
      <t xml:space="preserve">하이닉스 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지분율 만큼</t>
    </r>
    <r>
      <rPr>
        <sz val="9"/>
        <rFont val="Arial"/>
        <family val="0"/>
        <charset val="1"/>
      </rPr>
      <t xml:space="preserve">)</t>
    </r>
  </si>
  <si>
    <t xml:space="preserve">402340 / 000660</t>
  </si>
  <si>
    <t xml:space="preserve">Holdco NAV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</si>
  <si>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스퀘어 시총 </t>
    </r>
    <r>
      <rPr>
        <sz val="9"/>
        <rFont val="Arial"/>
        <family val="0"/>
        <charset val="1"/>
      </rPr>
      <t xml:space="preserve">129</t>
    </r>
    <r>
      <rPr>
        <sz val="9"/>
        <rFont val="WenQuanYi Zen Hei"/>
        <family val="2"/>
      </rPr>
      <t xml:space="preserve">조 </t>
    </r>
    <r>
      <rPr>
        <sz val="9"/>
        <rFont val="Arial"/>
        <family val="0"/>
        <charset val="1"/>
      </rPr>
      <t xml:space="preserve">vs </t>
    </r>
    <r>
      <rPr>
        <sz val="9"/>
        <rFont val="WenQuanYi Zen Hei"/>
        <family val="2"/>
      </rPr>
      <t xml:space="preserve">하이닉스 </t>
    </r>
    <r>
      <rPr>
        <sz val="9"/>
        <rFont val="Arial"/>
        <family val="0"/>
        <charset val="1"/>
      </rPr>
      <t xml:space="preserve">20.1% </t>
    </r>
    <r>
      <rPr>
        <sz val="9"/>
        <rFont val="WenQuanYi Zen Hei"/>
        <family val="2"/>
      </rPr>
      <t xml:space="preserve">지분가치 </t>
    </r>
    <r>
      <rPr>
        <sz val="9"/>
        <rFont val="Arial"/>
        <family val="0"/>
        <charset val="1"/>
      </rPr>
      <t xml:space="preserve">234</t>
    </r>
    <r>
      <rPr>
        <sz val="9"/>
        <rFont val="WenQuanYi Zen Hei"/>
        <family val="2"/>
      </rPr>
      <t xml:space="preserve">조 → 커버리지 </t>
    </r>
    <r>
      <rPr>
        <sz val="9"/>
        <rFont val="Arial"/>
        <family val="0"/>
        <charset val="1"/>
      </rPr>
      <t xml:space="preserve">1.81x (</t>
    </r>
    <r>
      <rPr>
        <sz val="9"/>
        <rFont val="WenQuanYi Zen Hei"/>
        <family val="2"/>
      </rPr>
      <t xml:space="preserve">상장지분만</t>
    </r>
    <r>
      <rPr>
        <sz val="9"/>
        <rFont val="Arial"/>
        <family val="0"/>
        <charset val="1"/>
      </rPr>
      <t xml:space="preserve">). </t>
    </r>
    <r>
      <rPr>
        <sz val="9"/>
        <rFont val="WenQuanYi Zen Hei"/>
        <family val="2"/>
      </rPr>
      <t xml:space="preserve">자사주 소각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주주환원 확대 시 디스카운트 축소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양 </t>
    </r>
    <r>
      <rPr>
        <sz val="9"/>
        <rFont val="Arial"/>
        <family val="0"/>
        <charset val="1"/>
      </rPr>
      <t xml:space="preserve">leg A1.</t>
    </r>
  </si>
  <si>
    <r>
      <rPr>
        <sz val="9"/>
        <rFont val="WenQuanYi Zen Hei"/>
        <family val="2"/>
      </rPr>
      <t xml:space="preserve">자사주 매입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소각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비핵심 자회사 매각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상법개정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지주 디스카운트 축소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</si>
  <si>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6% / 6% (</t>
    </r>
    <r>
      <rPr>
        <sz val="9"/>
        <rFont val="WenQuanYi Zen Hei"/>
        <family val="2"/>
      </rPr>
      <t xml:space="preserve">베타 조정 시 </t>
    </r>
    <r>
      <rPr>
        <sz val="9"/>
        <rFont val="Arial"/>
        <family val="0"/>
        <charset val="1"/>
      </rPr>
      <t xml:space="preserve">hedge ratio ≈ 1.0~1.2)</t>
    </r>
  </si>
  <si>
    <r>
      <rPr>
        <sz val="9"/>
        <rFont val="WenQuanYi Zen Hei"/>
        <family val="2"/>
      </rPr>
      <t xml:space="preserve">디스카운트 </t>
    </r>
    <r>
      <rPr>
        <sz val="9"/>
        <rFont val="Arial"/>
        <family val="0"/>
        <charset val="1"/>
      </rPr>
      <t xml:space="preserve">45% → 35%: </t>
    </r>
    <r>
      <rPr>
        <sz val="9"/>
        <rFont val="WenQuanYi Zen Hei"/>
        <family val="2"/>
      </rPr>
      <t xml:space="preserve">상대수익 </t>
    </r>
    <r>
      <rPr>
        <sz val="9"/>
        <rFont val="Arial"/>
        <family val="0"/>
        <charset val="1"/>
      </rPr>
      <t xml:space="preserve">+18%</t>
    </r>
  </si>
  <si>
    <r>
      <rPr>
        <sz val="9"/>
        <rFont val="WenQuanYi Zen Hei"/>
        <family val="2"/>
      </rPr>
      <t xml:space="preserve">디스카운트 </t>
    </r>
    <r>
      <rPr>
        <sz val="9"/>
        <rFont val="Arial"/>
        <family val="0"/>
        <charset val="1"/>
      </rPr>
      <t xml:space="preserve">55%</t>
    </r>
    <r>
      <rPr>
        <sz val="9"/>
        <rFont val="WenQuanYi Zen Hei"/>
        <family val="2"/>
      </rPr>
      <t xml:space="preserve">로 확대</t>
    </r>
    <r>
      <rPr>
        <sz val="9"/>
        <rFont val="Arial"/>
        <family val="0"/>
        <charset val="1"/>
      </rPr>
      <t xml:space="preserve">: -18%. </t>
    </r>
    <r>
      <rPr>
        <sz val="9"/>
        <rFont val="WenQuanYi Zen Hei"/>
        <family val="2"/>
      </rPr>
      <t xml:space="preserve">하이닉스 급등 시 스퀘어 </t>
    </r>
    <r>
      <rPr>
        <sz val="9"/>
        <rFont val="Arial"/>
        <family val="0"/>
        <charset val="1"/>
      </rPr>
      <t xml:space="preserve">beta&lt;1</t>
    </r>
    <r>
      <rPr>
        <sz val="9"/>
        <rFont val="WenQuanYi Zen Hei"/>
        <family val="2"/>
      </rPr>
      <t xml:space="preserve">로 </t>
    </r>
    <r>
      <rPr>
        <sz val="9"/>
        <rFont val="Arial"/>
        <family val="0"/>
        <charset val="1"/>
      </rPr>
      <t xml:space="preserve">lag</t>
    </r>
  </si>
  <si>
    <r>
      <rPr>
        <sz val="9"/>
        <rFont val="WenQuanYi Zen Hei"/>
        <family val="2"/>
      </rPr>
      <t xml:space="preserve">하이닉스 변동성</t>
    </r>
    <r>
      <rPr>
        <sz val="9"/>
        <rFont val="Arial"/>
        <family val="0"/>
        <charset val="1"/>
      </rPr>
      <t xml:space="preserve">(±15%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4</t>
    </r>
    <r>
      <rPr>
        <sz val="9"/>
        <rFont val="WenQuanYi Zen Hei"/>
        <family val="2"/>
      </rPr>
      <t xml:space="preserve">회 → 스퀘어 </t>
    </r>
    <r>
      <rPr>
        <sz val="9"/>
        <rFont val="Arial"/>
        <family val="0"/>
        <charset val="1"/>
      </rPr>
      <t xml:space="preserve">Short cap -4% </t>
    </r>
    <r>
      <rPr>
        <sz val="9"/>
        <rFont val="WenQuanYi Zen Hei"/>
        <family val="2"/>
      </rPr>
      <t xml:space="preserve">해당</t>
    </r>
    <r>
      <rPr>
        <sz val="9"/>
        <rFont val="Arial"/>
        <family val="0"/>
        <charset val="1"/>
      </rPr>
      <t xml:space="preserve">) → </t>
    </r>
    <r>
      <rPr>
        <sz val="9"/>
        <rFont val="WenQuanYi Zen Hei"/>
        <family val="2"/>
      </rPr>
      <t xml:space="preserve">사이징 제약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순차입금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비상장 자산</t>
    </r>
    <r>
      <rPr>
        <sz val="9"/>
        <rFont val="Arial"/>
        <family val="0"/>
        <charset val="1"/>
      </rPr>
      <t xml:space="preserve">(11</t>
    </r>
    <r>
      <rPr>
        <sz val="9"/>
        <rFont val="WenQuanYi Zen Hei"/>
        <family val="2"/>
      </rPr>
      <t xml:space="preserve">번가 등</t>
    </r>
    <r>
      <rPr>
        <sz val="9"/>
        <rFont val="Arial"/>
        <family val="0"/>
        <charset val="1"/>
      </rPr>
      <t xml:space="preserve">) </t>
    </r>
    <r>
      <rPr>
        <sz val="9"/>
        <rFont val="WenQuanYi Zen Hei"/>
        <family val="2"/>
      </rPr>
      <t xml:space="preserve">미반영</t>
    </r>
  </si>
  <si>
    <r>
      <rPr>
        <sz val="9"/>
        <rFont val="WenQuanYi Zen Hei"/>
        <family val="2"/>
      </rPr>
      <t xml:space="preserve">지주 디스카운트는 한국 시장 구조적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세금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지배주주</t>
    </r>
    <r>
      <rPr>
        <sz val="9"/>
        <rFont val="Arial"/>
        <family val="0"/>
        <charset val="1"/>
      </rPr>
      <t xml:space="preserve">). </t>
    </r>
    <r>
      <rPr>
        <sz val="9"/>
        <rFont val="WenQuanYi Zen Hei"/>
        <family val="2"/>
      </rPr>
      <t xml:space="preserve">하이닉스 랠리 중 </t>
    </r>
    <r>
      <rPr>
        <sz val="9"/>
        <rFont val="Arial"/>
        <family val="0"/>
        <charset val="1"/>
      </rPr>
      <t xml:space="preserve">'</t>
    </r>
    <r>
      <rPr>
        <sz val="9"/>
        <rFont val="WenQuanYi Zen Hei"/>
        <family val="2"/>
      </rPr>
      <t xml:space="preserve">스퀘어 </t>
    </r>
    <r>
      <rPr>
        <sz val="9"/>
        <rFont val="Arial"/>
        <family val="0"/>
        <charset val="1"/>
      </rPr>
      <t xml:space="preserve">= </t>
    </r>
    <r>
      <rPr>
        <sz val="9"/>
        <rFont val="WenQuanYi Zen Hei"/>
        <family val="2"/>
      </rPr>
      <t xml:space="preserve">저베타 하이닉스</t>
    </r>
    <r>
      <rPr>
        <sz val="9"/>
        <rFont val="Arial"/>
        <family val="0"/>
        <charset val="1"/>
      </rPr>
      <t xml:space="preserve">'</t>
    </r>
    <r>
      <rPr>
        <sz val="9"/>
        <rFont val="WenQuanYi Zen Hei"/>
        <family val="2"/>
      </rPr>
      <t xml:space="preserve">로 </t>
    </r>
    <r>
      <rPr>
        <sz val="9"/>
        <rFont val="Arial"/>
        <family val="0"/>
        <charset val="1"/>
      </rPr>
      <t xml:space="preserve">lag </t>
    </r>
    <r>
      <rPr>
        <sz val="9"/>
        <rFont val="WenQuanYi Zen Hei"/>
        <family val="2"/>
      </rPr>
      <t xml:space="preserve">지속 가능</t>
    </r>
  </si>
  <si>
    <r>
      <rPr>
        <sz val="9"/>
        <rFont val="WenQuanYi Zen Hei"/>
        <family val="2"/>
      </rPr>
      <t xml:space="preserve">스퀘어 순차입금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자사주 비중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비상장 자회사 가치</t>
    </r>
  </si>
  <si>
    <r>
      <rPr>
        <sz val="9"/>
        <rFont val="WenQuanYi Zen Hei"/>
        <family val="2"/>
      </rPr>
      <t xml:space="preserve">삼성물산 </t>
    </r>
    <r>
      <rPr>
        <sz val="9"/>
        <rFont val="Arial"/>
        <family val="0"/>
        <charset val="1"/>
      </rPr>
      <t xml:space="preserve">listed-stake coverage</t>
    </r>
  </si>
  <si>
    <r>
      <rPr>
        <sz val="9"/>
        <rFont val="Arial"/>
        <family val="0"/>
        <charset val="1"/>
      </rPr>
      <t xml:space="preserve">Long </t>
    </r>
    <r>
      <rPr>
        <sz val="9"/>
        <rFont val="WenQuanYi Zen Hei"/>
        <family val="2"/>
      </rPr>
      <t xml:space="preserve">삼성물산 </t>
    </r>
    <r>
      <rPr>
        <sz val="9"/>
        <rFont val="Arial"/>
        <family val="0"/>
        <charset val="1"/>
      </rPr>
      <t xml:space="preserve">/ Short </t>
    </r>
    <r>
      <rPr>
        <sz val="9"/>
        <rFont val="WenQuanYi Zen Hei"/>
        <family val="2"/>
      </rPr>
      <t xml:space="preserve">삼성전자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삼성바이오 </t>
    </r>
    <r>
      <rPr>
        <sz val="9"/>
        <rFont val="Arial"/>
        <family val="0"/>
        <charset val="1"/>
      </rPr>
      <t xml:space="preserve">basket</t>
    </r>
  </si>
  <si>
    <t xml:space="preserve">028260 / 005930, 207940, 0126Z0</t>
  </si>
  <si>
    <r>
      <rPr>
        <sz val="9"/>
        <rFont val="Arial"/>
        <family val="0"/>
        <charset val="1"/>
      </rPr>
      <t xml:space="preserve">Holdco_NAV </t>
    </r>
    <r>
      <rPr>
        <sz val="9"/>
        <rFont val="WenQuanYi Zen Hei"/>
        <family val="2"/>
      </rPr>
      <t xml:space="preserve">시트</t>
    </r>
    <r>
      <rPr>
        <sz val="9"/>
        <rFont val="Arial"/>
        <family val="0"/>
        <charset val="1"/>
      </rPr>
      <t xml:space="preserve">: </t>
    </r>
    <r>
      <rPr>
        <sz val="9"/>
        <rFont val="WenQuanYi Zen Hei"/>
        <family val="2"/>
      </rPr>
      <t xml:space="preserve">삼성전자 </t>
    </r>
    <r>
      <rPr>
        <sz val="9"/>
        <rFont val="Arial"/>
        <family val="0"/>
        <charset val="1"/>
      </rPr>
      <t xml:space="preserve">5.0%·</t>
    </r>
    <r>
      <rPr>
        <sz val="9"/>
        <rFont val="WenQuanYi Zen Hei"/>
        <family val="2"/>
      </rPr>
      <t xml:space="preserve">바이오로직스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에피스홀딩스 </t>
    </r>
    <r>
      <rPr>
        <sz val="9"/>
        <rFont val="Arial"/>
        <family val="0"/>
        <charset val="1"/>
      </rPr>
      <t xml:space="preserve">43%·</t>
    </r>
    <r>
      <rPr>
        <sz val="9"/>
        <rFont val="WenQuanYi Zen Hei"/>
        <family val="2"/>
      </rPr>
      <t xml:space="preserve">삼성생명 </t>
    </r>
    <r>
      <rPr>
        <sz val="9"/>
        <rFont val="Arial"/>
        <family val="0"/>
        <charset val="1"/>
      </rPr>
      <t xml:space="preserve">19%·SDS 17% </t>
    </r>
    <r>
      <rPr>
        <sz val="9"/>
        <rFont val="WenQuanYi Zen Hei"/>
        <family val="2"/>
      </rPr>
      <t xml:space="preserve">지분가치가 시총 대비 커버리지 </t>
    </r>
    <r>
      <rPr>
        <sz val="9"/>
        <rFont val="Arial"/>
        <family val="0"/>
        <charset val="1"/>
      </rPr>
      <t xml:space="preserve">&gt;1.5x(</t>
    </r>
    <r>
      <rPr>
        <sz val="9"/>
        <rFont val="WenQuanYi Zen Hei"/>
        <family val="2"/>
      </rPr>
      <t xml:space="preserve">추정</t>
    </r>
    <r>
      <rPr>
        <sz val="9"/>
        <rFont val="Arial"/>
        <family val="0"/>
        <charset val="1"/>
      </rPr>
      <t xml:space="preserve">). </t>
    </r>
    <r>
      <rPr>
        <sz val="9"/>
        <rFont val="WenQuanYi Zen Hei"/>
        <family val="2"/>
      </rPr>
      <t xml:space="preserve">삼성 지배구조 개편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자사주 소각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보험업법 이슈 모두 촉매</t>
    </r>
    <r>
      <rPr>
        <sz val="9"/>
        <rFont val="Arial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</si>
  <si>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자사주 소각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지배구조 개편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삼성생명 보험업법</t>
    </r>
  </si>
  <si>
    <t xml:space="preserve">6% / basket 6%</t>
  </si>
  <si>
    <r>
      <rPr>
        <sz val="9"/>
        <rFont val="WenQuanYi Zen Hei"/>
        <family val="2"/>
      </rPr>
      <t xml:space="preserve">디스카운트 </t>
    </r>
    <r>
      <rPr>
        <sz val="9"/>
        <rFont val="Arial"/>
        <family val="0"/>
        <charset val="1"/>
      </rPr>
      <t xml:space="preserve">10%p </t>
    </r>
    <r>
      <rPr>
        <sz val="9"/>
        <rFont val="WenQuanYi Zen Hei"/>
        <family val="2"/>
      </rPr>
      <t xml:space="preserve">축소 시 </t>
    </r>
    <r>
      <rPr>
        <sz val="9"/>
        <rFont val="Arial"/>
        <family val="0"/>
        <charset val="1"/>
      </rPr>
      <t xml:space="preserve">+15~20%</t>
    </r>
  </si>
  <si>
    <r>
      <rPr>
        <sz val="9"/>
        <rFont val="WenQuanYi Zen Hei"/>
        <family val="2"/>
      </rPr>
      <t xml:space="preserve">개편 지연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건설 부문 부진 시 </t>
    </r>
    <r>
      <rPr>
        <sz val="9"/>
        <rFont val="Arial"/>
        <family val="0"/>
        <charset val="1"/>
      </rPr>
      <t xml:space="preserve">-10~15%</t>
    </r>
  </si>
  <si>
    <r>
      <rPr>
        <sz val="9"/>
        <rFont val="WenQuanYi Zen Hei"/>
        <family val="2"/>
      </rPr>
      <t xml:space="preserve">상법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세제 변경 속도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삼성전자 랠리 시 물산 </t>
    </r>
    <r>
      <rPr>
        <sz val="9"/>
        <rFont val="Arial"/>
        <family val="0"/>
        <charset val="1"/>
      </rPr>
      <t xml:space="preserve">lag</t>
    </r>
  </si>
  <si>
    <r>
      <rPr>
        <sz val="9"/>
        <rFont val="WenQuanYi Zen Hei"/>
        <family val="2"/>
      </rPr>
      <t xml:space="preserve">삼성물산 디스카운트는 </t>
    </r>
    <r>
      <rPr>
        <sz val="9"/>
        <rFont val="Arial"/>
        <family val="0"/>
        <charset val="1"/>
      </rPr>
      <t xml:space="preserve">2015</t>
    </r>
    <r>
      <rPr>
        <sz val="9"/>
        <rFont val="WenQuanYi Zen Hei"/>
        <family val="2"/>
      </rPr>
      <t xml:space="preserve">년 합병 이후 구조적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촉매가 </t>
    </r>
    <r>
      <rPr>
        <sz val="9"/>
        <rFont val="Arial"/>
        <family val="0"/>
        <charset val="1"/>
      </rPr>
      <t xml:space="preserve">'</t>
    </r>
    <r>
      <rPr>
        <sz val="9"/>
        <rFont val="WenQuanYi Zen Hei"/>
        <family val="2"/>
      </rPr>
      <t xml:space="preserve">논의</t>
    </r>
    <r>
      <rPr>
        <sz val="9"/>
        <rFont val="Arial"/>
        <family val="0"/>
        <charset val="1"/>
      </rPr>
      <t xml:space="preserve">'</t>
    </r>
    <r>
      <rPr>
        <sz val="9"/>
        <rFont val="WenQuanYi Zen Hei"/>
        <family val="2"/>
      </rPr>
      <t xml:space="preserve">에 머무름</t>
    </r>
  </si>
  <si>
    <r>
      <rPr>
        <sz val="9"/>
        <rFont val="WenQuanYi Zen Hei"/>
        <family val="2"/>
      </rPr>
      <t xml:space="preserve">순차입금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비상장 자산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바이오 외</t>
    </r>
    <r>
      <rPr>
        <sz val="9"/>
        <rFont val="Arial"/>
        <family val="0"/>
        <charset val="1"/>
      </rPr>
      <t xml:space="preserve">), </t>
    </r>
    <r>
      <rPr>
        <sz val="9"/>
        <rFont val="WenQuanYi Zen Hei"/>
        <family val="2"/>
      </rPr>
      <t xml:space="preserve">자사주 비율</t>
    </r>
  </si>
  <si>
    <r>
      <rPr>
        <sz val="9"/>
        <rFont val="WenQuanYi Zen Hei"/>
        <family val="2"/>
      </rPr>
      <t xml:space="preserve">삼성에피스홀딩스 </t>
    </r>
    <r>
      <rPr>
        <sz val="9"/>
        <rFont val="Arial"/>
        <family val="0"/>
        <charset val="1"/>
      </rPr>
      <t xml:space="preserve">post-spin</t>
    </r>
  </si>
  <si>
    <r>
      <rPr>
        <sz val="9"/>
        <rFont val="Arial"/>
        <family val="0"/>
        <charset val="1"/>
      </rPr>
      <t xml:space="preserve">Long (</t>
    </r>
    <r>
      <rPr>
        <sz val="9"/>
        <rFont val="WenQuanYi Zen Hei"/>
        <family val="2"/>
      </rPr>
      <t xml:space="preserve">단독</t>
    </r>
    <r>
      <rPr>
        <sz val="9"/>
        <rFont val="Arial"/>
        <family val="0"/>
        <charset val="1"/>
      </rPr>
      <t xml:space="preserve">) </t>
    </r>
    <r>
      <rPr>
        <sz val="9"/>
        <rFont val="WenQuanYi Zen Hei"/>
        <family val="2"/>
      </rPr>
      <t xml:space="preserve">또는 </t>
    </r>
    <r>
      <rPr>
        <sz val="9"/>
        <rFont val="Arial"/>
        <family val="0"/>
        <charset val="1"/>
      </rPr>
      <t xml:space="preserve">Long </t>
    </r>
    <r>
      <rPr>
        <sz val="9"/>
        <rFont val="WenQuanYi Zen Hei"/>
        <family val="2"/>
      </rPr>
      <t xml:space="preserve">에피스홀딩스 </t>
    </r>
    <r>
      <rPr>
        <sz val="9"/>
        <rFont val="Arial"/>
        <family val="0"/>
        <charset val="1"/>
      </rPr>
      <t xml:space="preserve">/ Short </t>
    </r>
    <r>
      <rPr>
        <sz val="9"/>
        <rFont val="WenQuanYi Zen Hei"/>
        <family val="2"/>
      </rPr>
      <t xml:space="preserve">삼성바이오로직스</t>
    </r>
  </si>
  <si>
    <t xml:space="preserve">0126Z0 / 207940</t>
  </si>
  <si>
    <t xml:space="preserve">Spin-off</t>
  </si>
  <si>
    <r>
      <rPr>
        <sz val="9"/>
        <rFont val="Arial"/>
        <family val="0"/>
        <charset val="1"/>
      </rPr>
      <t xml:space="preserve">2025-11 </t>
    </r>
    <r>
      <rPr>
        <sz val="9"/>
        <rFont val="WenQuanYi Zen Hei"/>
        <family val="2"/>
      </rPr>
      <t xml:space="preserve">인적분할 신설법인</t>
    </r>
    <r>
      <rPr>
        <sz val="9"/>
        <rFont val="Arial"/>
        <family val="0"/>
        <charset val="1"/>
      </rPr>
      <t xml:space="preserve">. A1 </t>
    </r>
    <r>
      <rPr>
        <sz val="9"/>
        <rFont val="WenQuanYi Zen Hei"/>
        <family val="2"/>
      </rPr>
      <t xml:space="preserve">유동성</t>
    </r>
    <r>
      <rPr>
        <sz val="9"/>
        <rFont val="Arial"/>
        <family val="0"/>
        <charset val="1"/>
      </rPr>
      <t xml:space="preserve">(ADV20 354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). </t>
    </r>
    <r>
      <rPr>
        <sz val="9"/>
        <rFont val="WenQuanYi Zen Hei"/>
        <family val="2"/>
      </rPr>
      <t xml:space="preserve">분할 후 지수편입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패시브 수급 정상화 구간이 통상 </t>
    </r>
    <r>
      <rPr>
        <sz val="9"/>
        <rFont val="Arial"/>
        <family val="0"/>
        <charset val="1"/>
      </rPr>
      <t xml:space="preserve">6~12</t>
    </r>
    <r>
      <rPr>
        <sz val="9"/>
        <rFont val="WenQuanYi Zen Hei"/>
        <family val="2"/>
      </rPr>
      <t xml:space="preserve">개월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바이오시밀러 </t>
    </r>
    <r>
      <rPr>
        <sz val="9"/>
        <rFont val="Arial"/>
        <family val="0"/>
        <charset val="1"/>
      </rPr>
      <t xml:space="preserve">pure-play </t>
    </r>
    <r>
      <rPr>
        <sz val="9"/>
        <rFont val="WenQuanYi Zen Hei"/>
        <family val="2"/>
      </rPr>
      <t xml:space="preserve">재평가</t>
    </r>
    <r>
      <rPr>
        <sz val="9"/>
        <rFont val="Arial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</si>
  <si>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지수 편입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신제품 승인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커버리지 개시</t>
    </r>
  </si>
  <si>
    <r>
      <rPr>
        <sz val="9"/>
        <rFont val="Arial"/>
        <family val="0"/>
        <charset val="1"/>
      </rPr>
      <t xml:space="preserve">peer </t>
    </r>
    <r>
      <rPr>
        <sz val="9"/>
        <rFont val="WenQuanYi Zen Hei"/>
        <family val="2"/>
      </rPr>
      <t xml:space="preserve">멀티플 적용 시 </t>
    </r>
    <r>
      <rPr>
        <sz val="9"/>
        <rFont val="Arial"/>
        <family val="0"/>
        <charset val="1"/>
      </rPr>
      <t xml:space="preserve">+20~30% (CIQ </t>
    </r>
    <r>
      <rPr>
        <sz val="9"/>
        <rFont val="WenQuanYi Zen Hei"/>
        <family val="2"/>
      </rPr>
      <t xml:space="preserve">데이터 필요</t>
    </r>
    <r>
      <rPr>
        <sz val="9"/>
        <rFont val="Arial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</si>
  <si>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시밀러 가격경쟁 심화 시 </t>
    </r>
    <r>
      <rPr>
        <sz val="9"/>
        <rFont val="Arial"/>
        <family val="0"/>
        <charset val="1"/>
      </rPr>
      <t xml:space="preserve">-20%</t>
    </r>
  </si>
  <si>
    <t xml:space="preserve">밸류에이션 데이터 부재 → 확인 전 사이징 불가</t>
  </si>
  <si>
    <r>
      <rPr>
        <sz val="9"/>
        <rFont val="Arial"/>
        <family val="0"/>
        <charset val="1"/>
      </rPr>
      <t xml:space="preserve">post-spin </t>
    </r>
    <r>
      <rPr>
        <sz val="9"/>
        <rFont val="WenQuanYi Zen Hei"/>
        <family val="2"/>
      </rPr>
      <t xml:space="preserve">아노말리는 대형 </t>
    </r>
    <r>
      <rPr>
        <sz val="9"/>
        <rFont val="Arial"/>
        <family val="0"/>
        <charset val="1"/>
      </rPr>
      <t xml:space="preserve">spin</t>
    </r>
    <r>
      <rPr>
        <sz val="9"/>
        <rFont val="WenQuanYi Zen Hei"/>
        <family val="2"/>
      </rPr>
      <t xml:space="preserve">에서 약함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이미 재상장 </t>
    </r>
    <r>
      <rPr>
        <sz val="9"/>
        <rFont val="Arial"/>
        <family val="0"/>
        <charset val="1"/>
      </rPr>
      <t xml:space="preserve">10</t>
    </r>
    <r>
      <rPr>
        <sz val="9"/>
        <rFont val="WenQuanYi Zen Hei"/>
        <family val="2"/>
      </rPr>
      <t xml:space="preserve">개월 경과</t>
    </r>
  </si>
  <si>
    <r>
      <rPr>
        <sz val="9"/>
        <rFont val="Arial"/>
        <family val="0"/>
        <charset val="1"/>
      </rPr>
      <t xml:space="preserve">EV/EBITDA, </t>
    </r>
    <r>
      <rPr>
        <sz val="9"/>
        <rFont val="WenQuanYi Zen Hei"/>
        <family val="2"/>
      </rPr>
      <t xml:space="preserve">파이프라인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순현금</t>
    </r>
  </si>
  <si>
    <r>
      <rPr>
        <sz val="9"/>
        <rFont val="WenQuanYi Zen Hei"/>
        <family val="2"/>
      </rPr>
      <t xml:space="preserve">한화 분할 재상장 </t>
    </r>
    <r>
      <rPr>
        <sz val="9"/>
        <rFont val="Arial"/>
        <family val="0"/>
        <charset val="1"/>
      </rPr>
      <t xml:space="preserve">+ </t>
    </r>
    <r>
      <rPr>
        <sz val="9"/>
        <rFont val="WenQuanYi Zen Hei"/>
        <family val="2"/>
      </rPr>
      <t xml:space="preserve">한화머시너리앤서비스홀딩스</t>
    </r>
  </si>
  <si>
    <r>
      <rPr>
        <sz val="9"/>
        <rFont val="Arial"/>
        <family val="0"/>
        <charset val="1"/>
      </rPr>
      <t xml:space="preserve">Monitor → Long </t>
    </r>
    <r>
      <rPr>
        <sz val="9"/>
        <rFont val="WenQuanYi Zen Hei"/>
        <family val="2"/>
      </rPr>
      <t xml:space="preserve">신설법인 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수급 왜곡 해소</t>
    </r>
    <r>
      <rPr>
        <sz val="9"/>
        <rFont val="Arial"/>
        <family val="0"/>
        <charset val="1"/>
      </rPr>
      <t xml:space="preserve">) / Short </t>
    </r>
    <r>
      <rPr>
        <sz val="9"/>
        <rFont val="WenQuanYi Zen Hei"/>
        <family val="2"/>
      </rPr>
      <t xml:space="preserve">한화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존속</t>
    </r>
    <r>
      <rPr>
        <sz val="9"/>
        <rFont val="Arial"/>
        <family val="0"/>
        <charset val="1"/>
      </rPr>
      <t xml:space="preserve">)</t>
    </r>
  </si>
  <si>
    <t xml:space="preserve">0220W0 / 000880</t>
  </si>
  <si>
    <r>
      <rPr>
        <sz val="9"/>
        <rFont val="Arial"/>
        <family val="0"/>
        <charset val="1"/>
      </rPr>
      <t xml:space="preserve">Spin-off / </t>
    </r>
    <r>
      <rPr>
        <sz val="9"/>
        <rFont val="WenQuanYi Zen Hei"/>
        <family val="2"/>
      </rPr>
      <t xml:space="preserve">재상장</t>
    </r>
  </si>
  <si>
    <r>
      <rPr>
        <sz val="9"/>
        <rFont val="Arial"/>
        <family val="0"/>
        <charset val="1"/>
      </rPr>
      <t xml:space="preserve">2026-08 </t>
    </r>
    <r>
      <rPr>
        <sz val="9"/>
        <rFont val="WenQuanYi Zen Hei"/>
        <family val="2"/>
      </rPr>
      <t xml:space="preserve">재상장 </t>
    </r>
    <r>
      <rPr>
        <sz val="9"/>
        <rFont val="Arial"/>
        <family val="0"/>
        <charset val="1"/>
      </rPr>
      <t xml:space="preserve">8</t>
    </r>
    <r>
      <rPr>
        <sz val="9"/>
        <rFont val="WenQuanYi Zen Hei"/>
        <family val="2"/>
      </rPr>
      <t xml:space="preserve">영업일 경과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신설법인 </t>
    </r>
    <r>
      <rPr>
        <sz val="9"/>
        <rFont val="Arial"/>
        <family val="0"/>
        <charset val="1"/>
      </rPr>
      <t xml:space="preserve">ADV20 517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(B tier, </t>
    </r>
    <r>
      <rPr>
        <sz val="9"/>
        <rFont val="WenQuanYi Zen Hei"/>
        <family val="2"/>
      </rPr>
      <t xml:space="preserve">시총 </t>
    </r>
    <r>
      <rPr>
        <sz val="9"/>
        <rFont val="Arial"/>
        <family val="0"/>
        <charset val="1"/>
      </rPr>
      <t xml:space="preserve">5232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). </t>
    </r>
    <r>
      <rPr>
        <sz val="9"/>
        <rFont val="WenQuanYi Zen Hei"/>
        <family val="2"/>
      </rPr>
      <t xml:space="preserve">분할 직후 지수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패시브 강제매도 구간</t>
    </r>
    <r>
      <rPr>
        <sz val="9"/>
        <rFont val="Arial"/>
        <family val="0"/>
        <charset val="1"/>
      </rPr>
      <t xml:space="preserve">. Event Play(10%, 40</t>
    </r>
    <r>
      <rPr>
        <sz val="9"/>
        <rFont val="WenQuanYi Zen Hei"/>
        <family val="2"/>
      </rPr>
      <t xml:space="preserve">거래일</t>
    </r>
    <r>
      <rPr>
        <sz val="9"/>
        <rFont val="Arial"/>
        <family val="0"/>
        <charset val="1"/>
      </rPr>
      <t xml:space="preserve">) </t>
    </r>
    <r>
      <rPr>
        <sz val="9"/>
        <rFont val="WenQuanYi Zen Hei"/>
        <family val="2"/>
      </rPr>
      <t xml:space="preserve">사전승인 대상</t>
    </r>
    <r>
      <rPr>
        <sz val="9"/>
        <rFont val="Arial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</si>
  <si>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지수 편입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제외 확정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승계 구조 공시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첫 실적</t>
    </r>
  </si>
  <si>
    <r>
      <rPr>
        <sz val="9"/>
        <rFont val="Arial"/>
        <family val="0"/>
        <charset val="1"/>
      </rPr>
      <t xml:space="preserve">Event Play ≤10% / 40</t>
    </r>
    <r>
      <rPr>
        <sz val="9"/>
        <rFont val="WenQuanYi Zen Hei"/>
        <family val="2"/>
      </rPr>
      <t xml:space="preserve">거래일</t>
    </r>
  </si>
  <si>
    <r>
      <rPr>
        <sz val="9"/>
        <rFont val="WenQuanYi Zen Hei"/>
        <family val="2"/>
      </rPr>
      <t xml:space="preserve">강제매도 해소 시 </t>
    </r>
    <r>
      <rPr>
        <sz val="9"/>
        <rFont val="Arial"/>
        <family val="0"/>
        <charset val="1"/>
      </rPr>
      <t xml:space="preserve">+15~25%</t>
    </r>
  </si>
  <si>
    <r>
      <rPr>
        <sz val="9"/>
        <rFont val="WenQuanYi Zen Hei"/>
        <family val="2"/>
      </rPr>
      <t xml:space="preserve">승계용 저평가 유지 시 </t>
    </r>
    <r>
      <rPr>
        <sz val="9"/>
        <rFont val="Arial"/>
        <family val="0"/>
        <charset val="1"/>
      </rPr>
      <t xml:space="preserve">-15%</t>
    </r>
  </si>
  <si>
    <r>
      <rPr>
        <sz val="9"/>
        <rFont val="WenQuanYi Zen Hei"/>
        <family val="2"/>
      </rPr>
      <t xml:space="preserve">분할 목적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승계</t>
    </r>
    <r>
      <rPr>
        <sz val="9"/>
        <rFont val="Arial"/>
        <family val="0"/>
        <charset val="1"/>
      </rPr>
      <t xml:space="preserve">) </t>
    </r>
    <r>
      <rPr>
        <sz val="9"/>
        <rFont val="WenQuanYi Zen Hei"/>
        <family val="2"/>
      </rPr>
      <t xml:space="preserve">상 신설법인 저평가가 의도적일 수 있음</t>
    </r>
  </si>
  <si>
    <r>
      <rPr>
        <sz val="9"/>
        <rFont val="WenQuanYi Zen Hei"/>
        <family val="2"/>
      </rPr>
      <t xml:space="preserve">한화 그룹 분할은 승계 최적화가 목적 → 소액주주 가치 제고와 이해상충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시총 </t>
    </r>
    <r>
      <rPr>
        <sz val="9"/>
        <rFont val="Arial"/>
        <family val="0"/>
        <charset val="1"/>
      </rPr>
      <t xml:space="preserve">3</t>
    </r>
    <r>
      <rPr>
        <sz val="9"/>
        <rFont val="WenQuanYi Zen Hei"/>
        <family val="2"/>
      </rPr>
      <t xml:space="preserve">천억</t>
    </r>
    <r>
      <rPr>
        <sz val="9"/>
        <rFont val="Arial"/>
        <family val="0"/>
        <charset val="1"/>
      </rPr>
      <t xml:space="preserve">~7</t>
    </r>
    <r>
      <rPr>
        <sz val="9"/>
        <rFont val="WenQuanYi Zen Hei"/>
        <family val="2"/>
      </rPr>
      <t xml:space="preserve">천억 </t>
    </r>
    <r>
      <rPr>
        <sz val="9"/>
        <rFont val="Arial"/>
        <family val="0"/>
        <charset val="1"/>
      </rPr>
      <t xml:space="preserve">bucket 7% </t>
    </r>
    <r>
      <rPr>
        <sz val="9"/>
        <rFont val="WenQuanYi Zen Hei"/>
        <family val="2"/>
      </rPr>
      <t xml:space="preserve">제약</t>
    </r>
  </si>
  <si>
    <r>
      <rPr>
        <sz val="9"/>
        <rFont val="WenQuanYi Zen Hei"/>
        <family val="2"/>
      </rPr>
      <t xml:space="preserve">분할 비율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자산 구성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대주주 지분</t>
    </r>
  </si>
  <si>
    <r>
      <rPr>
        <sz val="9"/>
        <rFont val="WenQuanYi Zen Hei"/>
        <family val="2"/>
      </rPr>
      <t xml:space="preserve">롯데렌탈 </t>
    </r>
    <r>
      <rPr>
        <sz val="9"/>
        <rFont val="Arial"/>
        <family val="0"/>
        <charset val="1"/>
      </rPr>
      <t xml:space="preserve">PE </t>
    </r>
    <r>
      <rPr>
        <sz val="9"/>
        <rFont val="WenQuanYi Zen Hei"/>
        <family val="2"/>
      </rPr>
      <t xml:space="preserve">인수 후 잔여지분 이벤트</t>
    </r>
  </si>
  <si>
    <r>
      <rPr>
        <sz val="9"/>
        <rFont val="Arial"/>
        <family val="0"/>
        <charset val="1"/>
      </rPr>
      <t xml:space="preserve">Event arb (Long) — </t>
    </r>
    <r>
      <rPr>
        <sz val="9"/>
        <rFont val="WenQuanYi Zen Hei"/>
        <family val="2"/>
      </rPr>
      <t xml:space="preserve">조건부</t>
    </r>
  </si>
  <si>
    <r>
      <rPr>
        <sz val="9"/>
        <rFont val="Arial"/>
        <family val="0"/>
        <charset val="1"/>
      </rPr>
      <t xml:space="preserve">Tender / </t>
    </r>
    <r>
      <rPr>
        <sz val="9"/>
        <rFont val="WenQuanYi Zen Hei"/>
        <family val="2"/>
      </rPr>
      <t xml:space="preserve">상폐</t>
    </r>
  </si>
  <si>
    <r>
      <rPr>
        <sz val="9"/>
        <rFont val="WenQuanYi Zen Hei"/>
        <family val="2"/>
      </rPr>
      <t xml:space="preserve">어피너티 인수</t>
    </r>
    <r>
      <rPr>
        <sz val="9"/>
        <rFont val="Arial"/>
        <family val="0"/>
        <charset val="1"/>
      </rPr>
      <t xml:space="preserve">(2025) </t>
    </r>
    <r>
      <rPr>
        <sz val="9"/>
        <rFont val="WenQuanYi Zen Hei"/>
        <family val="2"/>
      </rPr>
      <t xml:space="preserve">후 </t>
    </r>
    <r>
      <rPr>
        <sz val="9"/>
        <rFont val="Arial"/>
        <family val="0"/>
        <charset val="1"/>
      </rPr>
      <t xml:space="preserve">YTD +60%, </t>
    </r>
    <r>
      <rPr>
        <sz val="9"/>
        <rFont val="WenQuanYi Zen Hei"/>
        <family val="2"/>
      </rPr>
      <t xml:space="preserve">거래대금 급증 </t>
    </r>
    <r>
      <rPr>
        <sz val="9"/>
        <rFont val="Arial"/>
        <family val="0"/>
        <charset val="1"/>
      </rPr>
      <t xml:space="preserve">2.9x. </t>
    </r>
    <r>
      <rPr>
        <sz val="9"/>
        <rFont val="WenQuanYi Zen Hei"/>
        <family val="2"/>
      </rPr>
      <t xml:space="preserve">잔여지분 공개매수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상폐 추진 시 </t>
    </r>
    <r>
      <rPr>
        <sz val="9"/>
        <rFont val="Arial"/>
        <family val="0"/>
        <charset val="1"/>
      </rPr>
      <t xml:space="preserve">spread </t>
    </r>
    <r>
      <rPr>
        <sz val="9"/>
        <rFont val="WenQuanYi Zen Hei"/>
        <family val="2"/>
      </rPr>
      <t xml:space="preserve">거래</t>
    </r>
    <r>
      <rPr>
        <sz val="9"/>
        <rFont val="Arial"/>
        <family val="0"/>
        <charset val="1"/>
      </rPr>
      <t xml:space="preserve">. A3(ADV20 90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 → 500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Book 2~6%.</t>
    </r>
  </si>
  <si>
    <r>
      <rPr>
        <sz val="9"/>
        <rFont val="WenQuanYi Zen Hei"/>
        <family val="2"/>
      </rPr>
      <t xml:space="preserve">공개매수 공고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상폐 요건</t>
    </r>
    <r>
      <rPr>
        <sz val="9"/>
        <rFont val="Arial"/>
        <family val="0"/>
        <charset val="1"/>
      </rPr>
      <t xml:space="preserve">(95%) </t>
    </r>
    <r>
      <rPr>
        <sz val="9"/>
        <rFont val="WenQuanYi Zen Hei"/>
        <family val="2"/>
      </rPr>
      <t xml:space="preserve">충족 여부</t>
    </r>
  </si>
  <si>
    <r>
      <rPr>
        <sz val="9"/>
        <rFont val="Arial"/>
        <family val="0"/>
        <charset val="1"/>
      </rPr>
      <t xml:space="preserve">2~3% (DTL 6% = 3.2</t>
    </r>
    <r>
      <rPr>
        <sz val="9"/>
        <rFont val="WenQuanYi Zen Hei"/>
        <family val="2"/>
      </rPr>
      <t xml:space="preserve">일</t>
    </r>
    <r>
      <rPr>
        <sz val="9"/>
        <rFont val="Arial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</si>
  <si>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공개매수 프리미엄 </t>
    </r>
    <r>
      <rPr>
        <sz val="9"/>
        <rFont val="Arial"/>
        <family val="0"/>
        <charset val="1"/>
      </rPr>
      <t xml:space="preserve">10~20% (</t>
    </r>
    <r>
      <rPr>
        <sz val="9"/>
        <rFont val="WenQuanYi Zen Hei"/>
        <family val="2"/>
      </rPr>
      <t xml:space="preserve">가격 미확인</t>
    </r>
    <r>
      <rPr>
        <sz val="9"/>
        <rFont val="Arial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</si>
  <si>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공개매수 무산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저가 시 </t>
    </r>
    <r>
      <rPr>
        <sz val="9"/>
        <rFont val="Arial"/>
        <family val="0"/>
        <charset val="1"/>
      </rPr>
      <t xml:space="preserve">-20~30%</t>
    </r>
  </si>
  <si>
    <r>
      <rPr>
        <sz val="9"/>
        <rFont val="WenQuanYi Zen Hei"/>
        <family val="2"/>
      </rPr>
      <t xml:space="preserve">공개매수 가격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시점 미확인 → 현재는 </t>
    </r>
    <r>
      <rPr>
        <sz val="9"/>
        <rFont val="Arial"/>
        <family val="0"/>
        <charset val="1"/>
      </rPr>
      <t xml:space="preserve">monitor. </t>
    </r>
    <r>
      <rPr>
        <sz val="9"/>
        <rFont val="WenQuanYi Zen Hei"/>
        <family val="2"/>
      </rPr>
      <t xml:space="preserve">유동성 낮음</t>
    </r>
  </si>
  <si>
    <r>
      <rPr>
        <sz val="9"/>
        <rFont val="WenQuanYi Zen Hei"/>
        <family val="2"/>
      </rPr>
      <t xml:space="preserve">이미 </t>
    </r>
    <r>
      <rPr>
        <sz val="9"/>
        <rFont val="Arial"/>
        <family val="0"/>
        <charset val="1"/>
      </rPr>
      <t xml:space="preserve">+68% </t>
    </r>
    <r>
      <rPr>
        <sz val="9"/>
        <rFont val="WenQuanYi Zen Hei"/>
        <family val="2"/>
      </rPr>
      <t xml:space="preserve">반영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잔여 </t>
    </r>
    <r>
      <rPr>
        <sz val="9"/>
        <rFont val="Arial"/>
        <family val="0"/>
        <charset val="1"/>
      </rPr>
      <t xml:space="preserve">upside</t>
    </r>
    <r>
      <rPr>
        <sz val="9"/>
        <rFont val="WenQuanYi Zen Hei"/>
        <family val="2"/>
      </rPr>
      <t xml:space="preserve">는 프리미엄 협상에 의존</t>
    </r>
  </si>
  <si>
    <r>
      <rPr>
        <sz val="9"/>
        <rFont val="Arial"/>
        <family val="0"/>
        <charset val="1"/>
      </rPr>
      <t xml:space="preserve">DART </t>
    </r>
    <r>
      <rPr>
        <sz val="9"/>
        <rFont val="WenQuanYi Zen Hei"/>
        <family val="2"/>
      </rPr>
      <t xml:space="preserve">공개매수 공고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대주주 지분율</t>
    </r>
  </si>
  <si>
    <r>
      <rPr>
        <sz val="9"/>
        <rFont val="Arial"/>
        <family val="0"/>
        <charset val="1"/>
      </rPr>
      <t xml:space="preserve">HD</t>
    </r>
    <r>
      <rPr>
        <sz val="9"/>
        <rFont val="WenQuanYi Zen Hei"/>
        <family val="2"/>
      </rPr>
      <t xml:space="preserve">건설기계 </t>
    </r>
    <r>
      <rPr>
        <sz val="9"/>
        <rFont val="Arial"/>
        <family val="0"/>
        <charset val="1"/>
      </rPr>
      <t xml:space="preserve">post-merger</t>
    </r>
  </si>
  <si>
    <t xml:space="preserve">Long</t>
  </si>
  <si>
    <t xml:space="preserve">Merger integration</t>
  </si>
  <si>
    <r>
      <rPr>
        <sz val="9"/>
        <rFont val="Arial"/>
        <family val="0"/>
        <charset val="1"/>
      </rPr>
      <t xml:space="preserve">HD</t>
    </r>
    <r>
      <rPr>
        <sz val="9"/>
        <rFont val="WenQuanYi Zen Hei"/>
        <family val="2"/>
      </rPr>
      <t xml:space="preserve">현대건설기계</t>
    </r>
    <r>
      <rPr>
        <sz val="9"/>
        <rFont val="Arial"/>
        <family val="0"/>
        <charset val="1"/>
      </rPr>
      <t xml:space="preserve">+</t>
    </r>
    <r>
      <rPr>
        <sz val="9"/>
        <rFont val="WenQuanYi Zen Hei"/>
        <family val="2"/>
      </rPr>
      <t xml:space="preserve">인프라코어 합병</t>
    </r>
    <r>
      <rPr>
        <sz val="9"/>
        <rFont val="Arial"/>
        <family val="0"/>
        <charset val="1"/>
      </rPr>
      <t xml:space="preserve">(2026-01 </t>
    </r>
    <r>
      <rPr>
        <sz val="9"/>
        <rFont val="WenQuanYi Zen Hei"/>
        <family val="2"/>
      </rPr>
      <t xml:space="preserve">완료</t>
    </r>
    <r>
      <rPr>
        <sz val="9"/>
        <rFont val="Arial"/>
        <family val="0"/>
        <charset val="1"/>
      </rPr>
      <t xml:space="preserve">). A1(ADV20 316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), YTD +38%. </t>
    </r>
    <r>
      <rPr>
        <sz val="9"/>
        <rFont val="WenQuanYi Zen Hei"/>
        <family val="2"/>
      </rPr>
      <t xml:space="preserve">중복 비용 제거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구매 통합 시너지가 합병 후 </t>
    </r>
    <r>
      <rPr>
        <sz val="9"/>
        <rFont val="Arial"/>
        <family val="0"/>
        <charset val="1"/>
      </rPr>
      <t xml:space="preserve">2~3</t>
    </r>
    <r>
      <rPr>
        <sz val="9"/>
        <rFont val="WenQuanYi Zen Hei"/>
        <family val="2"/>
      </rPr>
      <t xml:space="preserve">분기에 실적으로 확인되는 패턴</t>
    </r>
    <r>
      <rPr>
        <sz val="9"/>
        <rFont val="Arial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</si>
  <si>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시너지 가이던스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분기 실적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신흥국 인프라 수요</t>
    </r>
  </si>
  <si>
    <t xml:space="preserve">4~6%</t>
  </si>
  <si>
    <r>
      <rPr>
        <sz val="9"/>
        <rFont val="WenQuanYi Zen Hei"/>
        <family val="2"/>
      </rPr>
      <t xml:space="preserve">시너지 반영 시 </t>
    </r>
    <r>
      <rPr>
        <sz val="9"/>
        <rFont val="Arial"/>
        <family val="0"/>
        <charset val="1"/>
      </rPr>
      <t xml:space="preserve">+20~30%</t>
    </r>
  </si>
  <si>
    <r>
      <rPr>
        <sz val="9"/>
        <rFont val="WenQuanYi Zen Hei"/>
        <family val="2"/>
      </rPr>
      <t xml:space="preserve">건설장비 </t>
    </r>
    <r>
      <rPr>
        <sz val="9"/>
        <rFont val="Arial"/>
        <family val="0"/>
        <charset val="1"/>
      </rPr>
      <t xml:space="preserve">downcycle </t>
    </r>
    <r>
      <rPr>
        <sz val="9"/>
        <rFont val="WenQuanYi Zen Hei"/>
        <family val="2"/>
      </rPr>
      <t xml:space="preserve">시 </t>
    </r>
    <r>
      <rPr>
        <sz val="9"/>
        <rFont val="Arial"/>
        <family val="0"/>
        <charset val="1"/>
      </rPr>
      <t xml:space="preserve">-20%</t>
    </r>
  </si>
  <si>
    <r>
      <rPr>
        <sz val="9"/>
        <rFont val="WenQuanYi Zen Hei"/>
        <family val="2"/>
      </rPr>
      <t xml:space="preserve">합병 회계</t>
    </r>
    <r>
      <rPr>
        <sz val="9"/>
        <rFont val="Arial"/>
        <family val="0"/>
        <charset val="1"/>
      </rPr>
      <t xml:space="preserve">(PPA) </t>
    </r>
    <r>
      <rPr>
        <sz val="9"/>
        <rFont val="WenQuanYi Zen Hei"/>
        <family val="2"/>
      </rPr>
      <t xml:space="preserve">노이즈로 밸류 비교 어려움</t>
    </r>
  </si>
  <si>
    <r>
      <rPr>
        <sz val="9"/>
        <rFont val="WenQuanYi Zen Hei"/>
        <family val="2"/>
      </rPr>
      <t xml:space="preserve">건설기계는 사이클 산업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시너지보다 중국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신흥국 수요가 주가 결정</t>
    </r>
  </si>
  <si>
    <r>
      <rPr>
        <sz val="9"/>
        <rFont val="WenQuanYi Zen Hei"/>
        <family val="2"/>
      </rPr>
      <t xml:space="preserve">합병 후 </t>
    </r>
    <r>
      <rPr>
        <sz val="9"/>
        <rFont val="Arial"/>
        <family val="0"/>
        <charset val="1"/>
      </rPr>
      <t xml:space="preserve">EV/EBITDA, </t>
    </r>
    <r>
      <rPr>
        <sz val="9"/>
        <rFont val="WenQuanYi Zen Hei"/>
        <family val="2"/>
      </rPr>
      <t xml:space="preserve">시너지 가이던스</t>
    </r>
  </si>
  <si>
    <r>
      <rPr>
        <sz val="9"/>
        <rFont val="WenQuanYi Zen Hei"/>
        <family val="2"/>
      </rPr>
      <t xml:space="preserve">밸류업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상법개정 저</t>
    </r>
    <r>
      <rPr>
        <sz val="9"/>
        <rFont val="Arial"/>
        <family val="0"/>
        <charset val="1"/>
      </rPr>
      <t xml:space="preserve">PBR </t>
    </r>
    <r>
      <rPr>
        <sz val="9"/>
        <rFont val="WenQuanYi Zen Hei"/>
        <family val="2"/>
      </rPr>
      <t xml:space="preserve">지주 </t>
    </r>
    <r>
      <rPr>
        <sz val="9"/>
        <rFont val="Arial"/>
        <family val="0"/>
        <charset val="1"/>
      </rPr>
      <t xml:space="preserve">basket vs KOSPI200</t>
    </r>
  </si>
  <si>
    <t xml:space="preserve">Long basket / Short K200 futures</t>
  </si>
  <si>
    <r>
      <rPr>
        <sz val="9"/>
        <rFont val="Arial"/>
        <family val="0"/>
        <charset val="1"/>
      </rPr>
      <t xml:space="preserve">028260, 034730, 003550, 000150, 078930, 001040 + </t>
    </r>
    <r>
      <rPr>
        <sz val="9"/>
        <rFont val="WenQuanYi Zen Hei"/>
        <family val="2"/>
      </rPr>
      <t xml:space="preserve">금융지주</t>
    </r>
  </si>
  <si>
    <t xml:space="preserve">Governance basket</t>
  </si>
  <si>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차 상법개정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집중투표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감사위원 분리선출</t>
    </r>
    <r>
      <rPr>
        <sz val="9"/>
        <rFont val="Arial"/>
        <family val="0"/>
        <charset val="1"/>
      </rPr>
      <t xml:space="preserve">), </t>
    </r>
    <r>
      <rPr>
        <sz val="9"/>
        <rFont val="WenQuanYi Zen Hei"/>
        <family val="2"/>
      </rPr>
      <t xml:space="preserve">자사주 소각 의무화 논의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배당소득 분리과세 → 저</t>
    </r>
    <r>
      <rPr>
        <sz val="9"/>
        <rFont val="Arial"/>
        <family val="0"/>
        <charset val="1"/>
      </rPr>
      <t xml:space="preserve">PBR·</t>
    </r>
    <r>
      <rPr>
        <sz val="9"/>
        <rFont val="WenQuanYi Zen Hei"/>
        <family val="2"/>
      </rPr>
      <t xml:space="preserve">자사주 多 지주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금융지주 구조적 수혜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모든 종목 </t>
    </r>
    <r>
      <rPr>
        <sz val="9"/>
        <rFont val="Arial"/>
        <family val="0"/>
        <charset val="1"/>
      </rPr>
      <t xml:space="preserve">A1 </t>
    </r>
    <r>
      <rPr>
        <sz val="9"/>
        <rFont val="WenQuanYi Zen Hei"/>
        <family val="2"/>
      </rPr>
      <t xml:space="preserve">유동성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선물 </t>
    </r>
    <r>
      <rPr>
        <sz val="9"/>
        <rFont val="Arial"/>
        <family val="0"/>
        <charset val="1"/>
      </rPr>
      <t xml:space="preserve">hedge</t>
    </r>
    <r>
      <rPr>
        <sz val="9"/>
        <rFont val="WenQuanYi Zen Hei"/>
        <family val="2"/>
      </rPr>
      <t xml:space="preserve">로 </t>
    </r>
    <r>
      <rPr>
        <sz val="9"/>
        <rFont val="Arial"/>
        <family val="0"/>
        <charset val="1"/>
      </rPr>
      <t xml:space="preserve">Net 15% </t>
    </r>
    <r>
      <rPr>
        <sz val="9"/>
        <rFont val="WenQuanYi Zen Hei"/>
        <family val="2"/>
      </rPr>
      <t xml:space="preserve">한도</t>
    </r>
    <r>
      <rPr>
        <sz val="9"/>
        <rFont val="Arial"/>
        <family val="0"/>
        <charset val="1"/>
      </rPr>
      <t xml:space="preserve">·Gross-cut 3</t>
    </r>
    <r>
      <rPr>
        <sz val="9"/>
        <rFont val="WenQuanYi Zen Hei"/>
        <family val="2"/>
      </rPr>
      <t xml:space="preserve">일 청산 대응</t>
    </r>
    <r>
      <rPr>
        <sz val="9"/>
        <rFont val="Arial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</si>
  <si>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입법 일정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자사주 소각 공시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밸류업 공시</t>
    </r>
  </si>
  <si>
    <r>
      <rPr>
        <sz val="9"/>
        <rFont val="WenQuanYi Zen Hei"/>
        <family val="2"/>
      </rPr>
      <t xml:space="preserve">종목당 </t>
    </r>
    <r>
      <rPr>
        <sz val="9"/>
        <rFont val="Arial"/>
        <family val="0"/>
        <charset val="1"/>
      </rPr>
      <t xml:space="preserve">2~3%, basket 15~20% / </t>
    </r>
    <r>
      <rPr>
        <sz val="9"/>
        <rFont val="WenQuanYi Zen Hei"/>
        <family val="2"/>
      </rPr>
      <t xml:space="preserve">선물 </t>
    </r>
    <r>
      <rPr>
        <sz val="9"/>
        <rFont val="Arial"/>
        <family val="0"/>
        <charset val="1"/>
      </rPr>
      <t xml:space="preserve">15~20%</t>
    </r>
  </si>
  <si>
    <r>
      <rPr>
        <sz val="9"/>
        <rFont val="Arial"/>
        <family val="0"/>
        <charset val="1"/>
      </rPr>
      <t xml:space="preserve">PBR 0.5x→0.65x </t>
    </r>
    <r>
      <rPr>
        <sz val="9"/>
        <rFont val="WenQuanYi Zen Hei"/>
        <family val="2"/>
      </rPr>
      <t xml:space="preserve">리레이팅 시 </t>
    </r>
    <r>
      <rPr>
        <sz val="9"/>
        <rFont val="Arial"/>
        <family val="0"/>
        <charset val="1"/>
      </rPr>
      <t xml:space="preserve">+25~30%</t>
    </r>
  </si>
  <si>
    <r>
      <rPr>
        <sz val="9"/>
        <rFont val="WenQuanYi Zen Hei"/>
        <family val="2"/>
      </rPr>
      <t xml:space="preserve">입법 지연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시장 조정 시 </t>
    </r>
    <r>
      <rPr>
        <sz val="9"/>
        <rFont val="Arial"/>
        <family val="0"/>
        <charset val="1"/>
      </rPr>
      <t xml:space="preserve">-10% (hedge </t>
    </r>
    <r>
      <rPr>
        <sz val="9"/>
        <rFont val="WenQuanYi Zen Hei"/>
        <family val="2"/>
      </rPr>
      <t xml:space="preserve">후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</si>
  <si>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2025-26 </t>
    </r>
    <r>
      <rPr>
        <sz val="9"/>
        <rFont val="WenQuanYi Zen Hei"/>
        <family val="2"/>
      </rPr>
      <t xml:space="preserve">랠리로 이미 일부 반영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삼성물산 </t>
    </r>
    <r>
      <rPr>
        <sz val="9"/>
        <rFont val="Arial"/>
        <family val="0"/>
        <charset val="1"/>
      </rPr>
      <t xml:space="preserve">YTD +52%, SK +110%). </t>
    </r>
    <r>
      <rPr>
        <sz val="9"/>
        <rFont val="WenQuanYi Zen Hei"/>
        <family val="2"/>
      </rPr>
      <t xml:space="preserve">팩터 </t>
    </r>
    <r>
      <rPr>
        <sz val="9"/>
        <rFont val="Arial"/>
        <family val="0"/>
        <charset val="1"/>
      </rPr>
      <t xml:space="preserve">crowding</t>
    </r>
  </si>
  <si>
    <r>
      <rPr>
        <sz val="9"/>
        <rFont val="WenQuanYi Zen Hei"/>
        <family val="2"/>
      </rPr>
      <t xml:space="preserve">저</t>
    </r>
    <r>
      <rPr>
        <sz val="9"/>
        <rFont val="Arial"/>
        <family val="0"/>
        <charset val="1"/>
      </rPr>
      <t xml:space="preserve">PBR </t>
    </r>
    <r>
      <rPr>
        <sz val="9"/>
        <rFont val="WenQuanYi Zen Hei"/>
        <family val="2"/>
      </rPr>
      <t xml:space="preserve">리레이팅은 </t>
    </r>
    <r>
      <rPr>
        <sz val="9"/>
        <rFont val="Arial"/>
        <family val="0"/>
        <charset val="1"/>
      </rPr>
      <t xml:space="preserve">2024 </t>
    </r>
    <r>
      <rPr>
        <sz val="9"/>
        <rFont val="WenQuanYi Zen Hei"/>
        <family val="2"/>
      </rPr>
      <t xml:space="preserve">밸류업 이후 </t>
    </r>
    <r>
      <rPr>
        <sz val="9"/>
        <rFont val="Arial"/>
        <family val="0"/>
        <charset val="1"/>
      </rPr>
      <t xml:space="preserve">3</t>
    </r>
    <r>
      <rPr>
        <sz val="9"/>
        <rFont val="WenQuanYi Zen Hei"/>
        <family val="2"/>
      </rPr>
      <t xml:space="preserve">년째 테마 → 신선도 하락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실제 소각 없이 </t>
    </r>
    <r>
      <rPr>
        <sz val="9"/>
        <rFont val="Arial"/>
        <family val="0"/>
        <charset val="1"/>
      </rPr>
      <t xml:space="preserve">'</t>
    </r>
    <r>
      <rPr>
        <sz val="9"/>
        <rFont val="WenQuanYi Zen Hei"/>
        <family val="2"/>
      </rPr>
      <t xml:space="preserve">계획</t>
    </r>
    <r>
      <rPr>
        <sz val="9"/>
        <rFont val="Arial"/>
        <family val="0"/>
        <charset val="1"/>
      </rPr>
      <t xml:space="preserve">'</t>
    </r>
    <r>
      <rPr>
        <sz val="9"/>
        <rFont val="WenQuanYi Zen Hei"/>
        <family val="2"/>
      </rPr>
      <t xml:space="preserve">만 반복</t>
    </r>
  </si>
  <si>
    <r>
      <rPr>
        <sz val="9"/>
        <rFont val="Arial"/>
        <family val="0"/>
        <charset val="1"/>
      </rPr>
      <t xml:space="preserve">PBR, </t>
    </r>
    <r>
      <rPr>
        <sz val="9"/>
        <rFont val="WenQuanYi Zen Hei"/>
        <family val="2"/>
      </rPr>
      <t xml:space="preserve">자사주 비율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배당성향 </t>
    </r>
    <r>
      <rPr>
        <sz val="9"/>
        <rFont val="Arial"/>
        <family val="0"/>
        <charset val="1"/>
      </rPr>
      <t xml:space="preserve">(CIQ)</t>
    </r>
  </si>
  <si>
    <r>
      <rPr>
        <sz val="9"/>
        <rFont val="WenQuanYi Zen Hei"/>
        <family val="2"/>
      </rPr>
      <t xml:space="preserve">과열 테마 </t>
    </r>
    <r>
      <rPr>
        <sz val="9"/>
        <rFont val="Arial"/>
        <family val="0"/>
        <charset val="1"/>
      </rPr>
      <t xml:space="preserve">Short screen (</t>
    </r>
    <r>
      <rPr>
        <sz val="9"/>
        <rFont val="WenQuanYi Zen Hei"/>
        <family val="2"/>
      </rPr>
      <t xml:space="preserve">건설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전선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로봇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</si>
  <si>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Short candidates (</t>
    </r>
    <r>
      <rPr>
        <sz val="9"/>
        <rFont val="WenQuanYi Zen Hei"/>
        <family val="2"/>
      </rPr>
      <t xml:space="preserve">사이징 제약</t>
    </r>
    <r>
      <rPr>
        <sz val="9"/>
        <rFont val="Arial"/>
        <family val="0"/>
        <charset val="1"/>
      </rPr>
      <t xml:space="preserve">)</t>
    </r>
  </si>
  <si>
    <t xml:space="preserve">002990, 047040, 006340, 000500, 277810</t>
  </si>
  <si>
    <t xml:space="preserve">Momentum reversal</t>
  </si>
  <si>
    <r>
      <rPr>
        <sz val="9"/>
        <rFont val="WenQuanYi Zen Hei"/>
        <family val="2"/>
      </rPr>
      <t xml:space="preserve">금호건설 </t>
    </r>
    <r>
      <rPr>
        <sz val="9"/>
        <rFont val="Arial"/>
        <family val="0"/>
        <charset val="1"/>
      </rPr>
      <t xml:space="preserve">YTD +314%(±15%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7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), </t>
    </r>
    <r>
      <rPr>
        <sz val="9"/>
        <rFont val="WenQuanYi Zen Hei"/>
        <family val="2"/>
      </rPr>
      <t xml:space="preserve">대우건설 </t>
    </r>
    <r>
      <rPr>
        <sz val="9"/>
        <rFont val="Arial"/>
        <family val="0"/>
        <charset val="1"/>
      </rPr>
      <t xml:space="preserve">YTD +339%, </t>
    </r>
    <r>
      <rPr>
        <sz val="9"/>
        <rFont val="WenQuanYi Zen Hei"/>
        <family val="2"/>
      </rPr>
      <t xml:space="preserve">대원전선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가온전선 </t>
    </r>
    <r>
      <rPr>
        <sz val="9"/>
        <rFont val="Arial"/>
        <family val="0"/>
        <charset val="1"/>
      </rPr>
      <t xml:space="preserve">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5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. BBAS </t>
    </r>
    <r>
      <rPr>
        <sz val="9"/>
        <rFont val="WenQuanYi Zen Hei"/>
        <family val="2"/>
      </rPr>
      <t xml:space="preserve">룰상 </t>
    </r>
    <r>
      <rPr>
        <sz val="9"/>
        <rFont val="Arial"/>
        <family val="0"/>
        <charset val="1"/>
      </rPr>
      <t xml:space="preserve">±15% 2</t>
    </r>
    <r>
      <rPr>
        <sz val="9"/>
        <rFont val="WenQuanYi Zen Hei"/>
        <family val="2"/>
      </rPr>
      <t xml:space="preserve">회 이상 → </t>
    </r>
    <r>
      <rPr>
        <sz val="9"/>
        <rFont val="Arial"/>
        <family val="0"/>
        <charset val="1"/>
      </rPr>
      <t xml:space="preserve">Short cap -4%. 40</t>
    </r>
    <r>
      <rPr>
        <sz val="9"/>
        <rFont val="WenQuanYi Zen Hei"/>
        <family val="2"/>
      </rPr>
      <t xml:space="preserve">거래일 변동성 감소 후 진입</t>
    </r>
    <r>
      <rPr>
        <sz val="9"/>
        <rFont val="Arial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</si>
  <si>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거래대금 감소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유상증자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대주주 매도 공시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실적 부진</t>
    </r>
  </si>
  <si>
    <t xml:space="preserve">-2~-4% (Short cap -4%)</t>
  </si>
  <si>
    <r>
      <rPr>
        <sz val="9"/>
        <rFont val="WenQuanYi Zen Hei"/>
        <family val="2"/>
      </rPr>
      <t xml:space="preserve">고점 대비 </t>
    </r>
    <r>
      <rPr>
        <sz val="9"/>
        <rFont val="Arial"/>
        <family val="0"/>
        <charset val="1"/>
      </rPr>
      <t xml:space="preserve">-30~50% </t>
    </r>
    <r>
      <rPr>
        <sz val="9"/>
        <rFont val="WenQuanYi Zen Hei"/>
        <family val="2"/>
      </rPr>
      <t xml:space="preserve">되돌림</t>
    </r>
  </si>
  <si>
    <r>
      <rPr>
        <sz val="9"/>
        <rFont val="WenQuanYi Zen Hei"/>
        <family val="2"/>
      </rPr>
      <t xml:space="preserve">테마 연장 시 </t>
    </r>
    <r>
      <rPr>
        <sz val="9"/>
        <rFont val="Arial"/>
        <family val="0"/>
        <charset val="1"/>
      </rPr>
      <t xml:space="preserve">-30% (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±30% </t>
    </r>
    <r>
      <rPr>
        <sz val="9"/>
        <rFont val="WenQuanYi Zen Hei"/>
        <family val="2"/>
      </rPr>
      <t xml:space="preserve">상한가 리스크</t>
    </r>
    <r>
      <rPr>
        <sz val="9"/>
        <rFont val="Arial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</si>
  <si>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상한가 연속 리스크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대차 부족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비용</t>
    </r>
    <r>
      <rPr>
        <sz val="9"/>
        <rFont val="Arial"/>
        <family val="0"/>
        <charset val="1"/>
      </rPr>
      <t xml:space="preserve">, VaR </t>
    </r>
    <r>
      <rPr>
        <sz val="9"/>
        <rFont val="WenQuanYi Zen Hei"/>
        <family val="2"/>
      </rPr>
      <t xml:space="preserve">이탈</t>
    </r>
    <r>
      <rPr>
        <sz val="9"/>
        <rFont val="Arial"/>
        <family val="0"/>
        <charset val="1"/>
      </rPr>
      <t xml:space="preserve">(1D 1VaR) → Gross-cut </t>
    </r>
    <r>
      <rPr>
        <sz val="9"/>
        <rFont val="WenQuanYi Zen Hei"/>
        <family val="2"/>
      </rPr>
      <t xml:space="preserve">트리거</t>
    </r>
  </si>
  <si>
    <r>
      <rPr>
        <sz val="9"/>
        <rFont val="WenQuanYi Zen Hei"/>
        <family val="2"/>
      </rPr>
      <t xml:space="preserve">테마 과열 </t>
    </r>
    <r>
      <rPr>
        <sz val="9"/>
        <rFont val="Arial"/>
        <family val="0"/>
        <charset val="1"/>
      </rPr>
      <t xml:space="preserve">short</t>
    </r>
    <r>
      <rPr>
        <sz val="9"/>
        <rFont val="WenQuanYi Zen Hei"/>
        <family val="2"/>
      </rPr>
      <t xml:space="preserve">는 타이밍 실패 시 </t>
    </r>
    <r>
      <rPr>
        <sz val="9"/>
        <rFont val="Arial"/>
        <family val="0"/>
        <charset val="1"/>
      </rPr>
      <t xml:space="preserve">BBAS Book-cut(-6% DD)</t>
    </r>
    <r>
      <rPr>
        <sz val="9"/>
        <rFont val="WenQuanYi Zen Hei"/>
        <family val="2"/>
      </rPr>
      <t xml:space="preserve">의 주범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개별 </t>
    </r>
    <r>
      <rPr>
        <sz val="9"/>
        <rFont val="Arial"/>
        <family val="0"/>
        <charset val="1"/>
      </rPr>
      <t xml:space="preserve">short</t>
    </r>
    <r>
      <rPr>
        <sz val="9"/>
        <rFont val="WenQuanYi Zen Hei"/>
        <family val="2"/>
      </rPr>
      <t xml:space="preserve">보다 섹터 </t>
    </r>
    <r>
      <rPr>
        <sz val="9"/>
        <rFont val="Arial"/>
        <family val="0"/>
        <charset val="1"/>
      </rPr>
      <t xml:space="preserve">ETF/</t>
    </r>
    <r>
      <rPr>
        <sz val="9"/>
        <rFont val="WenQuanYi Zen Hei"/>
        <family val="2"/>
      </rPr>
      <t xml:space="preserve">선물 </t>
    </r>
    <r>
      <rPr>
        <sz val="9"/>
        <rFont val="Arial"/>
        <family val="0"/>
        <charset val="1"/>
      </rPr>
      <t xml:space="preserve">hedge</t>
    </r>
    <r>
      <rPr>
        <sz val="9"/>
        <rFont val="WenQuanYi Zen Hei"/>
        <family val="2"/>
      </rPr>
      <t xml:space="preserve">가 룰 친화적</t>
    </r>
  </si>
  <si>
    <r>
      <rPr>
        <sz val="9"/>
        <rFont val="WenQuanYi Zen Hei"/>
        <family val="2"/>
      </rPr>
      <t xml:space="preserve">대차잔고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대차비용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공매도 잔고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주주구성</t>
    </r>
  </si>
  <si>
    <r>
      <rPr>
        <b val="true"/>
        <sz val="9"/>
        <rFont val="Arial"/>
        <family val="0"/>
        <charset val="1"/>
      </rPr>
      <t xml:space="preserve">Exclusion summary (</t>
    </r>
    <r>
      <rPr>
        <b val="true"/>
        <sz val="9"/>
        <rFont val="WenQuanYi Zen Hei"/>
        <family val="2"/>
      </rPr>
      <t xml:space="preserve">전체 상장 </t>
    </r>
    <r>
      <rPr>
        <b val="true"/>
        <sz val="9"/>
        <rFont val="Arial"/>
        <family val="0"/>
        <charset val="1"/>
      </rPr>
      <t xml:space="preserve">2872</t>
    </r>
    <r>
      <rPr>
        <b val="true"/>
        <sz val="9"/>
        <rFont val="WenQuanYi Zen Hei"/>
        <family val="2"/>
      </rPr>
      <t xml:space="preserve">종목</t>
    </r>
    <r>
      <rPr>
        <b val="true"/>
        <sz val="9"/>
        <rFont val="Arial"/>
        <family val="0"/>
        <charset val="1"/>
      </rPr>
      <t xml:space="preserve">, as of 2026-09-03)</t>
    </r>
  </si>
  <si>
    <t xml:space="preserve">Reason</t>
  </si>
  <si>
    <r>
      <rPr>
        <sz val="9"/>
        <rFont val="WenQuanYi Zen Hei"/>
        <family val="2"/>
      </rPr>
      <t xml:space="preserve">시총</t>
    </r>
    <r>
      <rPr>
        <sz val="9"/>
        <rFont val="Arial"/>
        <family val="0"/>
        <charset val="1"/>
      </rPr>
      <t xml:space="preserve">&lt;3000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(BBAS ⑥)</t>
    </r>
  </si>
  <si>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포함 또는 유동성 부족</t>
    </r>
    <r>
      <rPr>
        <sz val="9"/>
        <rFont val="Arial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</si>
  <si>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관리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투자주의환기</t>
    </r>
  </si>
  <si>
    <t xml:space="preserve">KONEX</t>
  </si>
  <si>
    <t xml:space="preserve">SPAC</t>
  </si>
  <si>
    <t xml:space="preserve">거래정지</t>
  </si>
  <si>
    <t xml:space="preserve">X Excluded</t>
  </si>
  <si>
    <r>
      <rPr>
        <b val="true"/>
        <sz val="9"/>
        <rFont val="Arial"/>
        <family val="0"/>
        <charset val="1"/>
      </rPr>
      <t xml:space="preserve">Event-Play </t>
    </r>
    <r>
      <rPr>
        <b val="true"/>
        <sz val="9"/>
        <rFont val="WenQuanYi Zen Hei"/>
        <family val="2"/>
      </rPr>
      <t xml:space="preserve">후보 </t>
    </r>
    <r>
      <rPr>
        <b val="true"/>
        <sz val="9"/>
        <rFont val="Arial"/>
        <family val="0"/>
        <charset val="1"/>
      </rPr>
      <t xml:space="preserve">A: </t>
    </r>
    <r>
      <rPr>
        <b val="true"/>
        <sz val="9"/>
        <rFont val="WenQuanYi Zen Hei"/>
        <family val="2"/>
      </rPr>
      <t xml:space="preserve">시총 </t>
    </r>
    <r>
      <rPr>
        <b val="true"/>
        <sz val="9"/>
        <rFont val="Arial"/>
        <family val="0"/>
        <charset val="1"/>
      </rPr>
      <t xml:space="preserve">&lt; 3,000</t>
    </r>
    <r>
      <rPr>
        <b val="true"/>
        <sz val="9"/>
        <rFont val="WenQuanYi Zen Hei"/>
        <family val="2"/>
      </rPr>
      <t xml:space="preserve">억이지만 </t>
    </r>
    <r>
      <rPr>
        <b val="true"/>
        <sz val="9"/>
        <rFont val="Arial"/>
        <family val="0"/>
        <charset val="1"/>
      </rPr>
      <t xml:space="preserve">ADV20 ≥ 30</t>
    </r>
    <r>
      <rPr>
        <b val="true"/>
        <sz val="9"/>
        <rFont val="WenQuanYi Zen Hei"/>
        <family val="2"/>
      </rPr>
      <t xml:space="preserve">억 </t>
    </r>
    <r>
      <rPr>
        <b val="true"/>
        <sz val="9"/>
        <rFont val="Arial"/>
        <family val="0"/>
        <charset val="1"/>
      </rPr>
      <t xml:space="preserve">(</t>
    </r>
    <r>
      <rPr>
        <b val="true"/>
        <sz val="9"/>
        <rFont val="WenQuanYi Zen Hei"/>
        <family val="2"/>
      </rPr>
      <t xml:space="preserve">유동성은 충분</t>
    </r>
    <r>
      <rPr>
        <b val="true"/>
        <sz val="9"/>
        <rFont val="Arial"/>
        <family val="0"/>
        <charset val="1"/>
      </rPr>
      <t xml:space="preserve">, BBAS ⑥</t>
    </r>
    <r>
      <rPr>
        <b val="true"/>
        <sz val="9"/>
        <rFont val="WenQuanYi Zen Hei"/>
        <family val="2"/>
      </rPr>
      <t xml:space="preserve">로 일반 편입 불가 → 사전승인 </t>
    </r>
    <r>
      <rPr>
        <b val="true"/>
        <sz val="9"/>
        <rFont val="Arial"/>
        <family val="0"/>
        <charset val="1"/>
      </rPr>
      <t xml:space="preserve">Event Play 10%/40</t>
    </r>
    <r>
      <rPr>
        <b val="true"/>
        <sz val="9"/>
        <rFont val="WenQuanYi Zen Hei"/>
        <family val="2"/>
      </rPr>
      <t xml:space="preserve">거래일</t>
    </r>
    <r>
      <rPr>
        <b val="true"/>
        <sz val="9"/>
        <rFont val="Arial"/>
        <family val="0"/>
        <charset val="1"/>
      </rPr>
      <t xml:space="preserve">)</t>
    </r>
  </si>
  <si>
    <t xml:space="preserve">Quant Flags</t>
  </si>
  <si>
    <t xml:space="preserve">001210</t>
  </si>
  <si>
    <t xml:space="preserve">금호전기</t>
  </si>
  <si>
    <r>
      <rPr>
        <sz val="9"/>
        <rFont val="WenQuanYi Zen Hei"/>
        <family val="2"/>
      </rPr>
      <t xml:space="preserve">거래정지이력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 재상장 추정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주식수 급변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액면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증자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거래대금 급증</t>
    </r>
    <r>
      <rPr>
        <sz val="9"/>
        <rFont val="Arial"/>
        <family val="0"/>
        <charset val="1"/>
      </rPr>
      <t xml:space="preserve">(20D/120D≥2.5x);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1M ±30%/50% </t>
    </r>
    <r>
      <rPr>
        <sz val="9"/>
        <rFont val="WenQuanYi Zen Hei"/>
        <family val="2"/>
      </rPr>
      <t xml:space="preserve">급등락</t>
    </r>
  </si>
  <si>
    <t xml:space="preserve">0155E0</t>
  </si>
  <si>
    <t xml:space="preserve">해치텍</t>
  </si>
  <si>
    <t xml:space="preserve">417030</t>
  </si>
  <si>
    <t xml:space="preserve">니어스랩</t>
  </si>
  <si>
    <t xml:space="preserve">487400</t>
  </si>
  <si>
    <t xml:space="preserve">케이앤에스아이앤씨</t>
  </si>
  <si>
    <r>
      <rPr>
        <sz val="9"/>
        <rFont val="WenQuanYi Zen Hei"/>
        <family val="2"/>
      </rPr>
      <t xml:space="preserve">거래정지이력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 재상장 추정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신규상장</t>
    </r>
    <r>
      <rPr>
        <sz val="9"/>
        <rFont val="Arial"/>
        <family val="0"/>
        <charset val="1"/>
      </rPr>
      <t xml:space="preserve">&lt;120</t>
    </r>
    <r>
      <rPr>
        <sz val="9"/>
        <rFont val="WenQuanYi Zen Hei"/>
        <family val="2"/>
      </rPr>
      <t xml:space="preserve">일</t>
    </r>
    <r>
      <rPr>
        <sz val="9"/>
        <rFont val="Arial"/>
        <family val="0"/>
        <charset val="1"/>
      </rPr>
      <t xml:space="preserve">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</si>
  <si>
    <t xml:space="preserve">067290</t>
  </si>
  <si>
    <r>
      <rPr>
        <sz val="9"/>
        <rFont val="Arial"/>
        <family val="0"/>
        <charset val="1"/>
      </rPr>
      <t xml:space="preserve">JW</t>
    </r>
    <r>
      <rPr>
        <sz val="9"/>
        <rFont val="WenQuanYi Zen Hei"/>
        <family val="2"/>
      </rPr>
      <t xml:space="preserve">신약</t>
    </r>
  </si>
  <si>
    <t xml:space="preserve">024840</t>
  </si>
  <si>
    <r>
      <rPr>
        <sz val="9"/>
        <rFont val="Arial"/>
        <family val="0"/>
        <charset val="1"/>
      </rPr>
      <t xml:space="preserve">KBI</t>
    </r>
    <r>
      <rPr>
        <sz val="9"/>
        <rFont val="WenQuanYi Zen Hei"/>
        <family val="2"/>
      </rPr>
      <t xml:space="preserve">메탈</t>
    </r>
  </si>
  <si>
    <t xml:space="preserve">387690</t>
  </si>
  <si>
    <t xml:space="preserve">레메디</t>
  </si>
  <si>
    <r>
      <rPr>
        <sz val="9"/>
        <rFont val="WenQuanYi Zen Hei"/>
        <family val="2"/>
      </rPr>
      <t xml:space="preserve">거래정지이력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 재상장 추정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신규상장</t>
    </r>
    <r>
      <rPr>
        <sz val="9"/>
        <rFont val="Arial"/>
        <family val="0"/>
        <charset val="1"/>
      </rPr>
      <t xml:space="preserve">&lt;120</t>
    </r>
    <r>
      <rPr>
        <sz val="9"/>
        <rFont val="WenQuanYi Zen Hei"/>
        <family val="2"/>
      </rPr>
      <t xml:space="preserve">일</t>
    </r>
    <r>
      <rPr>
        <sz val="9"/>
        <rFont val="Arial"/>
        <family val="0"/>
        <charset val="1"/>
      </rPr>
      <t xml:space="preserve">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1M ±30%/50% </t>
    </r>
    <r>
      <rPr>
        <sz val="9"/>
        <rFont val="WenQuanYi Zen Hei"/>
        <family val="2"/>
      </rPr>
      <t xml:space="preserve">급등락</t>
    </r>
  </si>
  <si>
    <t xml:space="preserve">079650</t>
  </si>
  <si>
    <t xml:space="preserve">서산</t>
  </si>
  <si>
    <t xml:space="preserve">282620</t>
  </si>
  <si>
    <t xml:space="preserve">기도산업</t>
  </si>
  <si>
    <t xml:space="preserve">003350</t>
  </si>
  <si>
    <t xml:space="preserve">한국화장품제조</t>
  </si>
  <si>
    <r>
      <rPr>
        <sz val="9"/>
        <rFont val="WenQuanYi Zen Hei"/>
        <family val="2"/>
      </rPr>
      <t xml:space="preserve">주식수 급변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액면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증자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거래대금 급증</t>
    </r>
    <r>
      <rPr>
        <sz val="9"/>
        <rFont val="Arial"/>
        <family val="0"/>
        <charset val="1"/>
      </rPr>
      <t xml:space="preserve">(20D/120D≥2.5x); 1M ±30%/50% </t>
    </r>
    <r>
      <rPr>
        <sz val="9"/>
        <rFont val="WenQuanYi Zen Hei"/>
        <family val="2"/>
      </rPr>
      <t xml:space="preserve">급등락</t>
    </r>
  </si>
  <si>
    <t xml:space="preserve">0039P0</t>
  </si>
  <si>
    <t xml:space="preserve">매드업</t>
  </si>
  <si>
    <t xml:space="preserve">153890</t>
  </si>
  <si>
    <t xml:space="preserve">져스텍</t>
  </si>
  <si>
    <t xml:space="preserve">004310</t>
  </si>
  <si>
    <t xml:space="preserve">현대약품</t>
  </si>
  <si>
    <t xml:space="preserve">388050</t>
  </si>
  <si>
    <t xml:space="preserve">지투파워</t>
  </si>
  <si>
    <t xml:space="preserve">126730</t>
  </si>
  <si>
    <t xml:space="preserve">코칩</t>
  </si>
  <si>
    <t xml:space="preserve">365660</t>
  </si>
  <si>
    <t xml:space="preserve">레몬헬스케어</t>
  </si>
  <si>
    <t xml:space="preserve">483350</t>
  </si>
  <si>
    <t xml:space="preserve">딜리셔스</t>
  </si>
  <si>
    <t xml:space="preserve">459550</t>
  </si>
  <si>
    <t xml:space="preserve">알트</t>
  </si>
  <si>
    <t xml:space="preserve">024060</t>
  </si>
  <si>
    <t xml:space="preserve">흥구석유</t>
  </si>
  <si>
    <t xml:space="preserve">234340</t>
  </si>
  <si>
    <t xml:space="preserve">헥토파이낸셜</t>
  </si>
  <si>
    <t xml:space="preserve">457370</t>
  </si>
  <si>
    <t xml:space="preserve">한켐</t>
  </si>
  <si>
    <r>
      <rPr>
        <sz val="9"/>
        <rFont val="WenQuanYi Zen Hei"/>
        <family val="2"/>
      </rPr>
      <t xml:space="preserve">거래정지이력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 재상장 추정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신규상장</t>
    </r>
    <r>
      <rPr>
        <sz val="9"/>
        <rFont val="Arial"/>
        <family val="0"/>
        <charset val="1"/>
      </rPr>
      <t xml:space="preserve">&lt;120</t>
    </r>
    <r>
      <rPr>
        <sz val="9"/>
        <rFont val="WenQuanYi Zen Hei"/>
        <family val="2"/>
      </rPr>
      <t xml:space="preserve">일</t>
    </r>
    <r>
      <rPr>
        <sz val="9"/>
        <rFont val="Arial"/>
        <family val="0"/>
        <charset val="1"/>
      </rPr>
      <t xml:space="preserve">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</t>
    </r>
    <r>
      <rPr>
        <sz val="9"/>
        <rFont val="WenQuanYi Zen Hei"/>
        <family val="2"/>
      </rPr>
      <t xml:space="preserve">우선주</t>
    </r>
  </si>
  <si>
    <t xml:space="preserve">047770</t>
  </si>
  <si>
    <t xml:space="preserve">코데즈컴바인</t>
  </si>
  <si>
    <t xml:space="preserve">003010</t>
  </si>
  <si>
    <t xml:space="preserve">혜인</t>
  </si>
  <si>
    <t xml:space="preserve">463020</t>
  </si>
  <si>
    <r>
      <rPr>
        <sz val="9"/>
        <rFont val="WenQuanYi Zen Hei"/>
        <family val="2"/>
      </rPr>
      <t xml:space="preserve">뉴엔</t>
    </r>
    <r>
      <rPr>
        <sz val="9"/>
        <rFont val="Arial"/>
        <family val="0"/>
        <charset val="1"/>
      </rPr>
      <t xml:space="preserve">AI</t>
    </r>
  </si>
  <si>
    <t xml:space="preserve">417840</t>
  </si>
  <si>
    <t xml:space="preserve">저스템</t>
  </si>
  <si>
    <t xml:space="preserve">006660</t>
  </si>
  <si>
    <t xml:space="preserve">삼성공조</t>
  </si>
  <si>
    <t xml:space="preserve">032940</t>
  </si>
  <si>
    <t xml:space="preserve">원익</t>
  </si>
  <si>
    <t xml:space="preserve">058730</t>
  </si>
  <si>
    <t xml:space="preserve">다스코</t>
  </si>
  <si>
    <t xml:space="preserve">091590</t>
  </si>
  <si>
    <t xml:space="preserve">남화토건</t>
  </si>
  <si>
    <t xml:space="preserve">264850</t>
  </si>
  <si>
    <t xml:space="preserve">이랜시스</t>
  </si>
  <si>
    <t xml:space="preserve">462860</t>
  </si>
  <si>
    <t xml:space="preserve">더즌</t>
  </si>
  <si>
    <t xml:space="preserve">007820</t>
  </si>
  <si>
    <t xml:space="preserve">엠엑스로보틱스</t>
  </si>
  <si>
    <t xml:space="preserve">123330</t>
  </si>
  <si>
    <t xml:space="preserve">제닉</t>
  </si>
  <si>
    <t xml:space="preserve">396300</t>
  </si>
  <si>
    <t xml:space="preserve">세아메카닉스</t>
  </si>
  <si>
    <t xml:space="preserve">126640</t>
  </si>
  <si>
    <t xml:space="preserve">화신정공</t>
  </si>
  <si>
    <t xml:space="preserve">138080</t>
  </si>
  <si>
    <t xml:space="preserve">오이솔루션</t>
  </si>
  <si>
    <t xml:space="preserve">413630</t>
  </si>
  <si>
    <t xml:space="preserve">씨피시스템</t>
  </si>
  <si>
    <t xml:space="preserve">059120</t>
  </si>
  <si>
    <t xml:space="preserve">아진엑스텍</t>
  </si>
  <si>
    <t xml:space="preserve">045390</t>
  </si>
  <si>
    <t xml:space="preserve">대아티아이</t>
  </si>
  <si>
    <t xml:space="preserve">189330</t>
  </si>
  <si>
    <t xml:space="preserve">씨이랩</t>
  </si>
  <si>
    <t xml:space="preserve">000490</t>
  </si>
  <si>
    <t xml:space="preserve">대동</t>
  </si>
  <si>
    <t xml:space="preserve">094480</t>
  </si>
  <si>
    <t xml:space="preserve">갤럭시아머니트리</t>
  </si>
  <si>
    <r>
      <rPr>
        <sz val="9"/>
        <rFont val="WenQuanYi Zen Hei"/>
        <family val="2"/>
      </rPr>
      <t xml:space="preserve">거래대금 급증</t>
    </r>
    <r>
      <rPr>
        <sz val="9"/>
        <rFont val="Arial"/>
        <family val="0"/>
        <charset val="1"/>
      </rPr>
      <t xml:space="preserve">(20D/120D≥2.5x); 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</si>
  <si>
    <t xml:space="preserve">098120</t>
  </si>
  <si>
    <t xml:space="preserve">마이크로컨텍솔</t>
  </si>
  <si>
    <t xml:space="preserve">439090</t>
  </si>
  <si>
    <t xml:space="preserve">마녀공장</t>
  </si>
  <si>
    <t xml:space="preserve">465770</t>
  </si>
  <si>
    <r>
      <rPr>
        <sz val="9"/>
        <rFont val="Arial"/>
        <family val="0"/>
        <charset val="1"/>
      </rPr>
      <t xml:space="preserve">STX</t>
    </r>
    <r>
      <rPr>
        <sz val="9"/>
        <rFont val="WenQuanYi Zen Hei"/>
        <family val="2"/>
      </rPr>
      <t xml:space="preserve">그린로지스</t>
    </r>
  </si>
  <si>
    <t xml:space="preserve">484810</t>
  </si>
  <si>
    <t xml:space="preserve">티엑스알로보틱스</t>
  </si>
  <si>
    <t xml:space="preserve">198440</t>
  </si>
  <si>
    <t xml:space="preserve">강동씨앤엘</t>
  </si>
  <si>
    <t xml:space="preserve">053260</t>
  </si>
  <si>
    <t xml:space="preserve">금강철강</t>
  </si>
  <si>
    <t xml:space="preserve">092870</t>
  </si>
  <si>
    <t xml:space="preserve">엑시콘</t>
  </si>
  <si>
    <t xml:space="preserve">053690</t>
  </si>
  <si>
    <t xml:space="preserve">한미글로벌</t>
  </si>
  <si>
    <t xml:space="preserve">039980</t>
  </si>
  <si>
    <r>
      <rPr>
        <sz val="9"/>
        <rFont val="WenQuanYi Zen Hei"/>
        <family val="2"/>
      </rPr>
      <t xml:space="preserve">폴라리스</t>
    </r>
    <r>
      <rPr>
        <sz val="9"/>
        <rFont val="Arial"/>
        <family val="0"/>
        <charset val="1"/>
      </rPr>
      <t xml:space="preserve">AI</t>
    </r>
  </si>
  <si>
    <t xml:space="preserve">225190</t>
  </si>
  <si>
    <r>
      <rPr>
        <sz val="9"/>
        <rFont val="Arial"/>
        <family val="0"/>
        <charset val="1"/>
      </rPr>
      <t xml:space="preserve">LK</t>
    </r>
    <r>
      <rPr>
        <sz val="9"/>
        <rFont val="WenQuanYi Zen Hei"/>
        <family val="2"/>
      </rPr>
      <t xml:space="preserve">삼양</t>
    </r>
  </si>
  <si>
    <t xml:space="preserve">0015N0</t>
  </si>
  <si>
    <t xml:space="preserve">아로마티카</t>
  </si>
  <si>
    <t xml:space="preserve">217590</t>
  </si>
  <si>
    <t xml:space="preserve">티엠씨</t>
  </si>
  <si>
    <t xml:space="preserve">419050</t>
  </si>
  <si>
    <t xml:space="preserve">삼기에너지솔루션즈</t>
  </si>
  <si>
    <t xml:space="preserve">443670</t>
  </si>
  <si>
    <t xml:space="preserve">에스피소프트</t>
  </si>
  <si>
    <t xml:space="preserve">330350</t>
  </si>
  <si>
    <t xml:space="preserve">위더스제약</t>
  </si>
  <si>
    <t xml:space="preserve">064550</t>
  </si>
  <si>
    <t xml:space="preserve">바이오니아</t>
  </si>
  <si>
    <t xml:space="preserve">950220</t>
  </si>
  <si>
    <t xml:space="preserve">네오이뮨텍</t>
  </si>
  <si>
    <r>
      <rPr>
        <sz val="9"/>
        <rFont val="WenQuanYi Zen Hei"/>
        <family val="2"/>
      </rPr>
      <t xml:space="preserve">주식수 급변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액면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증자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거래대금 급증</t>
    </r>
    <r>
      <rPr>
        <sz val="9"/>
        <rFont val="Arial"/>
        <family val="0"/>
        <charset val="1"/>
      </rPr>
      <t xml:space="preserve">(20D/120D≥2.5x);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  <r>
      <rPr>
        <sz val="9"/>
        <rFont val="Arial"/>
        <family val="0"/>
        <charset val="1"/>
      </rPr>
      <t xml:space="preserve">; 1M ±30%/50% </t>
    </r>
    <r>
      <rPr>
        <sz val="9"/>
        <rFont val="WenQuanYi Zen Hei"/>
        <family val="2"/>
      </rPr>
      <t xml:space="preserve">급등락</t>
    </r>
  </si>
  <si>
    <r>
      <rPr>
        <b val="true"/>
        <sz val="9"/>
        <rFont val="Arial"/>
        <family val="0"/>
        <charset val="1"/>
      </rPr>
      <t xml:space="preserve">Event-Play </t>
    </r>
    <r>
      <rPr>
        <b val="true"/>
        <sz val="9"/>
        <rFont val="WenQuanYi Zen Hei"/>
        <family val="2"/>
      </rPr>
      <t xml:space="preserve">후보 </t>
    </r>
    <r>
      <rPr>
        <b val="true"/>
        <sz val="9"/>
        <rFont val="Arial"/>
        <family val="0"/>
        <charset val="1"/>
      </rPr>
      <t xml:space="preserve">B: </t>
    </r>
    <r>
      <rPr>
        <b val="true"/>
        <sz val="9"/>
        <rFont val="WenQuanYi Zen Hei"/>
        <family val="2"/>
      </rPr>
      <t xml:space="preserve">시총 ≥ </t>
    </r>
    <r>
      <rPr>
        <b val="true"/>
        <sz val="9"/>
        <rFont val="Arial"/>
        <family val="0"/>
        <charset val="1"/>
      </rPr>
      <t xml:space="preserve">7,000</t>
    </r>
    <r>
      <rPr>
        <b val="true"/>
        <sz val="9"/>
        <rFont val="WenQuanYi Zen Hei"/>
        <family val="2"/>
      </rPr>
      <t xml:space="preserve">억이지만 </t>
    </r>
    <r>
      <rPr>
        <b val="true"/>
        <sz val="9"/>
        <rFont val="Arial"/>
        <family val="0"/>
        <charset val="1"/>
      </rPr>
      <t xml:space="preserve">ADV </t>
    </r>
    <r>
      <rPr>
        <b val="true"/>
        <sz val="9"/>
        <rFont val="WenQuanYi Zen Hei"/>
        <family val="2"/>
      </rPr>
      <t xml:space="preserve">부족 </t>
    </r>
    <r>
      <rPr>
        <b val="true"/>
        <sz val="9"/>
        <rFont val="Arial"/>
        <family val="0"/>
        <charset val="1"/>
      </rPr>
      <t xml:space="preserve">(500</t>
    </r>
    <r>
      <rPr>
        <b val="true"/>
        <sz val="9"/>
        <rFont val="WenQuanYi Zen Hei"/>
        <family val="2"/>
      </rPr>
      <t xml:space="preserve">억 </t>
    </r>
    <r>
      <rPr>
        <b val="true"/>
        <sz val="9"/>
        <rFont val="Arial"/>
        <family val="0"/>
        <charset val="1"/>
      </rPr>
      <t xml:space="preserve">Book 2% </t>
    </r>
    <r>
      <rPr>
        <b val="true"/>
        <sz val="9"/>
        <rFont val="WenQuanYi Zen Hei"/>
        <family val="2"/>
      </rPr>
      <t xml:space="preserve">포지션도 </t>
    </r>
    <r>
      <rPr>
        <b val="true"/>
        <sz val="9"/>
        <rFont val="Arial"/>
        <family val="0"/>
        <charset val="1"/>
      </rPr>
      <t xml:space="preserve">3</t>
    </r>
    <r>
      <rPr>
        <b val="true"/>
        <sz val="9"/>
        <rFont val="WenQuanYi Zen Hei"/>
        <family val="2"/>
      </rPr>
      <t xml:space="preserve">일 청산 불가 → </t>
    </r>
    <r>
      <rPr>
        <b val="true"/>
        <sz val="9"/>
        <rFont val="Arial"/>
        <family val="0"/>
        <charset val="1"/>
      </rPr>
      <t xml:space="preserve">Event/</t>
    </r>
    <r>
      <rPr>
        <b val="true"/>
        <sz val="9"/>
        <rFont val="WenQuanYi Zen Hei"/>
        <family val="2"/>
      </rPr>
      <t xml:space="preserve">저유동성 </t>
    </r>
    <r>
      <rPr>
        <b val="true"/>
        <sz val="9"/>
        <rFont val="Arial"/>
        <family val="0"/>
        <charset val="1"/>
      </rPr>
      <t xml:space="preserve">bucket)</t>
    </r>
  </si>
  <si>
    <r>
      <rPr>
        <b val="true"/>
        <sz val="9"/>
        <color rgb="FFFFFFFF"/>
        <rFont val="Arial"/>
        <family val="0"/>
        <charset val="1"/>
      </rPr>
      <t xml:space="preserve">DTL 2% @500</t>
    </r>
    <r>
      <rPr>
        <b val="true"/>
        <sz val="9"/>
        <color rgb="FFFFFFFF"/>
        <rFont val="WenQuanYi Zen Hei"/>
        <family val="2"/>
      </rPr>
      <t xml:space="preserve">억 </t>
    </r>
    <r>
      <rPr>
        <b val="true"/>
        <sz val="9"/>
        <color rgb="FFFFFFFF"/>
        <rFont val="Arial"/>
        <family val="0"/>
        <charset val="1"/>
      </rPr>
      <t xml:space="preserve">(d)</t>
    </r>
  </si>
  <si>
    <t xml:space="preserve">Event Note</t>
  </si>
  <si>
    <t xml:space="preserve">026960</t>
  </si>
  <si>
    <t xml:space="preserve">동서</t>
  </si>
  <si>
    <t xml:space="preserve">저유동성 우량</t>
  </si>
  <si>
    <t xml:space="preserve">대주주 지분 높고 유동성 낮음</t>
  </si>
  <si>
    <t xml:space="preserve">001720</t>
  </si>
  <si>
    <t xml:space="preserve">신영증권</t>
  </si>
  <si>
    <t xml:space="preserve">462870</t>
  </si>
  <si>
    <t xml:space="preserve">시프트업</t>
  </si>
  <si>
    <t xml:space="preserve">023590</t>
  </si>
  <si>
    <t xml:space="preserve">다우기술</t>
  </si>
  <si>
    <t xml:space="preserve">395400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</si>
  <si>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리츠</t>
    </r>
  </si>
  <si>
    <t xml:space="preserve">020560</t>
  </si>
  <si>
    <t xml:space="preserve">아시아나항공</t>
  </si>
  <si>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상폐</t>
    </r>
  </si>
  <si>
    <r>
      <rPr>
        <sz val="9"/>
        <rFont val="WenQuanYi Zen Hei"/>
        <family val="2"/>
      </rPr>
      <t xml:space="preserve">대한항공 자회사 편입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상폐 일정 확인</t>
    </r>
  </si>
  <si>
    <t xml:space="preserve">012630</t>
  </si>
  <si>
    <t xml:space="preserve">HDC</t>
  </si>
  <si>
    <t xml:space="preserve">007310</t>
  </si>
  <si>
    <t xml:space="preserve">오뚜기</t>
  </si>
  <si>
    <t xml:space="preserve">415640</t>
  </si>
  <si>
    <r>
      <rPr>
        <sz val="9"/>
        <rFont val="Arial"/>
        <family val="0"/>
        <charset val="1"/>
      </rPr>
      <t xml:space="preserve">KB</t>
    </r>
    <r>
      <rPr>
        <sz val="9"/>
        <rFont val="WenQuanYi Zen Hei"/>
        <family val="2"/>
      </rPr>
      <t xml:space="preserve">발해인프라</t>
    </r>
  </si>
  <si>
    <t xml:space="preserve">300720</t>
  </si>
  <si>
    <t xml:space="preserve">한일시멘트</t>
  </si>
  <si>
    <t xml:space="preserve">030610</t>
  </si>
  <si>
    <t xml:space="preserve">교보증권</t>
  </si>
  <si>
    <t xml:space="preserve">330590</t>
  </si>
  <si>
    <t xml:space="preserve">롯데리츠</t>
  </si>
  <si>
    <t xml:space="preserve">000080</t>
  </si>
  <si>
    <t xml:space="preserve">하이트진로</t>
  </si>
  <si>
    <t xml:space="preserve">003240</t>
  </si>
  <si>
    <t xml:space="preserve">태광산업</t>
  </si>
  <si>
    <r>
      <rPr>
        <sz val="9"/>
        <rFont val="WenQuanYi Zen Hei"/>
        <family val="2"/>
      </rPr>
      <t xml:space="preserve">트러스톤 등 행동주의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자사주 이슈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유동성 낮음</t>
    </r>
  </si>
  <si>
    <t xml:space="preserve">003090</t>
  </si>
  <si>
    <t xml:space="preserve">대웅</t>
  </si>
  <si>
    <t xml:space="preserve">192400</t>
  </si>
  <si>
    <t xml:space="preserve">쿠쿠홀딩스</t>
  </si>
  <si>
    <t xml:space="preserve">003570</t>
  </si>
  <si>
    <r>
      <rPr>
        <sz val="9"/>
        <rFont val="Arial"/>
        <family val="0"/>
        <charset val="1"/>
      </rPr>
      <t xml:space="preserve">SNT</t>
    </r>
    <r>
      <rPr>
        <sz val="9"/>
        <rFont val="WenQuanYi Zen Hei"/>
        <family val="2"/>
      </rPr>
      <t xml:space="preserve">다이내믹스</t>
    </r>
  </si>
  <si>
    <t xml:space="preserve">030190</t>
  </si>
  <si>
    <r>
      <rPr>
        <sz val="9"/>
        <rFont val="Arial"/>
        <family val="0"/>
        <charset val="1"/>
      </rPr>
      <t xml:space="preserve">NICE</t>
    </r>
    <r>
      <rPr>
        <sz val="9"/>
        <rFont val="WenQuanYi Zen Hei"/>
        <family val="2"/>
      </rPr>
      <t xml:space="preserve">평가정보</t>
    </r>
  </si>
  <si>
    <t xml:space="preserve">006120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</si>
  <si>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디스커버리</t>
    </r>
  </si>
  <si>
    <t xml:space="preserve">451800</t>
  </si>
  <si>
    <t xml:space="preserve">한화리츠</t>
  </si>
  <si>
    <t xml:space="preserve">003470</t>
  </si>
  <si>
    <t xml:space="preserve">유안타증권</t>
  </si>
  <si>
    <t xml:space="preserve">071320</t>
  </si>
  <si>
    <t xml:space="preserve">지역난방공사</t>
  </si>
  <si>
    <t xml:space="preserve">071055</t>
  </si>
  <si>
    <t xml:space="preserve">한국금융지주우</t>
  </si>
  <si>
    <t xml:space="preserve">032190</t>
  </si>
  <si>
    <t xml:space="preserve">다우데이타</t>
  </si>
  <si>
    <t xml:space="preserve">365550</t>
  </si>
  <si>
    <r>
      <rPr>
        <sz val="9"/>
        <rFont val="Arial"/>
        <family val="0"/>
        <charset val="1"/>
      </rPr>
      <t xml:space="preserve">ESR</t>
    </r>
    <r>
      <rPr>
        <sz val="9"/>
        <rFont val="WenQuanYi Zen Hei"/>
        <family val="2"/>
      </rPr>
      <t xml:space="preserve">켄달스퀘어리츠</t>
    </r>
  </si>
  <si>
    <t xml:space="preserve">003850</t>
  </si>
  <si>
    <t xml:space="preserve">보령</t>
  </si>
  <si>
    <t xml:space="preserve">214320</t>
  </si>
  <si>
    <t xml:space="preserve">이노션</t>
  </si>
  <si>
    <t xml:space="preserve">137310</t>
  </si>
  <si>
    <t xml:space="preserve">에스디바이오센서</t>
  </si>
  <si>
    <t xml:space="preserve">036530</t>
  </si>
  <si>
    <r>
      <rPr>
        <sz val="9"/>
        <rFont val="Arial"/>
        <family val="0"/>
        <charset val="1"/>
      </rPr>
      <t xml:space="preserve">SNT</t>
    </r>
    <r>
      <rPr>
        <sz val="9"/>
        <rFont val="WenQuanYi Zen Hei"/>
        <family val="2"/>
      </rPr>
      <t xml:space="preserve">홀딩스</t>
    </r>
  </si>
  <si>
    <r>
      <rPr>
        <sz val="9"/>
        <rFont val="WenQuanYi Zen Hei"/>
        <family val="2"/>
      </rPr>
      <t xml:space="preserve">고려아연 분쟁 상대측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고려아연 지분가치 </t>
    </r>
    <r>
      <rPr>
        <sz val="9"/>
        <rFont val="Arial"/>
        <family val="0"/>
        <charset val="1"/>
      </rPr>
      <t xml:space="preserve">vs </t>
    </r>
    <r>
      <rPr>
        <sz val="9"/>
        <rFont val="WenQuanYi Zen Hei"/>
        <family val="2"/>
      </rPr>
      <t xml:space="preserve">시총 괴리</t>
    </r>
  </si>
  <si>
    <t xml:space="preserve">388720</t>
  </si>
  <si>
    <t xml:space="preserve">유일로보틱스</t>
  </si>
  <si>
    <r>
      <rPr>
        <b val="true"/>
        <sz val="9"/>
        <rFont val="Arial"/>
        <family val="0"/>
        <charset val="1"/>
      </rPr>
      <t xml:space="preserve">Event-Play </t>
    </r>
    <r>
      <rPr>
        <b val="true"/>
        <sz val="9"/>
        <rFont val="WenQuanYi Zen Hei"/>
        <family val="2"/>
      </rPr>
      <t xml:space="preserve">후보 </t>
    </r>
    <r>
      <rPr>
        <b val="true"/>
        <sz val="9"/>
        <rFont val="Arial"/>
        <family val="0"/>
        <charset val="1"/>
      </rPr>
      <t xml:space="preserve">C: </t>
    </r>
    <r>
      <rPr>
        <b val="true"/>
        <sz val="9"/>
        <rFont val="WenQuanYi Zen Hei"/>
        <family val="2"/>
      </rPr>
      <t xml:space="preserve">시총 </t>
    </r>
    <r>
      <rPr>
        <b val="true"/>
        <sz val="9"/>
        <rFont val="Arial"/>
        <family val="0"/>
        <charset val="1"/>
      </rPr>
      <t xml:space="preserve">3,000~7,000</t>
    </r>
    <r>
      <rPr>
        <b val="true"/>
        <sz val="9"/>
        <rFont val="WenQuanYi Zen Hei"/>
        <family val="2"/>
      </rPr>
      <t xml:space="preserve">억</t>
    </r>
    <r>
      <rPr>
        <b val="true"/>
        <sz val="9"/>
        <rFont val="Arial"/>
        <family val="0"/>
        <charset val="1"/>
      </rPr>
      <t xml:space="preserve">, ADV </t>
    </r>
    <r>
      <rPr>
        <b val="true"/>
        <sz val="9"/>
        <rFont val="WenQuanYi Zen Hei"/>
        <family val="2"/>
      </rPr>
      <t xml:space="preserve">부족</t>
    </r>
  </si>
  <si>
    <t xml:space="preserve">225570</t>
  </si>
  <si>
    <t xml:space="preserve">넥슨게임즈</t>
  </si>
  <si>
    <t xml:space="preserve">017940</t>
  </si>
  <si>
    <t xml:space="preserve">E1</t>
  </si>
  <si>
    <t xml:space="preserve">069260</t>
  </si>
  <si>
    <r>
      <rPr>
        <sz val="9"/>
        <rFont val="Arial"/>
        <family val="0"/>
        <charset val="1"/>
      </rPr>
      <t xml:space="preserve">TKG</t>
    </r>
    <r>
      <rPr>
        <sz val="9"/>
        <rFont val="WenQuanYi Zen Hei"/>
        <family val="2"/>
      </rPr>
      <t xml:space="preserve">휴켐스</t>
    </r>
  </si>
  <si>
    <t xml:space="preserve">000400</t>
  </si>
  <si>
    <t xml:space="preserve">롯데손해보험</t>
  </si>
  <si>
    <t xml:space="preserve">268280</t>
  </si>
  <si>
    <t xml:space="preserve">미원에스씨</t>
  </si>
  <si>
    <t xml:space="preserve">094800</t>
  </si>
  <si>
    <t xml:space="preserve">맵스리얼티</t>
  </si>
  <si>
    <t xml:space="preserve">317450</t>
  </si>
  <si>
    <t xml:space="preserve">명인제약</t>
  </si>
  <si>
    <t xml:space="preserve">293940</t>
  </si>
  <si>
    <t xml:space="preserve">신한알파리츠</t>
  </si>
  <si>
    <t xml:space="preserve">002960</t>
  </si>
  <si>
    <t xml:space="preserve">한국쉘석유</t>
  </si>
  <si>
    <t xml:space="preserve">093050</t>
  </si>
  <si>
    <t xml:space="preserve">LF</t>
  </si>
  <si>
    <t xml:space="preserve">014820</t>
  </si>
  <si>
    <t xml:space="preserve">동원시스템즈</t>
  </si>
  <si>
    <t xml:space="preserve">000640</t>
  </si>
  <si>
    <t xml:space="preserve">동아쏘시오홀딩스</t>
  </si>
  <si>
    <t xml:space="preserve">383800</t>
  </si>
  <si>
    <r>
      <rPr>
        <sz val="9"/>
        <rFont val="Arial"/>
        <family val="0"/>
        <charset val="1"/>
      </rPr>
      <t xml:space="preserve">LX</t>
    </r>
    <r>
      <rPr>
        <sz val="9"/>
        <rFont val="WenQuanYi Zen Hei"/>
        <family val="2"/>
      </rPr>
      <t xml:space="preserve">홀딩스</t>
    </r>
  </si>
  <si>
    <t xml:space="preserve">248070</t>
  </si>
  <si>
    <t xml:space="preserve">솔루엠</t>
  </si>
  <si>
    <t xml:space="preserve">002350</t>
  </si>
  <si>
    <t xml:space="preserve">넥센타이어</t>
  </si>
  <si>
    <t xml:space="preserve">002840</t>
  </si>
  <si>
    <t xml:space="preserve">미원상사</t>
  </si>
  <si>
    <t xml:space="preserve">003300</t>
  </si>
  <si>
    <t xml:space="preserve">한일홀딩스</t>
  </si>
  <si>
    <t xml:space="preserve">079940</t>
  </si>
  <si>
    <t xml:space="preserve">가비아</t>
  </si>
  <si>
    <t xml:space="preserve">114090</t>
  </si>
  <si>
    <t xml:space="preserve">GKL</t>
  </si>
  <si>
    <t xml:space="preserve">075580</t>
  </si>
  <si>
    <t xml:space="preserve">세진중공업</t>
  </si>
  <si>
    <t xml:space="preserve">058650</t>
  </si>
  <si>
    <t xml:space="preserve">세아홀딩스</t>
  </si>
  <si>
    <t xml:space="preserve">016380</t>
  </si>
  <si>
    <r>
      <rPr>
        <sz val="9"/>
        <rFont val="Arial"/>
        <family val="0"/>
        <charset val="1"/>
      </rPr>
      <t xml:space="preserve">KG</t>
    </r>
    <r>
      <rPr>
        <sz val="9"/>
        <rFont val="WenQuanYi Zen Hei"/>
        <family val="2"/>
      </rPr>
      <t xml:space="preserve">스틸</t>
    </r>
  </si>
  <si>
    <t xml:space="preserve">001530</t>
  </si>
  <si>
    <r>
      <rPr>
        <sz val="9"/>
        <rFont val="Arial"/>
        <family val="0"/>
        <charset val="1"/>
      </rPr>
      <t xml:space="preserve">DI</t>
    </r>
    <r>
      <rPr>
        <sz val="9"/>
        <rFont val="WenQuanYi Zen Hei"/>
        <family val="2"/>
      </rPr>
      <t xml:space="preserve">동일</t>
    </r>
  </si>
  <si>
    <t xml:space="preserve">007700</t>
  </si>
  <si>
    <r>
      <rPr>
        <sz val="9"/>
        <rFont val="Arial"/>
        <family val="0"/>
        <charset val="1"/>
      </rPr>
      <t xml:space="preserve">F&amp;F</t>
    </r>
    <r>
      <rPr>
        <sz val="9"/>
        <rFont val="WenQuanYi Zen Hei"/>
        <family val="2"/>
      </rPr>
      <t xml:space="preserve">홀딩스</t>
    </r>
  </si>
  <si>
    <t xml:space="preserve">178920</t>
  </si>
  <si>
    <r>
      <rPr>
        <sz val="9"/>
        <rFont val="Arial"/>
        <family val="0"/>
        <charset val="1"/>
      </rPr>
      <t xml:space="preserve">PI</t>
    </r>
    <r>
      <rPr>
        <sz val="9"/>
        <rFont val="WenQuanYi Zen Hei"/>
        <family val="2"/>
      </rPr>
      <t xml:space="preserve">첨단소재</t>
    </r>
  </si>
  <si>
    <t xml:space="preserve">025540</t>
  </si>
  <si>
    <t xml:space="preserve">한국단자</t>
  </si>
  <si>
    <t xml:space="preserve">211050</t>
  </si>
  <si>
    <t xml:space="preserve">인카금융서비스</t>
  </si>
  <si>
    <t xml:space="preserve">001270</t>
  </si>
  <si>
    <t xml:space="preserve">부국증권</t>
  </si>
  <si>
    <t xml:space="preserve">005810</t>
  </si>
  <si>
    <t xml:space="preserve">풍산홀딩스</t>
  </si>
  <si>
    <t xml:space="preserve">003620</t>
  </si>
  <si>
    <r>
      <rPr>
        <sz val="9"/>
        <rFont val="Arial"/>
        <family val="0"/>
        <charset val="1"/>
      </rPr>
      <t xml:space="preserve">KG</t>
    </r>
    <r>
      <rPr>
        <sz val="9"/>
        <rFont val="WenQuanYi Zen Hei"/>
        <family val="2"/>
      </rPr>
      <t xml:space="preserve">모빌리티</t>
    </r>
  </si>
  <si>
    <t xml:space="preserve">전환우선주</t>
  </si>
  <si>
    <t xml:space="preserve">053610</t>
  </si>
  <si>
    <t xml:space="preserve">프로텍</t>
  </si>
  <si>
    <t xml:space="preserve">284740</t>
  </si>
  <si>
    <t xml:space="preserve">쿠쿠홈시스</t>
  </si>
  <si>
    <t xml:space="preserve">336370</t>
  </si>
  <si>
    <t xml:space="preserve">솔루스첨단소재</t>
  </si>
  <si>
    <t xml:space="preserve">039130</t>
  </si>
  <si>
    <t xml:space="preserve">하나투어</t>
  </si>
  <si>
    <t xml:space="preserve">009410</t>
  </si>
  <si>
    <t xml:space="preserve">태영건설</t>
  </si>
  <si>
    <t xml:space="preserve">004690</t>
  </si>
  <si>
    <t xml:space="preserve">삼천리</t>
  </si>
  <si>
    <t xml:space="preserve">377740</t>
  </si>
  <si>
    <t xml:space="preserve">바이오노트</t>
  </si>
  <si>
    <t xml:space="preserve">145990</t>
  </si>
  <si>
    <t xml:space="preserve">삼양사</t>
  </si>
  <si>
    <t xml:space="preserve">278280</t>
  </si>
  <si>
    <t xml:space="preserve">천보</t>
  </si>
  <si>
    <t xml:space="preserve">001500</t>
  </si>
  <si>
    <t xml:space="preserve">현대차증권</t>
  </si>
  <si>
    <t xml:space="preserve">034950</t>
  </si>
  <si>
    <t xml:space="preserve">한국기업평가</t>
  </si>
  <si>
    <t xml:space="preserve">099190</t>
  </si>
  <si>
    <t xml:space="preserve">아이센스</t>
  </si>
  <si>
    <t xml:space="preserve">000070</t>
  </si>
  <si>
    <t xml:space="preserve">삼양홀딩스</t>
  </si>
  <si>
    <t xml:space="preserve">035890</t>
  </si>
  <si>
    <t xml:space="preserve">서희건설</t>
  </si>
  <si>
    <t xml:space="preserve">448730</t>
  </si>
  <si>
    <r>
      <rPr>
        <sz val="9"/>
        <rFont val="WenQuanYi Zen Hei"/>
        <family val="2"/>
      </rPr>
      <t xml:space="preserve">삼성</t>
    </r>
    <r>
      <rPr>
        <sz val="9"/>
        <rFont val="Arial"/>
        <family val="0"/>
        <charset val="1"/>
      </rPr>
      <t xml:space="preserve">FN</t>
    </r>
    <r>
      <rPr>
        <sz val="9"/>
        <rFont val="WenQuanYi Zen Hei"/>
        <family val="2"/>
      </rPr>
      <t xml:space="preserve">리츠</t>
    </r>
  </si>
  <si>
    <t xml:space="preserve">015750</t>
  </si>
  <si>
    <t xml:space="preserve">성우하이텍</t>
  </si>
  <si>
    <t xml:space="preserve">002240</t>
  </si>
  <si>
    <t xml:space="preserve">고려제강</t>
  </si>
  <si>
    <t xml:space="preserve">005250</t>
  </si>
  <si>
    <t xml:space="preserve">녹십자홀딩스</t>
  </si>
  <si>
    <t xml:space="preserve">008060</t>
  </si>
  <si>
    <t xml:space="preserve">대덕</t>
  </si>
  <si>
    <t xml:space="preserve">034310</t>
  </si>
  <si>
    <t xml:space="preserve">NICE</t>
  </si>
  <si>
    <t xml:space="preserve">072710</t>
  </si>
  <si>
    <t xml:space="preserve">농심홀딩스</t>
  </si>
  <si>
    <t xml:space="preserve">014830</t>
  </si>
  <si>
    <t xml:space="preserve">유니드</t>
  </si>
  <si>
    <t xml:space="preserve">004700</t>
  </si>
  <si>
    <t xml:space="preserve">조광피혁</t>
  </si>
  <si>
    <t xml:space="preserve">002030</t>
  </si>
  <si>
    <t xml:space="preserve">아세아</t>
  </si>
  <si>
    <t xml:space="preserve">376300</t>
  </si>
  <si>
    <t xml:space="preserve">디어유</t>
  </si>
  <si>
    <t xml:space="preserve">403550</t>
  </si>
  <si>
    <t xml:space="preserve">쏘카</t>
  </si>
  <si>
    <t xml:space="preserve">016590</t>
  </si>
  <si>
    <t xml:space="preserve">신대양제지</t>
  </si>
  <si>
    <t xml:space="preserve">016610</t>
  </si>
  <si>
    <r>
      <rPr>
        <sz val="9"/>
        <rFont val="Arial"/>
        <family val="0"/>
        <charset val="1"/>
      </rPr>
      <t xml:space="preserve">DB</t>
    </r>
    <r>
      <rPr>
        <sz val="9"/>
        <rFont val="WenQuanYi Zen Hei"/>
        <family val="2"/>
      </rPr>
      <t xml:space="preserve">증권</t>
    </r>
  </si>
  <si>
    <t xml:space="preserve">306200</t>
  </si>
  <si>
    <t xml:space="preserve">세아제강</t>
  </si>
  <si>
    <t xml:space="preserve">092230</t>
  </si>
  <si>
    <r>
      <rPr>
        <sz val="9"/>
        <rFont val="Arial"/>
        <family val="0"/>
        <charset val="1"/>
      </rPr>
      <t xml:space="preserve">KPX</t>
    </r>
    <r>
      <rPr>
        <sz val="9"/>
        <rFont val="WenQuanYi Zen Hei"/>
        <family val="2"/>
      </rPr>
      <t xml:space="preserve">홀딩스</t>
    </r>
  </si>
  <si>
    <t xml:space="preserve">214430</t>
  </si>
  <si>
    <t xml:space="preserve">아이쓰리시스템</t>
  </si>
  <si>
    <t xml:space="preserve">002810</t>
  </si>
  <si>
    <t xml:space="preserve">삼영무역</t>
  </si>
  <si>
    <t xml:space="preserve">008730</t>
  </si>
  <si>
    <t xml:space="preserve">율촌화학</t>
  </si>
  <si>
    <t xml:space="preserve">009900</t>
  </si>
  <si>
    <t xml:space="preserve">명신산업</t>
  </si>
  <si>
    <t xml:space="preserve">029460</t>
  </si>
  <si>
    <t xml:space="preserve">케이씨</t>
  </si>
  <si>
    <t xml:space="preserve">357120</t>
  </si>
  <si>
    <t xml:space="preserve">코람코라이프인프라리츠</t>
  </si>
  <si>
    <t xml:space="preserve">344820</t>
  </si>
  <si>
    <r>
      <rPr>
        <sz val="9"/>
        <rFont val="Arial"/>
        <family val="0"/>
        <charset val="1"/>
      </rPr>
      <t xml:space="preserve">KCC</t>
    </r>
    <r>
      <rPr>
        <sz val="9"/>
        <rFont val="WenQuanYi Zen Hei"/>
        <family val="2"/>
      </rPr>
      <t xml:space="preserve">글라스</t>
    </r>
  </si>
  <si>
    <t xml:space="preserve">005420</t>
  </si>
  <si>
    <t xml:space="preserve">코스모화학</t>
  </si>
  <si>
    <t xml:space="preserve">078130</t>
  </si>
  <si>
    <t xml:space="preserve">국일제지</t>
  </si>
  <si>
    <t xml:space="preserve">013030</t>
  </si>
  <si>
    <t xml:space="preserve">하이록코리아</t>
  </si>
  <si>
    <t xml:space="preserve">029530</t>
  </si>
  <si>
    <t xml:space="preserve">신도리코</t>
  </si>
  <si>
    <t xml:space="preserve">001940</t>
  </si>
  <si>
    <r>
      <rPr>
        <sz val="9"/>
        <rFont val="Arial"/>
        <family val="0"/>
        <charset val="1"/>
      </rPr>
      <t xml:space="preserve">KISCO</t>
    </r>
    <r>
      <rPr>
        <sz val="9"/>
        <rFont val="WenQuanYi Zen Hei"/>
        <family val="2"/>
      </rPr>
      <t xml:space="preserve">홀딩스</t>
    </r>
  </si>
  <si>
    <t xml:space="preserve">950210</t>
  </si>
  <si>
    <t xml:space="preserve">프레스티지바이오파마</t>
  </si>
  <si>
    <t xml:space="preserve">183190</t>
  </si>
  <si>
    <t xml:space="preserve">아세아시멘트</t>
  </si>
  <si>
    <t xml:space="preserve">241770</t>
  </si>
  <si>
    <t xml:space="preserve">메카로</t>
  </si>
  <si>
    <t xml:space="preserve">271940</t>
  </si>
  <si>
    <t xml:space="preserve">일진하이솔루스</t>
  </si>
  <si>
    <t xml:space="preserve">015360</t>
  </si>
  <si>
    <t xml:space="preserve">INVENI</t>
  </si>
  <si>
    <t xml:space="preserve">042000</t>
  </si>
  <si>
    <r>
      <rPr>
        <sz val="9"/>
        <rFont val="WenQuanYi Zen Hei"/>
        <family val="2"/>
      </rPr>
      <t xml:space="preserve">카페</t>
    </r>
    <r>
      <rPr>
        <sz val="9"/>
        <rFont val="Arial"/>
        <family val="0"/>
        <charset val="1"/>
      </rPr>
      <t xml:space="preserve">24</t>
    </r>
  </si>
  <si>
    <t xml:space="preserve">194370</t>
  </si>
  <si>
    <t xml:space="preserve">제이에스코퍼레이션</t>
  </si>
  <si>
    <t xml:space="preserve">095660</t>
  </si>
  <si>
    <t xml:space="preserve">네오위즈</t>
  </si>
  <si>
    <t xml:space="preserve">007690</t>
  </si>
  <si>
    <t xml:space="preserve">국도화학</t>
  </si>
  <si>
    <t xml:space="preserve">092730</t>
  </si>
  <si>
    <t xml:space="preserve">네오팜</t>
  </si>
  <si>
    <t xml:space="preserve">236200</t>
  </si>
  <si>
    <t xml:space="preserve">슈프리마</t>
  </si>
  <si>
    <t xml:space="preserve">027410</t>
  </si>
  <si>
    <t xml:space="preserve">BGF</t>
  </si>
  <si>
    <t xml:space="preserve">126560</t>
  </si>
  <si>
    <t xml:space="preserve">현대퓨처넷</t>
  </si>
  <si>
    <t xml:space="preserve">475960</t>
  </si>
  <si>
    <t xml:space="preserve">토모큐브</t>
  </si>
  <si>
    <t xml:space="preserve">372320</t>
  </si>
  <si>
    <t xml:space="preserve">큐로셀</t>
  </si>
  <si>
    <t xml:space="preserve">017810</t>
  </si>
  <si>
    <t xml:space="preserve">풀무원</t>
  </si>
  <si>
    <t xml:space="preserve">003800</t>
  </si>
  <si>
    <t xml:space="preserve">에이스침대</t>
  </si>
  <si>
    <t xml:space="preserve">078020</t>
  </si>
  <si>
    <r>
      <rPr>
        <sz val="9"/>
        <rFont val="Arial"/>
        <family val="0"/>
        <charset val="1"/>
      </rPr>
      <t xml:space="preserve">LS</t>
    </r>
    <r>
      <rPr>
        <sz val="9"/>
        <rFont val="WenQuanYi Zen Hei"/>
        <family val="2"/>
      </rPr>
      <t xml:space="preserve">증권</t>
    </r>
  </si>
  <si>
    <t xml:space="preserve">031430</t>
  </si>
  <si>
    <t xml:space="preserve">신세계인터내셔날</t>
  </si>
  <si>
    <t xml:space="preserve">104700</t>
  </si>
  <si>
    <t xml:space="preserve">한국철강</t>
  </si>
  <si>
    <t xml:space="preserve">215200</t>
  </si>
  <si>
    <t xml:space="preserve">메가스터디교육</t>
  </si>
  <si>
    <t xml:space="preserve">025900</t>
  </si>
  <si>
    <t xml:space="preserve">동화기업</t>
  </si>
  <si>
    <t xml:space="preserve">060980</t>
  </si>
  <si>
    <r>
      <rPr>
        <sz val="9"/>
        <rFont val="Arial"/>
        <family val="0"/>
        <charset val="1"/>
      </rPr>
      <t xml:space="preserve">HL</t>
    </r>
    <r>
      <rPr>
        <sz val="9"/>
        <rFont val="WenQuanYi Zen Hei"/>
        <family val="2"/>
      </rPr>
      <t xml:space="preserve">홀딩스</t>
    </r>
  </si>
  <si>
    <t xml:space="preserve">105630</t>
  </si>
  <si>
    <t xml:space="preserve">한세실업</t>
  </si>
  <si>
    <t xml:space="preserve">089590</t>
  </si>
  <si>
    <t xml:space="preserve">제주항공</t>
  </si>
  <si>
    <t xml:space="preserve">170900</t>
  </si>
  <si>
    <t xml:space="preserve">동아에스티</t>
  </si>
  <si>
    <t xml:space="preserve">089010</t>
  </si>
  <si>
    <t xml:space="preserve">켐트로닉스</t>
  </si>
  <si>
    <t xml:space="preserve">005610</t>
  </si>
  <si>
    <t xml:space="preserve">삼립</t>
  </si>
  <si>
    <t xml:space="preserve">069080</t>
  </si>
  <si>
    <t xml:space="preserve">웹젠</t>
  </si>
  <si>
    <t xml:space="preserve">389470</t>
  </si>
  <si>
    <t xml:space="preserve">인벤티지랩</t>
  </si>
  <si>
    <t xml:space="preserve">024720</t>
  </si>
  <si>
    <t xml:space="preserve">콜마홀딩스</t>
  </si>
  <si>
    <t xml:space="preserve">011760</t>
  </si>
  <si>
    <t xml:space="preserve">현대코퍼레이션</t>
  </si>
  <si>
    <t xml:space="preserve">078160</t>
  </si>
  <si>
    <t xml:space="preserve">메디포스트</t>
  </si>
  <si>
    <t xml:space="preserve">002310</t>
  </si>
  <si>
    <t xml:space="preserve">아세아제지</t>
  </si>
  <si>
    <t xml:space="preserve">036620</t>
  </si>
  <si>
    <t xml:space="preserve">감성코퍼레이션</t>
  </si>
  <si>
    <t xml:space="preserve">121440</t>
  </si>
  <si>
    <t xml:space="preserve">골프존홀딩스</t>
  </si>
  <si>
    <t xml:space="preserve">009160</t>
  </si>
  <si>
    <t xml:space="preserve">SIMPAC</t>
  </si>
  <si>
    <t xml:space="preserve">097520</t>
  </si>
  <si>
    <t xml:space="preserve">엠씨넥스</t>
  </si>
  <si>
    <t xml:space="preserve">900290</t>
  </si>
  <si>
    <t xml:space="preserve">GRT</t>
  </si>
  <si>
    <t xml:space="preserve">036800</t>
  </si>
  <si>
    <t xml:space="preserve">나이스정보통신</t>
  </si>
  <si>
    <t xml:space="preserve">002020</t>
  </si>
  <si>
    <t xml:space="preserve">코오롱</t>
  </si>
  <si>
    <t xml:space="preserve">123890</t>
  </si>
  <si>
    <t xml:space="preserve">한국자산신탁</t>
  </si>
  <si>
    <t xml:space="preserve">026890</t>
  </si>
  <si>
    <t xml:space="preserve">스틱인베스트먼트</t>
  </si>
  <si>
    <t xml:space="preserve">145720</t>
  </si>
  <si>
    <t xml:space="preserve">덴티움</t>
  </si>
  <si>
    <t xml:space="preserve">206650</t>
  </si>
  <si>
    <t xml:space="preserve">유바이오로직스</t>
  </si>
  <si>
    <t xml:space="preserve">005720</t>
  </si>
  <si>
    <t xml:space="preserve">넥센</t>
  </si>
  <si>
    <t xml:space="preserve">009290</t>
  </si>
  <si>
    <t xml:space="preserve">광동제약</t>
  </si>
  <si>
    <t xml:space="preserve">001230</t>
  </si>
  <si>
    <t xml:space="preserve">동국홀딩스</t>
  </si>
  <si>
    <t xml:space="preserve">015860</t>
  </si>
  <si>
    <t xml:space="preserve">일진홀딩스</t>
  </si>
  <si>
    <t xml:space="preserve">108670</t>
  </si>
  <si>
    <r>
      <rPr>
        <sz val="9"/>
        <rFont val="Arial"/>
        <family val="0"/>
        <charset val="1"/>
      </rPr>
      <t xml:space="preserve">LX</t>
    </r>
    <r>
      <rPr>
        <sz val="9"/>
        <rFont val="WenQuanYi Zen Hei"/>
        <family val="2"/>
      </rPr>
      <t xml:space="preserve">하우시스</t>
    </r>
  </si>
  <si>
    <t xml:space="preserve">200880</t>
  </si>
  <si>
    <t xml:space="preserve">서연이화</t>
  </si>
  <si>
    <t xml:space="preserve">096760</t>
  </si>
  <si>
    <r>
      <rPr>
        <sz val="9"/>
        <rFont val="Arial"/>
        <family val="0"/>
        <charset val="1"/>
      </rPr>
      <t xml:space="preserve">JW</t>
    </r>
    <r>
      <rPr>
        <sz val="9"/>
        <rFont val="WenQuanYi Zen Hei"/>
        <family val="2"/>
      </rPr>
      <t xml:space="preserve">홀딩스</t>
    </r>
  </si>
  <si>
    <t xml:space="preserve">016800</t>
  </si>
  <si>
    <t xml:space="preserve">퍼시스</t>
  </si>
  <si>
    <t xml:space="preserve">093520</t>
  </si>
  <si>
    <t xml:space="preserve">매커스</t>
  </si>
  <si>
    <t xml:space="preserve">018250</t>
  </si>
  <si>
    <t xml:space="preserve">애경산업</t>
  </si>
  <si>
    <t xml:space="preserve">381970</t>
  </si>
  <si>
    <t xml:space="preserve">케이카</t>
  </si>
  <si>
    <t xml:space="preserve">126720</t>
  </si>
  <si>
    <t xml:space="preserve">수산인더스트리</t>
  </si>
  <si>
    <t xml:space="preserve">455900</t>
  </si>
  <si>
    <t xml:space="preserve">엔젤로보틱스</t>
  </si>
  <si>
    <t xml:space="preserve">199800</t>
  </si>
  <si>
    <t xml:space="preserve">툴젠</t>
  </si>
  <si>
    <t xml:space="preserve">084110</t>
  </si>
  <si>
    <t xml:space="preserve">휴온스글로벌</t>
  </si>
  <si>
    <t xml:space="preserve">110990</t>
  </si>
  <si>
    <t xml:space="preserve">디아이티</t>
  </si>
  <si>
    <t xml:space="preserve">092460</t>
  </si>
  <si>
    <r>
      <rPr>
        <sz val="9"/>
        <rFont val="WenQuanYi Zen Hei"/>
        <family val="2"/>
      </rPr>
      <t xml:space="preserve">한라</t>
    </r>
    <r>
      <rPr>
        <sz val="9"/>
        <rFont val="Arial"/>
        <family val="0"/>
        <charset val="1"/>
      </rPr>
      <t xml:space="preserve">IMS</t>
    </r>
  </si>
  <si>
    <t xml:space="preserve">078520</t>
  </si>
  <si>
    <t xml:space="preserve">에이블씨엔씨</t>
  </si>
  <si>
    <t xml:space="preserve">101930</t>
  </si>
  <si>
    <t xml:space="preserve">인화정공</t>
  </si>
  <si>
    <t xml:space="preserve">012030</t>
  </si>
  <si>
    <t xml:space="preserve">DB</t>
  </si>
  <si>
    <t xml:space="preserve">000157</t>
  </si>
  <si>
    <r>
      <rPr>
        <sz val="9"/>
        <rFont val="WenQuanYi Zen Hei"/>
        <family val="2"/>
      </rPr>
      <t xml:space="preserve">두산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B</t>
    </r>
  </si>
  <si>
    <t xml:space="preserve">117730</t>
  </si>
  <si>
    <t xml:space="preserve">티로보틱스</t>
  </si>
  <si>
    <t xml:space="preserve">091810</t>
  </si>
  <si>
    <t xml:space="preserve">트리니티항공</t>
  </si>
  <si>
    <t xml:space="preserve">228760</t>
  </si>
  <si>
    <t xml:space="preserve">지노믹트리</t>
  </si>
  <si>
    <r>
      <rPr>
        <b val="true"/>
        <sz val="9"/>
        <rFont val="Arial"/>
        <family val="0"/>
        <charset val="1"/>
      </rPr>
      <t xml:space="preserve">Capital IQ Excel Plug-in </t>
    </r>
    <r>
      <rPr>
        <b val="true"/>
        <sz val="9"/>
        <rFont val="WenQuanYi Zen Hei"/>
        <family val="2"/>
      </rPr>
      <t xml:space="preserve">수식 정의 </t>
    </r>
    <r>
      <rPr>
        <b val="true"/>
        <sz val="9"/>
        <rFont val="Arial"/>
        <family val="0"/>
        <charset val="1"/>
      </rPr>
      <t xml:space="preserve">(Universe </t>
    </r>
    <r>
      <rPr>
        <b val="true"/>
        <sz val="9"/>
        <rFont val="WenQuanYi Zen Hei"/>
        <family val="2"/>
      </rPr>
      <t xml:space="preserve">시트</t>
    </r>
    <r>
      <rPr>
        <b val="true"/>
        <sz val="9"/>
        <rFont val="Arial"/>
        <family val="0"/>
        <charset val="1"/>
      </rPr>
      <t xml:space="preserve">). </t>
    </r>
    <r>
      <rPr>
        <b val="true"/>
        <sz val="9"/>
        <rFont val="WenQuanYi Zen Hei"/>
        <family val="2"/>
      </rPr>
      <t xml:space="preserve">형식</t>
    </r>
    <r>
      <rPr>
        <b val="true"/>
        <sz val="9"/>
        <rFont val="Arial"/>
        <family val="0"/>
        <charset val="1"/>
      </rPr>
      <t xml:space="preserve">: =CIQ(ticker, mnemonic). Ticker: KOSE:A005930 (KOSPI) / KOSDAQ:A247540 (KOSDAQ). mnemonic</t>
    </r>
    <r>
      <rPr>
        <b val="true"/>
        <sz val="9"/>
        <rFont val="WenQuanYi Zen Hei"/>
        <family val="2"/>
      </rPr>
      <t xml:space="preserve">은 </t>
    </r>
    <r>
      <rPr>
        <b val="true"/>
        <sz val="9"/>
        <rFont val="Arial"/>
        <family val="0"/>
        <charset val="1"/>
      </rPr>
      <t xml:space="preserve">CIQ Formula Builder</t>
    </r>
    <r>
      <rPr>
        <b val="true"/>
        <sz val="9"/>
        <rFont val="WenQuanYi Zen Hei"/>
        <family val="2"/>
      </rPr>
      <t xml:space="preserve">에서 재확인</t>
    </r>
    <r>
      <rPr>
        <b val="true"/>
        <sz val="9"/>
        <rFont val="Arial"/>
        <family val="0"/>
        <charset val="1"/>
      </rPr>
      <t xml:space="preserve">.</t>
    </r>
  </si>
  <si>
    <t xml:space="preserve">Field</t>
  </si>
  <si>
    <t xml:space="preserve">CIQ mnemonic</t>
  </si>
  <si>
    <t xml:space="preserve">Bloomberg equivalent (BDP)</t>
  </si>
  <si>
    <t xml:space="preserve">Note</t>
  </si>
  <si>
    <t xml:space="preserve">IQ_PE_EXCL</t>
  </si>
  <si>
    <t xml:space="preserve">PE_RATIO</t>
  </si>
  <si>
    <t xml:space="preserve">LTM P/E excl. extraordinary</t>
  </si>
  <si>
    <t xml:space="preserve">IQ_PE_EXCL_FWD_CIQ</t>
  </si>
  <si>
    <t xml:space="preserve">BEST_PE_RATIO</t>
  </si>
  <si>
    <t xml:space="preserve">CIQ consensus NTM</t>
  </si>
  <si>
    <t xml:space="preserve">IQ_PBV</t>
  </si>
  <si>
    <t xml:space="preserve">PX_TO_BOOK_RATIO</t>
  </si>
  <si>
    <t xml:space="preserve">Latest</t>
  </si>
  <si>
    <t xml:space="preserve">IQ_TEV_EBITDA</t>
  </si>
  <si>
    <t xml:space="preserve">EV_TO_T12M_EBITDA</t>
  </si>
  <si>
    <t xml:space="preserve">IQ_RETURN_EQUITY</t>
  </si>
  <si>
    <t xml:space="preserve">RETURN_COM_EQY</t>
  </si>
  <si>
    <t xml:space="preserve">LTM</t>
  </si>
  <si>
    <t xml:space="preserve">ROIC %</t>
  </si>
  <si>
    <t xml:space="preserve">IQ_RETURN_CAPITAL</t>
  </si>
  <si>
    <t xml:space="preserve">RETURN_ON_CAP</t>
  </si>
  <si>
    <r>
      <rPr>
        <sz val="9"/>
        <rFont val="Arial"/>
        <family val="0"/>
        <charset val="1"/>
      </rPr>
      <t xml:space="preserve">CIQ 'Return on Capital' ≈ ROIC; </t>
    </r>
    <r>
      <rPr>
        <sz val="9"/>
        <rFont val="WenQuanYi Zen Hei"/>
        <family val="2"/>
      </rPr>
      <t xml:space="preserve">세후 기준 확인</t>
    </r>
  </si>
  <si>
    <t xml:space="preserve">IQ_TOTAL_REV_1YR_ANN_GROWTH</t>
  </si>
  <si>
    <t xml:space="preserve">SALES_GROWTH</t>
  </si>
  <si>
    <t xml:space="preserve">IQ_EPS_1YR_ANN_GROWTH</t>
  </si>
  <si>
    <t xml:space="preserve">EPS_GROWTH</t>
  </si>
  <si>
    <t xml:space="preserve">IQ_DIVIDEND_YIELD</t>
  </si>
  <si>
    <t xml:space="preserve">EQY_DVD_YLD_IND</t>
  </si>
  <si>
    <t xml:space="preserve">Net debt</t>
  </si>
  <si>
    <t xml:space="preserve">IQ_NET_DEBT</t>
  </si>
  <si>
    <t xml:space="preserve">NET_DEBT</t>
  </si>
  <si>
    <r>
      <rPr>
        <sz val="9"/>
        <rFont val="Arial"/>
        <family val="0"/>
        <charset val="1"/>
      </rPr>
      <t xml:space="preserve">KRW; </t>
    </r>
    <r>
      <rPr>
        <sz val="9"/>
        <rFont val="WenQuanYi Zen Hei"/>
        <family val="2"/>
      </rPr>
      <t xml:space="preserve">억 환산 필요</t>
    </r>
  </si>
  <si>
    <t xml:space="preserve">Market cap</t>
  </si>
  <si>
    <t xml:space="preserve">IQ_MARKETCAP</t>
  </si>
  <si>
    <t xml:space="preserve">CUR_MKT_CAP</t>
  </si>
  <si>
    <t xml:space="preserve">검증용</t>
  </si>
  <si>
    <t xml:space="preserve">Avg daily value 3M</t>
  </si>
  <si>
    <r>
      <rPr>
        <sz val="9"/>
        <rFont val="Arial"/>
        <family val="0"/>
        <charset val="1"/>
      </rPr>
      <t xml:space="preserve">IQ_AVG_DAILY_VALUE_3MO (</t>
    </r>
    <r>
      <rPr>
        <sz val="9"/>
        <rFont val="WenQuanYi Zen Hei"/>
        <family val="2"/>
      </rPr>
      <t xml:space="preserve">확인</t>
    </r>
    <r>
      <rPr>
        <sz val="9"/>
        <rFont val="Arial"/>
        <family val="0"/>
        <charset val="1"/>
      </rPr>
      <t xml:space="preserve">)</t>
    </r>
  </si>
  <si>
    <t xml:space="preserve">TURNOVER (or AVERAGE_VOLUME_30D*PX)</t>
  </si>
  <si>
    <r>
      <rPr>
        <sz val="9"/>
        <rFont val="Arial"/>
        <family val="0"/>
        <charset val="1"/>
      </rPr>
      <t xml:space="preserve">ADV </t>
    </r>
    <r>
      <rPr>
        <sz val="9"/>
        <rFont val="WenQuanYi Zen Hei"/>
        <family val="2"/>
      </rPr>
      <t xml:space="preserve">교차검증</t>
    </r>
  </si>
  <si>
    <t xml:space="preserve">Treasury shares %</t>
  </si>
  <si>
    <r>
      <rPr>
        <sz val="9"/>
        <rFont val="Arial"/>
        <family val="0"/>
        <charset val="1"/>
      </rPr>
      <t xml:space="preserve">IQ_TREASURY_STOCK / IQ_TOTAL_SHARES (</t>
    </r>
    <r>
      <rPr>
        <sz val="9"/>
        <rFont val="WenQuanYi Zen Hei"/>
        <family val="2"/>
      </rPr>
      <t xml:space="preserve">확인</t>
    </r>
    <r>
      <rPr>
        <sz val="9"/>
        <rFont val="Arial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</si>
  <si>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자사주 소각 </t>
    </r>
    <r>
      <rPr>
        <sz val="9"/>
        <rFont val="Arial"/>
        <family val="0"/>
        <charset val="1"/>
      </rPr>
      <t xml:space="preserve">basket</t>
    </r>
    <r>
      <rPr>
        <sz val="9"/>
        <rFont val="WenQuanYi Zen Hei"/>
        <family val="2"/>
      </rPr>
      <t xml:space="preserve">용</t>
    </r>
  </si>
  <si>
    <r>
      <rPr>
        <sz val="9"/>
        <rFont val="Arial"/>
        <family val="0"/>
        <charset val="1"/>
      </rPr>
      <t xml:space="preserve">Screen (</t>
    </r>
    <r>
      <rPr>
        <sz val="9"/>
        <rFont val="WenQuanYi Zen Hei"/>
        <family val="2"/>
      </rPr>
      <t xml:space="preserve">권장</t>
    </r>
    <r>
      <rPr>
        <sz val="9"/>
        <rFont val="Arial"/>
        <family val="0"/>
        <charset val="1"/>
      </rPr>
      <t xml:space="preserve">)</t>
    </r>
  </si>
  <si>
    <t xml:space="preserve">CIQ Screening: Country=Korea, Exchange=KOSE/KOSDAQ, Mkt cap ≥ KRW 300bn, 3M avg daily value ≥ KRW 1.67bn</t>
  </si>
  <si>
    <r>
      <rPr>
        <sz val="9"/>
        <rFont val="WenQuanYi Zen Hei"/>
        <family val="2"/>
      </rPr>
      <t xml:space="preserve">본 </t>
    </r>
    <r>
      <rPr>
        <sz val="9"/>
        <rFont val="Arial"/>
        <family val="0"/>
        <charset val="1"/>
      </rPr>
      <t xml:space="preserve">Universe </t>
    </r>
    <r>
      <rPr>
        <sz val="9"/>
        <rFont val="WenQuanYi Zen Hei"/>
        <family val="2"/>
      </rPr>
      <t xml:space="preserve">재현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</si>
</sst>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%;\(0.0%\);\-"/>
    <numFmt numFmtId="167" formatCode="#,##0.0;\(#,##0.0\);\-"/>
    <numFmt numFmtId="168" formatCode="0.00%"/>
    <numFmt numFmtId="169" formatCode="0.0\x"/>
    <numFmt numFmtId="170" formatCode="0%"/>
    <numFmt numFmtId="171" formatCode="0.00\x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9"/>
      <name val="Arial"/>
      <family val="0"/>
      <charset val="1"/>
    </font>
    <font>
      <sz val="9"/>
      <name val="WenQuanYi Zen Hei"/>
      <family val="2"/>
    </font>
    <font>
      <b val="true"/>
      <sz val="9"/>
      <name val="Arial"/>
      <family val="0"/>
      <charset val="1"/>
    </font>
    <font>
      <b val="true"/>
      <sz val="9"/>
      <name val="WenQuanYi Zen Hei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FFFFFF"/>
      <name val="WenQuanYi Zen Hei"/>
      <family val="2"/>
    </font>
    <font>
      <i val="true"/>
      <sz val="8"/>
      <name val="Arial"/>
      <family val="0"/>
      <charset val="1"/>
    </font>
    <font>
      <i val="true"/>
      <sz val="8"/>
      <name val="WenQuanYi Zen Hei"/>
      <family val="2"/>
    </font>
    <font>
      <b val="true"/>
      <sz val="13"/>
      <name val="WenQuanYi Zen Hei"/>
      <family val="2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sz val="10"/>
      <name val="WenQuanYi Zen Hei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4" t="s">
        <v>10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3" t="s">
        <v>18</v>
      </c>
    </row>
    <row r="24" customFormat="false" ht="15" hidden="false" customHeight="false" outlineLevel="0" collapsed="false">
      <c r="A24" s="2" t="s">
        <v>19</v>
      </c>
    </row>
    <row r="25" customFormat="false" ht="15" hidden="false" customHeight="false" outlineLevel="0" collapsed="false">
      <c r="A25" s="2" t="s">
        <v>20</v>
      </c>
    </row>
    <row r="26" customFormat="false" ht="15" hidden="false" customHeight="false" outlineLevel="0" collapsed="false">
      <c r="A26" s="2" t="s">
        <v>21</v>
      </c>
    </row>
    <row r="27" customFormat="false" ht="15" hidden="false" customHeight="false" outlineLevel="0" collapsed="false">
      <c r="A27" s="2" t="s">
        <v>22</v>
      </c>
    </row>
    <row r="28" customFormat="false" ht="15" hidden="false" customHeight="false" outlineLevel="0" collapsed="false">
      <c r="A28" s="2" t="s">
        <v>23</v>
      </c>
    </row>
    <row r="29" customFormat="false" ht="15" hidden="false" customHeight="false" outlineLevel="0" collapsed="false">
      <c r="A29" s="2" t="s">
        <v>24</v>
      </c>
    </row>
    <row r="30" customFormat="false" ht="15" hidden="false" customHeight="false" outlineLevel="0" collapsed="false">
      <c r="A30" s="2" t="s">
        <v>25</v>
      </c>
    </row>
    <row r="31" customFormat="false" ht="15" hidden="false" customHeight="false" outlineLevel="0" collapsed="false">
      <c r="A31" s="2" t="s">
        <v>26</v>
      </c>
    </row>
    <row r="32" customFormat="false" ht="15" hidden="false" customHeight="false" outlineLevel="0" collapsed="false">
      <c r="A32" s="2" t="s">
        <v>27</v>
      </c>
    </row>
    <row r="33" customFormat="false" ht="15" hidden="false" customHeight="false" outlineLevel="0" collapsed="false">
      <c r="A33" s="2"/>
    </row>
    <row r="34" customFormat="false" ht="15" hidden="false" customHeight="false" outlineLevel="0" collapsed="false">
      <c r="A34" s="3" t="s">
        <v>28</v>
      </c>
    </row>
    <row r="35" customFormat="false" ht="15" hidden="false" customHeight="false" outlineLevel="0" collapsed="false">
      <c r="A35" s="2" t="s">
        <v>29</v>
      </c>
    </row>
    <row r="36" customFormat="false" ht="15" hidden="false" customHeight="false" outlineLevel="0" collapsed="false">
      <c r="A36" s="2" t="s">
        <v>30</v>
      </c>
    </row>
    <row r="37" customFormat="false" ht="15" hidden="false" customHeight="false" outlineLevel="0" collapsed="false">
      <c r="A37" s="2" t="s">
        <v>31</v>
      </c>
    </row>
    <row r="38" customFormat="false" ht="15" hidden="false" customHeight="false" outlineLevel="0" collapsed="false">
      <c r="A38" s="2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6" min="4" style="0" width="13"/>
    <col collapsed="false" customWidth="true" hidden="false" outlineLevel="0" max="10" min="7" style="0" width="11"/>
    <col collapsed="false" customWidth="true" hidden="false" outlineLevel="0" max="12" min="11" style="0" width="12"/>
    <col collapsed="false" customWidth="true" hidden="false" outlineLevel="0" max="13" min="13" style="0" width="11"/>
    <col collapsed="false" customWidth="true" hidden="false" outlineLevel="0" max="14" min="14" style="0" width="10"/>
    <col collapsed="false" customWidth="true" hidden="false" outlineLevel="0" max="15" min="15" style="0" width="12"/>
    <col collapsed="false" customWidth="true" hidden="false" outlineLevel="0" max="20" min="16" style="0" width="10"/>
  </cols>
  <sheetData>
    <row r="1" customFormat="false" ht="16.15" hidden="false" customHeight="false" outlineLevel="0" collapsed="false">
      <c r="A1" s="5" t="s">
        <v>33</v>
      </c>
    </row>
    <row r="2" customFormat="false" ht="15" hidden="false" customHeight="false" outlineLevel="0" collapsed="false">
      <c r="A2" s="6" t="s">
        <v>34</v>
      </c>
    </row>
    <row r="4" customFormat="false" ht="39.75" hidden="false" customHeight="true" outlineLevel="0" collapsed="false">
      <c r="A4" s="7" t="s">
        <v>35</v>
      </c>
      <c r="B4" s="7" t="s">
        <v>36</v>
      </c>
      <c r="C4" s="7" t="s">
        <v>37</v>
      </c>
      <c r="D4" s="7" t="s">
        <v>38</v>
      </c>
      <c r="E4" s="7" t="s">
        <v>39</v>
      </c>
      <c r="F4" s="7" t="s">
        <v>40</v>
      </c>
      <c r="G4" s="7" t="s">
        <v>41</v>
      </c>
      <c r="H4" s="7" t="s">
        <v>42</v>
      </c>
      <c r="I4" s="7" t="s">
        <v>43</v>
      </c>
      <c r="J4" s="7" t="s">
        <v>44</v>
      </c>
      <c r="K4" s="7" t="s">
        <v>45</v>
      </c>
      <c r="L4" s="7" t="s">
        <v>46</v>
      </c>
      <c r="M4" s="7" t="s">
        <v>47</v>
      </c>
      <c r="N4" s="7" t="s">
        <v>48</v>
      </c>
      <c r="O4" s="7" t="s">
        <v>49</v>
      </c>
      <c r="P4" s="7" t="s">
        <v>50</v>
      </c>
      <c r="Q4" s="7" t="s">
        <v>51</v>
      </c>
      <c r="R4" s="7" t="s">
        <v>52</v>
      </c>
      <c r="S4" s="7" t="s">
        <v>53</v>
      </c>
      <c r="T4" s="7" t="s">
        <v>54</v>
      </c>
    </row>
    <row r="5" customFormat="false" ht="15" hidden="false" customHeight="false" outlineLevel="0" collapsed="false">
      <c r="A5" s="8" t="s">
        <v>55</v>
      </c>
      <c r="B5" s="9" t="n">
        <f aca="false">COUNTIFS(Universe!$G$4:$G$495,"A1 Core Liquid")</f>
        <v>221</v>
      </c>
      <c r="C5" s="10" t="n">
        <f aca="false">B5/$B$9</f>
        <v>0.449186991869919</v>
      </c>
      <c r="D5" s="9" t="n">
        <f aca="false">IFERROR(AVERAGEIFS(Universe!$N$4:$N$495,Universe!$G$4:$G$495,"A1 Core Liquid"),"n/a")</f>
        <v>240481.610178371</v>
      </c>
      <c r="E5" s="11" t="n">
        <f aca="false">IFERROR(AVERAGEIFS(Universe!$P$4:$P$495,Universe!$G$4:$G$495,"A1 Core Liquid"),"n/a")</f>
        <v>1199.43028107173</v>
      </c>
      <c r="F5" s="12" t="n">
        <f aca="false">IFERROR(AVERAGEIFS(Universe!$S$4:$S$495,Universe!$G$4:$G$495,"A1 Core Liquid"),"n/a")</f>
        <v>0.0125362895803285</v>
      </c>
      <c r="G5" s="10" t="n">
        <f aca="false">IFERROR(AVERAGEIFS(Universe!$T$4:$T$495,Universe!$G$4:$G$495,"A1 Core Liquid"),"n/a")</f>
        <v>0.901586551014643</v>
      </c>
      <c r="H5" s="10" t="n">
        <f aca="false">IFERROR(AVERAGEIFS(Universe!$Z$4:$Z$495,Universe!$G$4:$G$495,"A1 Core Liquid"),"n/a")</f>
        <v>0.417189767528766</v>
      </c>
      <c r="I5" s="10" t="n">
        <f aca="false">IFERROR(AVERAGEIFS(Universe!$W$4:$W$495,Universe!$G$4:$G$495,"A1 Core Liquid"),"n/a")</f>
        <v>0.0228158579558704</v>
      </c>
      <c r="J5" s="9" t="n">
        <f aca="false">COUNTIFS(Universe!$G$4:$G$495,"A1 Core Liquid",Universe!$I$4:$I$495,"Y")</f>
        <v>63</v>
      </c>
      <c r="K5" s="9" t="n">
        <f aca="false">COUNTIFS(Universe!$G$4:$G$495,"A1 Core Liquid",Universe!$AE$4:$AE$495,"&gt;="&amp;Params!$B$9)</f>
        <v>221</v>
      </c>
      <c r="L5" s="9" t="n">
        <f aca="false">COUNTIFS(Universe!$G$4:$G$495,"A1 Core Liquid",Universe!$AF$4:$AF$495,"&gt;="&amp;Params!$B$9)</f>
        <v>221</v>
      </c>
      <c r="M5" s="13" t="str">
        <f aca="false">IFERROR(AVERAGEIFS(Universe!$AL$4:$AL$495,Universe!$G$4:$G$495,"A1 Core Liquid"),"n/a")</f>
        <v>n/a</v>
      </c>
      <c r="N5" s="13" t="str">
        <f aca="false">IFERROR(AVERAGEIFS(Universe!$AN$4:$AN$495,Universe!$G$4:$G$495,"A1 Core Liquid"),"n/a")</f>
        <v>n/a</v>
      </c>
      <c r="O5" s="13" t="str">
        <f aca="false">IFERROR(AVERAGEIFS(Universe!$AO$4:$AO$495,Universe!$G$4:$G$495,"A1 Core Liquid"),"n/a")</f>
        <v>n/a</v>
      </c>
      <c r="P5" s="11" t="str">
        <f aca="false">IFERROR(AVERAGEIFS(Universe!$AP$4:$AP$495,Universe!$G$4:$G$495,"A1 Core Liquid"),"n/a")</f>
        <v>n/a</v>
      </c>
      <c r="Q5" s="11" t="str">
        <f aca="false">IFERROR(AVERAGEIFS(Universe!$AQ$4:$AQ$495,Universe!$G$4:$G$495,"A1 Core Liquid"),"n/a")</f>
        <v>n/a</v>
      </c>
      <c r="R5" s="11" t="str">
        <f aca="false">IFERROR(AVERAGEIFS(Universe!$AR$4:$AR$495,Universe!$G$4:$G$495,"A1 Core Liquid"),"n/a")</f>
        <v>n/a</v>
      </c>
      <c r="S5" s="11" t="str">
        <f aca="false">IFERROR(AVERAGEIFS(Universe!$AS$4:$AS$495,Universe!$G$4:$G$495,"A1 Core Liquid"),"n/a")</f>
        <v>n/a</v>
      </c>
      <c r="T5" s="11" t="str">
        <f aca="false">IFERROR(AVERAGEIFS(Universe!$AT$4:$AT$495,Universe!$G$4:$G$495,"A1 Core Liquid"),"n/a")</f>
        <v>n/a</v>
      </c>
    </row>
    <row r="6" customFormat="false" ht="15" hidden="false" customHeight="false" outlineLevel="0" collapsed="false">
      <c r="A6" s="8" t="s">
        <v>56</v>
      </c>
      <c r="B6" s="9" t="n">
        <f aca="false">COUNTIFS(Universe!$G$4:$G$495,"A2 Core Liquid (500억 book)")</f>
        <v>61</v>
      </c>
      <c r="C6" s="10" t="n">
        <f aca="false">B6/$B$9</f>
        <v>0.123983739837398</v>
      </c>
      <c r="D6" s="9" t="n">
        <f aca="false">IFERROR(AVERAGEIFS(Universe!$N$4:$N$495,Universe!$G$4:$G$495,"A2 Core Liquid (500억 book)"),"n/a")</f>
        <v>16303.0757839213</v>
      </c>
      <c r="E6" s="11" t="n">
        <f aca="false">IFERROR(AVERAGEIFS(Universe!$P$4:$P$495,Universe!$G$4:$G$495,"A2 Core Liquid (500억 book)"),"n/a")</f>
        <v>77.2801816879508</v>
      </c>
      <c r="F6" s="12" t="n">
        <f aca="false">IFERROR(AVERAGEIFS(Universe!$S$4:$S$495,Universe!$G$4:$G$495,"A2 Core Liquid (500억 book)"),"n/a")</f>
        <v>0.00643128217903631</v>
      </c>
      <c r="G6" s="10" t="n">
        <f aca="false">IFERROR(AVERAGEIFS(Universe!$T$4:$T$495,Universe!$G$4:$G$495,"A2 Core Liquid (500억 book)"),"n/a")</f>
        <v>0.822769481073175</v>
      </c>
      <c r="H6" s="10" t="n">
        <f aca="false">IFERROR(AVERAGEIFS(Universe!$Z$4:$Z$495,Universe!$G$4:$G$495,"A2 Core Liquid (500억 book)"),"n/a")</f>
        <v>0.0868634372598955</v>
      </c>
      <c r="I6" s="10" t="n">
        <f aca="false">IFERROR(AVERAGEIFS(Universe!$W$4:$W$495,Universe!$G$4:$G$495,"A2 Core Liquid (500억 book)"),"n/a")</f>
        <v>0.0118168192420655</v>
      </c>
      <c r="J6" s="9" t="n">
        <f aca="false">COUNTIFS(Universe!$G$4:$G$495,"A2 Core Liquid (500억 book)",Universe!$I$4:$I$495,"Y")</f>
        <v>7</v>
      </c>
      <c r="K6" s="9" t="n">
        <f aca="false">COUNTIFS(Universe!$G$4:$G$495,"A2 Core Liquid (500억 book)",Universe!$AE$4:$AE$495,"&gt;="&amp;Params!$B$9)</f>
        <v>61</v>
      </c>
      <c r="L6" s="9" t="n">
        <f aca="false">COUNTIFS(Universe!$G$4:$G$495,"A2 Core Liquid (500억 book)",Universe!$AF$4:$AF$495,"&gt;="&amp;Params!$B$9)</f>
        <v>0</v>
      </c>
      <c r="M6" s="13" t="str">
        <f aca="false">IFERROR(AVERAGEIFS(Universe!$AL$4:$AL$495,Universe!$G$4:$G$495,"A2 Core Liquid (500억 book)"),"n/a")</f>
        <v>n/a</v>
      </c>
      <c r="N6" s="13" t="str">
        <f aca="false">IFERROR(AVERAGEIFS(Universe!$AN$4:$AN$495,Universe!$G$4:$G$495,"A2 Core Liquid (500억 book)"),"n/a")</f>
        <v>n/a</v>
      </c>
      <c r="O6" s="13" t="str">
        <f aca="false">IFERROR(AVERAGEIFS(Universe!$AO$4:$AO$495,Universe!$G$4:$G$495,"A2 Core Liquid (500억 book)"),"n/a")</f>
        <v>n/a</v>
      </c>
      <c r="P6" s="11" t="str">
        <f aca="false">IFERROR(AVERAGEIFS(Universe!$AP$4:$AP$495,Universe!$G$4:$G$495,"A2 Core Liquid (500억 book)"),"n/a")</f>
        <v>n/a</v>
      </c>
      <c r="Q6" s="11" t="str">
        <f aca="false">IFERROR(AVERAGEIFS(Universe!$AQ$4:$AQ$495,Universe!$G$4:$G$495,"A2 Core Liquid (500억 book)"),"n/a")</f>
        <v>n/a</v>
      </c>
      <c r="R6" s="11" t="str">
        <f aca="false">IFERROR(AVERAGEIFS(Universe!$AR$4:$AR$495,Universe!$G$4:$G$495,"A2 Core Liquid (500억 book)"),"n/a")</f>
        <v>n/a</v>
      </c>
      <c r="S6" s="11" t="str">
        <f aca="false">IFERROR(AVERAGEIFS(Universe!$AS$4:$AS$495,Universe!$G$4:$G$495,"A2 Core Liquid (500억 book)"),"n/a")</f>
        <v>n/a</v>
      </c>
      <c r="T6" s="11" t="str">
        <f aca="false">IFERROR(AVERAGEIFS(Universe!$AT$4:$AT$495,Universe!$G$4:$G$495,"A2 Core Liquid (500억 book)"),"n/a")</f>
        <v>n/a</v>
      </c>
    </row>
    <row r="7" customFormat="false" ht="15" hidden="false" customHeight="false" outlineLevel="0" collapsed="false">
      <c r="A7" s="8" t="s">
        <v>57</v>
      </c>
      <c r="B7" s="9" t="n">
        <f aca="false">COUNTIFS(Universe!$G$4:$G$495,"A3 Large-cap Illiquid")</f>
        <v>72</v>
      </c>
      <c r="C7" s="10" t="n">
        <f aca="false">B7/$B$9</f>
        <v>0.146341463414634</v>
      </c>
      <c r="D7" s="9" t="n">
        <f aca="false">IFERROR(AVERAGEIFS(Universe!$N$4:$N$495,Universe!$G$4:$G$495,"A3 Large-cap Illiquid"),"n/a")</f>
        <v>14522.7406737264</v>
      </c>
      <c r="E7" s="11" t="n">
        <f aca="false">IFERROR(AVERAGEIFS(Universe!$P$4:$P$495,Universe!$G$4:$G$495,"A3 Large-cap Illiquid"),"n/a")</f>
        <v>36.2277355044375</v>
      </c>
      <c r="F7" s="12" t="n">
        <f aca="false">IFERROR(AVERAGEIFS(Universe!$S$4:$S$495,Universe!$G$4:$G$495,"A3 Large-cap Illiquid"),"n/a")</f>
        <v>0.00311201741075262</v>
      </c>
      <c r="G7" s="10" t="n">
        <f aca="false">IFERROR(AVERAGEIFS(Universe!$T$4:$T$495,Universe!$G$4:$G$495,"A3 Large-cap Illiquid"),"n/a")</f>
        <v>0.62896187739973</v>
      </c>
      <c r="H7" s="10" t="n">
        <f aca="false">IFERROR(AVERAGEIFS(Universe!$Z$4:$Z$495,Universe!$G$4:$G$495,"A3 Large-cap Illiquid"),"n/a")</f>
        <v>-0.0446852765876819</v>
      </c>
      <c r="I7" s="10" t="n">
        <f aca="false">IFERROR(AVERAGEIFS(Universe!$W$4:$W$495,Universe!$G$4:$G$495,"A3 Large-cap Illiquid"),"n/a")</f>
        <v>0.00977404571382872</v>
      </c>
      <c r="J7" s="9" t="n">
        <f aca="false">COUNTIFS(Universe!$G$4:$G$495,"A3 Large-cap Illiquid",Universe!$I$4:$I$495,"Y")</f>
        <v>13</v>
      </c>
      <c r="K7" s="9" t="n">
        <f aca="false">COUNTIFS(Universe!$G$4:$G$495,"A3 Large-cap Illiquid",Universe!$AE$4:$AE$495,"&gt;="&amp;Params!$B$9)</f>
        <v>0</v>
      </c>
      <c r="L7" s="9" t="n">
        <f aca="false">COUNTIFS(Universe!$G$4:$G$495,"A3 Large-cap Illiquid",Universe!$AF$4:$AF$495,"&gt;="&amp;Params!$B$9)</f>
        <v>0</v>
      </c>
      <c r="M7" s="13" t="str">
        <f aca="false">IFERROR(AVERAGEIFS(Universe!$AL$4:$AL$495,Universe!$G$4:$G$495,"A3 Large-cap Illiquid"),"n/a")</f>
        <v>n/a</v>
      </c>
      <c r="N7" s="13" t="str">
        <f aca="false">IFERROR(AVERAGEIFS(Universe!$AN$4:$AN$495,Universe!$G$4:$G$495,"A3 Large-cap Illiquid"),"n/a")</f>
        <v>n/a</v>
      </c>
      <c r="O7" s="13" t="str">
        <f aca="false">IFERROR(AVERAGEIFS(Universe!$AO$4:$AO$495,Universe!$G$4:$G$495,"A3 Large-cap Illiquid"),"n/a")</f>
        <v>n/a</v>
      </c>
      <c r="P7" s="11" t="str">
        <f aca="false">IFERROR(AVERAGEIFS(Universe!$AP$4:$AP$495,Universe!$G$4:$G$495,"A3 Large-cap Illiquid"),"n/a")</f>
        <v>n/a</v>
      </c>
      <c r="Q7" s="11" t="str">
        <f aca="false">IFERROR(AVERAGEIFS(Universe!$AQ$4:$AQ$495,Universe!$G$4:$G$495,"A3 Large-cap Illiquid"),"n/a")</f>
        <v>n/a</v>
      </c>
      <c r="R7" s="11" t="str">
        <f aca="false">IFERROR(AVERAGEIFS(Universe!$AR$4:$AR$495,Universe!$G$4:$G$495,"A3 Large-cap Illiquid"),"n/a")</f>
        <v>n/a</v>
      </c>
      <c r="S7" s="11" t="str">
        <f aca="false">IFERROR(AVERAGEIFS(Universe!$AS$4:$AS$495,Universe!$G$4:$G$495,"A3 Large-cap Illiquid"),"n/a")</f>
        <v>n/a</v>
      </c>
      <c r="T7" s="11" t="str">
        <f aca="false">IFERROR(AVERAGEIFS(Universe!$AT$4:$AT$495,Universe!$G$4:$G$495,"A3 Large-cap Illiquid"),"n/a")</f>
        <v>n/a</v>
      </c>
    </row>
    <row r="8" customFormat="false" ht="15" hidden="false" customHeight="false" outlineLevel="0" collapsed="false">
      <c r="A8" s="8" t="s">
        <v>58</v>
      </c>
      <c r="B8" s="9" t="n">
        <f aca="false">COUNTIFS(Universe!$G$4:$G$495,"B Mid-cap Alpha (7% bucket)")</f>
        <v>138</v>
      </c>
      <c r="C8" s="10" t="n">
        <f aca="false">B8/$B$9</f>
        <v>0.280487804878049</v>
      </c>
      <c r="D8" s="9" t="n">
        <f aca="false">IFERROR(AVERAGEIFS(Universe!$N$4:$N$495,Universe!$G$4:$G$495,"B Mid-cap Alpha (7% bucket)"),"n/a")</f>
        <v>4658.76206710913</v>
      </c>
      <c r="E8" s="11" t="n">
        <f aca="false">IFERROR(AVERAGEIFS(Universe!$P$4:$P$495,Universe!$G$4:$G$495,"B Mid-cap Alpha (7% bucket)"),"n/a")</f>
        <v>94.9391824551612</v>
      </c>
      <c r="F8" s="12" t="n">
        <f aca="false">IFERROR(AVERAGEIFS(Universe!$S$4:$S$495,Universe!$G$4:$G$495,"B Mid-cap Alpha (7% bucket)"),"n/a")</f>
        <v>0.0209714126511331</v>
      </c>
      <c r="G8" s="10" t="n">
        <f aca="false">IFERROR(AVERAGEIFS(Universe!$T$4:$T$495,Universe!$G$4:$G$495,"B Mid-cap Alpha (7% bucket)"),"n/a")</f>
        <v>0.965110262956796</v>
      </c>
      <c r="H8" s="10" t="n">
        <f aca="false">IFERROR(AVERAGEIFS(Universe!$Z$4:$Z$495,Universe!$G$4:$G$495,"B Mid-cap Alpha (7% bucket)"),"n/a")</f>
        <v>0.114999920030413</v>
      </c>
      <c r="I8" s="10" t="n">
        <f aca="false">IFERROR(AVERAGEIFS(Universe!$W$4:$W$495,Universe!$G$4:$G$495,"B Mid-cap Alpha (7% bucket)"),"n/a")</f>
        <v>0.0160314212149029</v>
      </c>
      <c r="J8" s="9" t="n">
        <f aca="false">COUNTIFS(Universe!$G$4:$G$495,"B Mid-cap Alpha (7% bucket)",Universe!$I$4:$I$495,"Y")</f>
        <v>24</v>
      </c>
      <c r="K8" s="9" t="n">
        <f aca="false">COUNTIFS(Universe!$G$4:$G$495,"B Mid-cap Alpha (7% bucket)",Universe!$AE$4:$AE$495,"&gt;="&amp;Params!$B$9)</f>
        <v>47</v>
      </c>
      <c r="L8" s="9" t="n">
        <f aca="false">COUNTIFS(Universe!$G$4:$G$495,"B Mid-cap Alpha (7% bucket)",Universe!$AF$4:$AF$495,"&gt;="&amp;Params!$B$9)</f>
        <v>21</v>
      </c>
      <c r="M8" s="13" t="str">
        <f aca="false">IFERROR(AVERAGEIFS(Universe!$AL$4:$AL$495,Universe!$G$4:$G$495,"B Mid-cap Alpha (7% bucket)"),"n/a")</f>
        <v>n/a</v>
      </c>
      <c r="N8" s="13" t="str">
        <f aca="false">IFERROR(AVERAGEIFS(Universe!$AN$4:$AN$495,Universe!$G$4:$G$495,"B Mid-cap Alpha (7% bucket)"),"n/a")</f>
        <v>n/a</v>
      </c>
      <c r="O8" s="13" t="str">
        <f aca="false">IFERROR(AVERAGEIFS(Universe!$AO$4:$AO$495,Universe!$G$4:$G$495,"B Mid-cap Alpha (7% bucket)"),"n/a")</f>
        <v>n/a</v>
      </c>
      <c r="P8" s="11" t="str">
        <f aca="false">IFERROR(AVERAGEIFS(Universe!$AP$4:$AP$495,Universe!$G$4:$G$495,"B Mid-cap Alpha (7% bucket)"),"n/a")</f>
        <v>n/a</v>
      </c>
      <c r="Q8" s="11" t="str">
        <f aca="false">IFERROR(AVERAGEIFS(Universe!$AQ$4:$AQ$495,Universe!$G$4:$G$495,"B Mid-cap Alpha (7% bucket)"),"n/a")</f>
        <v>n/a</v>
      </c>
      <c r="R8" s="11" t="str">
        <f aca="false">IFERROR(AVERAGEIFS(Universe!$AR$4:$AR$495,Universe!$G$4:$G$495,"B Mid-cap Alpha (7% bucket)"),"n/a")</f>
        <v>n/a</v>
      </c>
      <c r="S8" s="11" t="str">
        <f aca="false">IFERROR(AVERAGEIFS(Universe!$AS$4:$AS$495,Universe!$G$4:$G$495,"B Mid-cap Alpha (7% bucket)"),"n/a")</f>
        <v>n/a</v>
      </c>
      <c r="T8" s="11" t="str">
        <f aca="false">IFERROR(AVERAGEIFS(Universe!$AT$4:$AT$495,Universe!$G$4:$G$495,"B Mid-cap Alpha (7% bucket)"),"n/a")</f>
        <v>n/a</v>
      </c>
    </row>
    <row r="9" customFormat="false" ht="15" hidden="false" customHeight="false" outlineLevel="0" collapsed="false">
      <c r="A9" s="14" t="s">
        <v>59</v>
      </c>
      <c r="B9" s="9" t="n">
        <f aca="false">COUNTIFS(Universe!$G$4:$G$495,"*")</f>
        <v>492</v>
      </c>
      <c r="C9" s="10" t="n">
        <f aca="false">B9/$B$9</f>
        <v>1</v>
      </c>
      <c r="D9" s="9" t="n">
        <f aca="false">IFERROR(AVERAGEIFS(Universe!$N$4:$N$495,Universe!$G$4:$G$495,"*"),"n/a")</f>
        <v>113474.532451237</v>
      </c>
      <c r="E9" s="11" t="n">
        <f aca="false">IFERROR(AVERAGEIFS(Universe!$P$4:$P$495,Universe!$G$4:$G$495,"*"),"n/a")</f>
        <v>580.280868566971</v>
      </c>
      <c r="F9" s="12" t="n">
        <f aca="false">IFERROR(AVERAGEIFS(Universe!$S$4:$S$495,Universe!$G$4:$G$495,"*"),"n/a")</f>
        <v>0.0127661553040739</v>
      </c>
      <c r="G9" s="10" t="n">
        <f aca="false">IFERROR(AVERAGEIFS(Universe!$T$4:$T$495,Universe!$G$4:$G$495,"*"),"n/a")</f>
        <v>0.869735848740891</v>
      </c>
      <c r="H9" s="10" t="n">
        <f aca="false">IFERROR(AVERAGEIFS(Universe!$Z$4:$Z$495,Universe!$G$4:$G$495,"*"),"n/a")</f>
        <v>0.224707911900539</v>
      </c>
      <c r="I9" s="10" t="n">
        <f aca="false">IFERROR(AVERAGEIFS(Universe!$W$4:$W$495,Universe!$G$4:$G$495,"*"),"n/a")</f>
        <v>0.0176333688201936</v>
      </c>
      <c r="J9" s="9" t="n">
        <f aca="false">COUNTIFS(Universe!$G$4:$G$495,"*",Universe!$I$4:$I$495,"Y")</f>
        <v>107</v>
      </c>
      <c r="K9" s="9" t="n">
        <f aca="false">COUNTIFS(Universe!$G$4:$G$495,"*",Universe!$AE$4:$AE$495,"&gt;="&amp;Params!$B$9)</f>
        <v>329</v>
      </c>
      <c r="L9" s="9" t="n">
        <f aca="false">COUNTIFS(Universe!$G$4:$G$495,"*",Universe!$AF$4:$AF$495,"&gt;="&amp;Params!$B$9)</f>
        <v>242</v>
      </c>
      <c r="M9" s="13" t="str">
        <f aca="false">IFERROR(AVERAGEIFS(Universe!$AL$4:$AL$495,Universe!$G$4:$G$495,"*"),"n/a")</f>
        <v>n/a</v>
      </c>
      <c r="N9" s="13" t="str">
        <f aca="false">IFERROR(AVERAGEIFS(Universe!$AN$4:$AN$495,Universe!$G$4:$G$495,"*"),"n/a")</f>
        <v>n/a</v>
      </c>
      <c r="O9" s="13" t="str">
        <f aca="false">IFERROR(AVERAGEIFS(Universe!$AO$4:$AO$495,Universe!$G$4:$G$495,"*"),"n/a")</f>
        <v>n/a</v>
      </c>
      <c r="P9" s="11" t="str">
        <f aca="false">IFERROR(AVERAGEIFS(Universe!$AP$4:$AP$495,Universe!$G$4:$G$495,"*"),"n/a")</f>
        <v>n/a</v>
      </c>
      <c r="Q9" s="11" t="str">
        <f aca="false">IFERROR(AVERAGEIFS(Universe!$AQ$4:$AQ$495,Universe!$G$4:$G$495,"*"),"n/a")</f>
        <v>n/a</v>
      </c>
      <c r="R9" s="11" t="str">
        <f aca="false">IFERROR(AVERAGEIFS(Universe!$AR$4:$AR$495,Universe!$G$4:$G$495,"*"),"n/a")</f>
        <v>n/a</v>
      </c>
      <c r="S9" s="11" t="str">
        <f aca="false">IFERROR(AVERAGEIFS(Universe!$AS$4:$AS$495,Universe!$G$4:$G$495,"*"),"n/a")</f>
        <v>n/a</v>
      </c>
      <c r="T9" s="11" t="str">
        <f aca="false">IFERROR(AVERAGEIFS(Universe!$AT$4:$AT$495,Universe!$G$4:$G$495,"*"),"n/a")</f>
        <v>n/a</v>
      </c>
    </row>
    <row r="11" customFormat="false" ht="15" hidden="false" customHeight="false" outlineLevel="0" collapsed="false">
      <c r="A11" s="14" t="s">
        <v>60</v>
      </c>
    </row>
    <row r="12" customFormat="false" ht="35.8" hidden="false" customHeight="false" outlineLevel="0" collapsed="false">
      <c r="A12" s="7" t="s">
        <v>61</v>
      </c>
      <c r="B12" s="7" t="s">
        <v>62</v>
      </c>
      <c r="C12" s="7" t="s">
        <v>63</v>
      </c>
      <c r="D12" s="7" t="s">
        <v>64</v>
      </c>
      <c r="E12" s="7" t="s">
        <v>65</v>
      </c>
    </row>
    <row r="13" customFormat="false" ht="15" hidden="false" customHeight="false" outlineLevel="0" collapsed="false">
      <c r="A13" s="15" t="s">
        <v>66</v>
      </c>
      <c r="B13" s="9" t="n">
        <v>387</v>
      </c>
      <c r="C13" s="9" t="n">
        <v>354</v>
      </c>
      <c r="D13" s="9" t="n">
        <v>31</v>
      </c>
      <c r="E13" s="9" t="n">
        <v>2</v>
      </c>
    </row>
    <row r="14" customFormat="false" ht="15" hidden="false" customHeight="false" outlineLevel="0" collapsed="false">
      <c r="A14" s="15" t="s">
        <v>67</v>
      </c>
      <c r="B14" s="9" t="n">
        <v>292</v>
      </c>
      <c r="C14" s="9" t="n">
        <v>138</v>
      </c>
      <c r="D14" s="9" t="n">
        <v>149</v>
      </c>
      <c r="E14" s="9" t="n">
        <v>5</v>
      </c>
    </row>
    <row r="15" customFormat="false" ht="15" hidden="false" customHeight="false" outlineLevel="0" collapsed="false">
      <c r="A15" s="15" t="s">
        <v>68</v>
      </c>
      <c r="B15" s="9" t="n">
        <v>2193</v>
      </c>
      <c r="C15" s="9" t="n">
        <v>0</v>
      </c>
      <c r="D15" s="9" t="n">
        <v>1809</v>
      </c>
      <c r="E15" s="9" t="n">
        <v>384</v>
      </c>
    </row>
    <row r="16" customFormat="false" ht="15" hidden="false" customHeight="false" outlineLevel="0" collapsed="false">
      <c r="A16" s="16" t="s">
        <v>59</v>
      </c>
      <c r="B16" s="16" t="n">
        <f aca="false">SUM(B13:B15)</f>
        <v>2872</v>
      </c>
      <c r="C16" s="16" t="n">
        <f aca="false">SUM(C13:C15)</f>
        <v>492</v>
      </c>
      <c r="D16" s="16" t="n">
        <f aca="false">SUM(D13:D15)</f>
        <v>1989</v>
      </c>
      <c r="E16" s="16" t="n">
        <f aca="false">SUM(E13:E15)</f>
        <v>391</v>
      </c>
    </row>
    <row r="17" customFormat="false" ht="15" hidden="false" customHeight="false" outlineLevel="0" collapsed="false">
      <c r="A17" s="17" t="s">
        <v>69</v>
      </c>
    </row>
    <row r="19" customFormat="false" ht="15" hidden="false" customHeight="false" outlineLevel="0" collapsed="false">
      <c r="A19" s="14" t="s">
        <v>70</v>
      </c>
    </row>
    <row r="20" customFormat="false" ht="15" hidden="false" customHeight="false" outlineLevel="0" collapsed="false">
      <c r="A20" s="7" t="s">
        <v>71</v>
      </c>
      <c r="B20" s="7" t="s">
        <v>63</v>
      </c>
      <c r="C20" s="7" t="s">
        <v>44</v>
      </c>
      <c r="D20" s="7" t="s">
        <v>38</v>
      </c>
      <c r="E20" s="7" t="s">
        <v>39</v>
      </c>
    </row>
    <row r="21" customFormat="false" ht="15" hidden="false" customHeight="false" outlineLevel="0" collapsed="false">
      <c r="A21" s="11" t="s">
        <v>72</v>
      </c>
      <c r="B21" s="9" t="n">
        <f aca="false">COUNTIFS(Universe!$C$4:$C$495,"KOSPI")</f>
        <v>273</v>
      </c>
      <c r="C21" s="9" t="n">
        <f aca="false">COUNTIFS(Universe!$C$4:$C$495,"KOSPI",Universe!$I$4:$I$495,"Y")</f>
        <v>78</v>
      </c>
      <c r="D21" s="9" t="n">
        <f aca="false">IFERROR(AVERAGEIFS(Universe!$N$4:$N$495,Universe!$C$4:$C$495,"KOSPI"),"n/a")</f>
        <v>193659.943383785</v>
      </c>
      <c r="E21" s="11" t="n">
        <f aca="false">IFERROR(AVERAGEIFS(Universe!$P$4:$P$495,Universe!$C$4:$C$495,"KOSPI"),"n/a")</f>
        <v>891.350623385144</v>
      </c>
    </row>
    <row r="22" customFormat="false" ht="15" hidden="false" customHeight="false" outlineLevel="0" collapsed="false">
      <c r="A22" s="11" t="s">
        <v>73</v>
      </c>
      <c r="B22" s="9" t="n">
        <f aca="false">COUNTIFS(Universe!$C$4:$C$495,"KOSDAQ")</f>
        <v>171</v>
      </c>
      <c r="C22" s="9" t="n">
        <f aca="false">COUNTIFS(Universe!$C$4:$C$495,"KOSDAQ",Universe!$I$4:$I$495,"Y")</f>
        <v>26</v>
      </c>
      <c r="D22" s="9" t="n">
        <f aca="false">IFERROR(AVERAGEIFS(Universe!$N$4:$N$495,Universe!$C$4:$C$495,"KOSDAQ"),"n/a")</f>
        <v>10254.1216347904</v>
      </c>
      <c r="E22" s="11" t="n">
        <f aca="false">IFERROR(AVERAGEIFS(Universe!$P$4:$P$495,Universe!$C$4:$C$495,"KOSDAQ"),"n/a")</f>
        <v>166.704722563469</v>
      </c>
    </row>
    <row r="23" customFormat="false" ht="15" hidden="false" customHeight="false" outlineLevel="0" collapsed="false">
      <c r="A23" s="11" t="s">
        <v>74</v>
      </c>
      <c r="B23" s="9" t="n">
        <f aca="false">COUNTIFS(Universe!$C$4:$C$495,"KOSDAQ GLOBAL")</f>
        <v>48</v>
      </c>
      <c r="C23" s="9" t="n">
        <f aca="false">COUNTIFS(Universe!$C$4:$C$495,"KOSDAQ GLOBAL",Universe!$I$4:$I$495,"Y")</f>
        <v>3</v>
      </c>
      <c r="D23" s="9" t="n">
        <f aca="false">IFERROR(AVERAGEIFS(Universe!$N$4:$N$495,Universe!$C$4:$C$495,"KOSDAQ GLOBAL"),"n/a")</f>
        <v>25142.7213059604</v>
      </c>
      <c r="E23" s="11" t="n">
        <f aca="false">IFERROR(AVERAGEIFS(Universe!$P$4:$P$495,Universe!$C$4:$C$495,"KOSDAQ GLOBAL"),"n/a")</f>
        <v>284.436658176094</v>
      </c>
    </row>
    <row r="25" customFormat="false" ht="15" hidden="false" customHeight="false" outlineLevel="0" collapsed="false">
      <c r="A25" s="14" t="s">
        <v>75</v>
      </c>
    </row>
    <row r="26" customFormat="false" ht="15" hidden="false" customHeight="false" outlineLevel="0" collapsed="false">
      <c r="A26" s="7" t="s">
        <v>76</v>
      </c>
      <c r="B26" s="7" t="s">
        <v>77</v>
      </c>
      <c r="C26" s="7" t="s">
        <v>78</v>
      </c>
    </row>
    <row r="27" customFormat="false" ht="15" hidden="false" customHeight="false" outlineLevel="0" collapsed="false">
      <c r="A27" s="8" t="s">
        <v>79</v>
      </c>
      <c r="B27" s="9" t="n">
        <f aca="false">Params!$B$4</f>
        <v>500</v>
      </c>
      <c r="C27" s="9" t="n">
        <f aca="false">Params!$B$5</f>
        <v>1000</v>
      </c>
    </row>
    <row r="28" customFormat="false" ht="15" hidden="false" customHeight="false" outlineLevel="0" collapsed="false">
      <c r="A28" s="8" t="s">
        <v>80</v>
      </c>
      <c r="B28" s="10" t="n">
        <f aca="false">Params!$B$9*Params!$B$4</f>
        <v>30</v>
      </c>
      <c r="C28" s="10" t="n">
        <f aca="false">Params!$B$9*Params!$B$5</f>
        <v>60</v>
      </c>
    </row>
    <row r="29" customFormat="false" ht="15" hidden="false" customHeight="false" outlineLevel="0" collapsed="false">
      <c r="A29" s="8" t="s">
        <v>81</v>
      </c>
      <c r="B29" s="9" t="n">
        <f aca="false">Params!$B$9*Params!$B$4/(Params!$B$6*Params!$B$7)</f>
        <v>50</v>
      </c>
      <c r="C29" s="9" t="n">
        <f aca="false">Params!$B$9*Params!$B$5/(Params!$B$6*Params!$B$7)</f>
        <v>100</v>
      </c>
    </row>
    <row r="30" customFormat="false" ht="15" hidden="false" customHeight="false" outlineLevel="0" collapsed="false">
      <c r="A30" s="8" t="s">
        <v>82</v>
      </c>
      <c r="B30" s="10" t="n">
        <f aca="false">COUNTIFS(Universe!$AE$4:$AE$495,"&gt;="&amp;Params!$B$9)</f>
        <v>329</v>
      </c>
      <c r="C30" s="10" t="n">
        <f aca="false">COUNTIFS(Universe!$AF$4:$AF$495,"&gt;="&amp;Params!$B$9)</f>
        <v>242</v>
      </c>
    </row>
    <row r="31" customFormat="false" ht="15" hidden="false" customHeight="false" outlineLevel="0" collapsed="false">
      <c r="A31" s="8" t="s">
        <v>83</v>
      </c>
      <c r="B31" s="10" t="n">
        <f aca="false">COUNTIFS(Universe!$AE$4:$AE$495,"&gt;="&amp;Params!$B$15)</f>
        <v>492</v>
      </c>
      <c r="C31" s="10" t="n">
        <f aca="false">COUNTIFS(Universe!$AF$4:$AF$495,"&gt;="&amp;Params!$B$15)</f>
        <v>394</v>
      </c>
    </row>
    <row r="32" customFormat="false" ht="15" hidden="false" customHeight="false" outlineLevel="0" collapsed="false">
      <c r="A32" s="8" t="s">
        <v>84</v>
      </c>
      <c r="B32" s="10" t="n">
        <f aca="false">COUNTIFS(Universe!$AJ$4:$AJ$495,"&gt;="&amp;Params!$B$9)</f>
        <v>242</v>
      </c>
      <c r="C32" s="10"/>
    </row>
    <row r="33" customFormat="false" ht="15" hidden="false" customHeight="false" outlineLevel="0" collapsed="false">
      <c r="A33" s="8" t="s">
        <v>85</v>
      </c>
      <c r="B33" s="18" t="n">
        <f aca="false">SUM(Universe!$AE$4:$AE$495)</f>
        <v>25.8325999856137</v>
      </c>
      <c r="C33" s="18" t="n">
        <f aca="false">SUM(Universe!$AF$4:$AF$495)</f>
        <v>21.2894667434421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4" min="4" style="0" width="22"/>
    <col collapsed="false" customWidth="true" hidden="false" outlineLevel="0" max="5" min="5" style="0" width="14"/>
    <col collapsed="false" customWidth="true" hidden="false" outlineLevel="0" max="6" min="6" style="0" width="50"/>
    <col collapsed="false" customWidth="true" hidden="false" outlineLevel="0" max="7" min="7" style="0" width="40"/>
    <col collapsed="false" customWidth="true" hidden="false" outlineLevel="0" max="12" min="8" style="0" width="10"/>
    <col collapsed="false" customWidth="true" hidden="false" outlineLevel="0" max="15" min="13" style="0" width="8"/>
    <col collapsed="false" customWidth="true" hidden="false" outlineLevel="0" max="16" min="16" style="0" width="9"/>
    <col collapsed="false" customWidth="true" hidden="false" outlineLevel="0" max="18" min="17" style="0" width="8"/>
  </cols>
  <sheetData>
    <row r="1" customFormat="false" ht="15" hidden="false" customHeight="false" outlineLevel="0" collapsed="false">
      <c r="A1" s="14" t="s">
        <v>86</v>
      </c>
    </row>
    <row r="3" customFormat="false" ht="36" hidden="false" customHeight="true" outlineLevel="0" collapsed="false">
      <c r="A3" s="7" t="s">
        <v>87</v>
      </c>
      <c r="B3" s="7" t="s">
        <v>88</v>
      </c>
      <c r="C3" s="7" t="s">
        <v>71</v>
      </c>
      <c r="D3" s="7" t="s">
        <v>35</v>
      </c>
      <c r="E3" s="7" t="s">
        <v>89</v>
      </c>
      <c r="F3" s="7" t="s">
        <v>90</v>
      </c>
      <c r="G3" s="7" t="s">
        <v>91</v>
      </c>
      <c r="H3" s="7" t="s">
        <v>92</v>
      </c>
      <c r="I3" s="7" t="s">
        <v>93</v>
      </c>
      <c r="J3" s="7" t="s">
        <v>94</v>
      </c>
      <c r="K3" s="7" t="s">
        <v>95</v>
      </c>
      <c r="L3" s="7" t="s">
        <v>96</v>
      </c>
      <c r="M3" s="7" t="s">
        <v>97</v>
      </c>
      <c r="N3" s="7" t="s">
        <v>98</v>
      </c>
      <c r="O3" s="7" t="s">
        <v>99</v>
      </c>
      <c r="P3" s="7" t="s">
        <v>100</v>
      </c>
      <c r="Q3" s="7" t="s">
        <v>101</v>
      </c>
      <c r="R3" s="7" t="s">
        <v>102</v>
      </c>
    </row>
    <row r="4" customFormat="false" ht="15" hidden="false" customHeight="false" outlineLevel="0" collapsed="false">
      <c r="A4" s="15" t="s">
        <v>103</v>
      </c>
      <c r="B4" s="19" t="s">
        <v>104</v>
      </c>
      <c r="C4" s="15" t="s">
        <v>72</v>
      </c>
      <c r="D4" s="15" t="s">
        <v>55</v>
      </c>
      <c r="E4" s="19" t="s">
        <v>105</v>
      </c>
      <c r="F4" s="15" t="s">
        <v>106</v>
      </c>
      <c r="G4" s="15"/>
      <c r="H4" s="9" t="n">
        <v>14615696.52</v>
      </c>
      <c r="I4" s="11" t="n">
        <v>56440.60708501</v>
      </c>
      <c r="J4" s="10" t="n">
        <v>0.06</v>
      </c>
      <c r="K4" s="10" t="n">
        <v>0.06</v>
      </c>
      <c r="L4" s="11" t="n">
        <v>0.00265766099528434</v>
      </c>
      <c r="M4" s="10" t="n">
        <v>-0.06</v>
      </c>
      <c r="N4" s="10" t="n">
        <v>0.016286106292154</v>
      </c>
      <c r="O4" s="10" t="n">
        <v>1.08654553369197</v>
      </c>
      <c r="P4" s="10" t="n">
        <v>-0.310232710895607</v>
      </c>
      <c r="Q4" s="13" t="n">
        <v>0.746432179453135</v>
      </c>
      <c r="R4" s="9" t="n">
        <v>1</v>
      </c>
    </row>
    <row r="5" customFormat="false" ht="15" hidden="false" customHeight="false" outlineLevel="0" collapsed="false">
      <c r="A5" s="15" t="s">
        <v>107</v>
      </c>
      <c r="B5" s="19" t="s">
        <v>108</v>
      </c>
      <c r="C5" s="15" t="s">
        <v>72</v>
      </c>
      <c r="D5" s="15" t="s">
        <v>55</v>
      </c>
      <c r="E5" s="19" t="s">
        <v>109</v>
      </c>
      <c r="F5" s="19" t="s">
        <v>110</v>
      </c>
      <c r="G5" s="19" t="s">
        <v>109</v>
      </c>
      <c r="H5" s="9" t="n">
        <v>1477165.384723</v>
      </c>
      <c r="I5" s="11" t="n">
        <v>7627.759418075</v>
      </c>
      <c r="J5" s="10" t="n">
        <v>0.06</v>
      </c>
      <c r="K5" s="10" t="n">
        <v>0.06</v>
      </c>
      <c r="L5" s="11" t="n">
        <v>0.0196650145578209</v>
      </c>
      <c r="M5" s="10" t="n">
        <v>-0.06</v>
      </c>
      <c r="N5" s="10" t="n">
        <v>0.00112038408851833</v>
      </c>
      <c r="O5" s="10" t="n">
        <v>1.06258417205977</v>
      </c>
      <c r="P5" s="10" t="n">
        <v>-0.216751292285029</v>
      </c>
      <c r="Q5" s="13" t="n">
        <v>0.91864561576159</v>
      </c>
      <c r="R5" s="9" t="n">
        <v>1</v>
      </c>
    </row>
    <row r="6" customFormat="false" ht="15" hidden="false" customHeight="false" outlineLevel="0" collapsed="false">
      <c r="A6" s="15" t="s">
        <v>111</v>
      </c>
      <c r="B6" s="15" t="s">
        <v>112</v>
      </c>
      <c r="C6" s="15" t="s">
        <v>72</v>
      </c>
      <c r="D6" s="15" t="s">
        <v>55</v>
      </c>
      <c r="E6" s="19" t="s">
        <v>113</v>
      </c>
      <c r="F6" s="15" t="s">
        <v>114</v>
      </c>
      <c r="G6" s="15" t="s">
        <v>115</v>
      </c>
      <c r="H6" s="9" t="n">
        <v>1294174.42038</v>
      </c>
      <c r="I6" s="11" t="n">
        <v>6162.884383801</v>
      </c>
      <c r="J6" s="10" t="n">
        <v>0.06</v>
      </c>
      <c r="K6" s="10" t="n">
        <v>0.06</v>
      </c>
      <c r="L6" s="11" t="n">
        <v>0.02433925263863</v>
      </c>
      <c r="M6" s="10" t="n">
        <v>-0.04</v>
      </c>
      <c r="N6" s="10" t="n">
        <v>-0.12359493659501</v>
      </c>
      <c r="O6" s="10" t="n">
        <v>1.66511069633698</v>
      </c>
      <c r="P6" s="10" t="n">
        <v>-0.502122183134718</v>
      </c>
      <c r="Q6" s="13" t="n">
        <v>0.611516727353366</v>
      </c>
      <c r="R6" s="9" t="n">
        <v>4</v>
      </c>
    </row>
    <row r="7" customFormat="false" ht="15" hidden="false" customHeight="false" outlineLevel="0" collapsed="false">
      <c r="A7" s="15" t="s">
        <v>116</v>
      </c>
      <c r="B7" s="19" t="s">
        <v>117</v>
      </c>
      <c r="C7" s="15" t="s">
        <v>72</v>
      </c>
      <c r="D7" s="15" t="s">
        <v>55</v>
      </c>
      <c r="E7" s="19" t="s">
        <v>118</v>
      </c>
      <c r="F7" s="15" t="s">
        <v>119</v>
      </c>
      <c r="G7" s="15"/>
      <c r="H7" s="9" t="n">
        <v>785246.03261</v>
      </c>
      <c r="I7" s="11" t="n">
        <v>2447.330505425</v>
      </c>
      <c r="J7" s="10" t="n">
        <v>0.06</v>
      </c>
      <c r="K7" s="10" t="n">
        <v>0.06</v>
      </c>
      <c r="L7" s="11" t="n">
        <v>0.0612912721299779</v>
      </c>
      <c r="M7" s="10" t="n">
        <v>-0.06</v>
      </c>
      <c r="N7" s="10" t="n">
        <v>-0.0519179236593126</v>
      </c>
      <c r="O7" s="10" t="n">
        <v>0.292870812036822</v>
      </c>
      <c r="P7" s="10" t="n">
        <v>-0.488724756362365</v>
      </c>
      <c r="Q7" s="13" t="n">
        <v>0.355159147609411</v>
      </c>
      <c r="R7" s="9" t="n">
        <v>0</v>
      </c>
    </row>
    <row r="8" customFormat="false" ht="15" hidden="false" customHeight="false" outlineLevel="0" collapsed="false">
      <c r="A8" s="15" t="s">
        <v>120</v>
      </c>
      <c r="B8" s="19" t="s">
        <v>121</v>
      </c>
      <c r="C8" s="15" t="s">
        <v>72</v>
      </c>
      <c r="D8" s="15" t="s">
        <v>55</v>
      </c>
      <c r="E8" s="19" t="s">
        <v>122</v>
      </c>
      <c r="F8" s="15" t="s">
        <v>123</v>
      </c>
      <c r="G8" s="19" t="s">
        <v>124</v>
      </c>
      <c r="H8" s="9" t="n">
        <v>683717.34627</v>
      </c>
      <c r="I8" s="11" t="n">
        <v>759.5921325645</v>
      </c>
      <c r="J8" s="10" t="n">
        <v>0.06</v>
      </c>
      <c r="K8" s="10" t="n">
        <v>0.06</v>
      </c>
      <c r="L8" s="11" t="n">
        <v>0.197474399179961</v>
      </c>
      <c r="M8" s="10" t="n">
        <v>-0.06</v>
      </c>
      <c r="N8" s="10" t="n">
        <v>-0.00952276264435681</v>
      </c>
      <c r="O8" s="10" t="n">
        <v>-0.128772623582442</v>
      </c>
      <c r="P8" s="10" t="n">
        <v>-0.248535110163099</v>
      </c>
      <c r="Q8" s="13" t="n">
        <v>0.893020811956964</v>
      </c>
      <c r="R8" s="9" t="n">
        <v>0</v>
      </c>
    </row>
    <row r="9" customFormat="false" ht="15" hidden="false" customHeight="false" outlineLevel="0" collapsed="false">
      <c r="A9" s="15" t="s">
        <v>125</v>
      </c>
      <c r="B9" s="15" t="s">
        <v>126</v>
      </c>
      <c r="C9" s="15" t="s">
        <v>72</v>
      </c>
      <c r="D9" s="15" t="s">
        <v>55</v>
      </c>
      <c r="E9" s="19" t="s">
        <v>118</v>
      </c>
      <c r="F9" s="19" t="s">
        <v>127</v>
      </c>
      <c r="G9" s="15"/>
      <c r="H9" s="9" t="n">
        <v>630989.478786</v>
      </c>
      <c r="I9" s="11" t="n">
        <v>1875.9523024075</v>
      </c>
      <c r="J9" s="10" t="n">
        <v>0.06</v>
      </c>
      <c r="K9" s="10" t="n">
        <v>0.06</v>
      </c>
      <c r="L9" s="11" t="n">
        <v>0.0799593890566928</v>
      </c>
      <c r="M9" s="10" t="n">
        <v>-0.06</v>
      </c>
      <c r="N9" s="10" t="n">
        <v>0.042145000165619</v>
      </c>
      <c r="O9" s="10" t="n">
        <v>0.427488775580797</v>
      </c>
      <c r="P9" s="10" t="n">
        <v>-0.0445804154651082</v>
      </c>
      <c r="Q9" s="13" t="n">
        <v>0.879239705409264</v>
      </c>
      <c r="R9" s="9" t="n">
        <v>0</v>
      </c>
    </row>
    <row r="10" customFormat="false" ht="15" hidden="false" customHeight="false" outlineLevel="0" collapsed="false">
      <c r="A10" s="15" t="s">
        <v>128</v>
      </c>
      <c r="B10" s="19" t="s">
        <v>129</v>
      </c>
      <c r="C10" s="15" t="s">
        <v>72</v>
      </c>
      <c r="D10" s="15" t="s">
        <v>55</v>
      </c>
      <c r="E10" s="19" t="s">
        <v>130</v>
      </c>
      <c r="F10" s="19" t="s">
        <v>131</v>
      </c>
      <c r="G10" s="15"/>
      <c r="H10" s="9" t="n">
        <v>606000</v>
      </c>
      <c r="I10" s="11" t="n">
        <v>1398.4613741755</v>
      </c>
      <c r="J10" s="10" t="n">
        <v>0.06</v>
      </c>
      <c r="K10" s="10" t="n">
        <v>0.06</v>
      </c>
      <c r="L10" s="11" t="n">
        <v>0.107260738673198</v>
      </c>
      <c r="M10" s="10" t="n">
        <v>-0.06</v>
      </c>
      <c r="N10" s="10" t="n">
        <v>0.0306129108229298</v>
      </c>
      <c r="O10" s="10" t="n">
        <v>0.922038244226751</v>
      </c>
      <c r="P10" s="10" t="n">
        <v>-0.390196031042686</v>
      </c>
      <c r="Q10" s="13" t="n">
        <v>0.930135783465947</v>
      </c>
      <c r="R10" s="9" t="n">
        <v>1</v>
      </c>
    </row>
    <row r="11" customFormat="false" ht="15" hidden="false" customHeight="false" outlineLevel="0" collapsed="false">
      <c r="A11" s="15" t="s">
        <v>132</v>
      </c>
      <c r="B11" s="19" t="s">
        <v>133</v>
      </c>
      <c r="C11" s="15" t="s">
        <v>72</v>
      </c>
      <c r="D11" s="15" t="s">
        <v>55</v>
      </c>
      <c r="E11" s="19" t="s">
        <v>113</v>
      </c>
      <c r="F11" s="19" t="s">
        <v>134</v>
      </c>
      <c r="G11" s="15"/>
      <c r="H11" s="9" t="n">
        <v>603263.40132</v>
      </c>
      <c r="I11" s="11" t="n">
        <v>1345.576650153</v>
      </c>
      <c r="J11" s="10" t="n">
        <v>0.06</v>
      </c>
      <c r="K11" s="10" t="n">
        <v>0.06</v>
      </c>
      <c r="L11" s="11" t="n">
        <v>0.111476369616658</v>
      </c>
      <c r="M11" s="10" t="n">
        <v>-0.06</v>
      </c>
      <c r="N11" s="10" t="n">
        <v>0.0706918852300917</v>
      </c>
      <c r="O11" s="10" t="n">
        <v>0.55297753359309</v>
      </c>
      <c r="P11" s="10" t="n">
        <v>-0.304614318608072</v>
      </c>
      <c r="Q11" s="13" t="n">
        <v>0.610342061119079</v>
      </c>
      <c r="R11" s="9" t="n">
        <v>1</v>
      </c>
    </row>
    <row r="12" customFormat="false" ht="15" hidden="false" customHeight="false" outlineLevel="0" collapsed="false">
      <c r="A12" s="15" t="s">
        <v>135</v>
      </c>
      <c r="B12" s="19" t="s">
        <v>136</v>
      </c>
      <c r="C12" s="15" t="s">
        <v>72</v>
      </c>
      <c r="D12" s="15" t="s">
        <v>55</v>
      </c>
      <c r="E12" s="19" t="s">
        <v>137</v>
      </c>
      <c r="F12" s="19" t="s">
        <v>138</v>
      </c>
      <c r="G12" s="15"/>
      <c r="H12" s="9" t="n">
        <v>539868.80847</v>
      </c>
      <c r="I12" s="11" t="n">
        <v>2055.6321409225</v>
      </c>
      <c r="J12" s="10" t="n">
        <v>0.06</v>
      </c>
      <c r="K12" s="10" t="n">
        <v>0.06</v>
      </c>
      <c r="L12" s="11" t="n">
        <v>0.0729702542657681</v>
      </c>
      <c r="M12" s="10" t="n">
        <v>-0.06</v>
      </c>
      <c r="N12" s="10" t="n">
        <v>0.0397965767703368</v>
      </c>
      <c r="O12" s="10" t="n">
        <v>0.113000064291558</v>
      </c>
      <c r="P12" s="10" t="n">
        <v>-0.318648106450066</v>
      </c>
      <c r="Q12" s="13" t="n">
        <v>0.77900327202712</v>
      </c>
      <c r="R12" s="9" t="n">
        <v>0</v>
      </c>
    </row>
    <row r="13" customFormat="false" ht="15" hidden="false" customHeight="false" outlineLevel="0" collapsed="false">
      <c r="A13" s="15" t="s">
        <v>139</v>
      </c>
      <c r="B13" s="19" t="s">
        <v>140</v>
      </c>
      <c r="C13" s="15" t="s">
        <v>72</v>
      </c>
      <c r="D13" s="15" t="s">
        <v>55</v>
      </c>
      <c r="E13" s="19" t="s">
        <v>118</v>
      </c>
      <c r="F13" s="19" t="s">
        <v>141</v>
      </c>
      <c r="G13" s="15"/>
      <c r="H13" s="9" t="n">
        <v>537520.523655</v>
      </c>
      <c r="I13" s="11" t="n">
        <v>1240.1158612815</v>
      </c>
      <c r="J13" s="10" t="n">
        <v>0.06</v>
      </c>
      <c r="K13" s="10" t="n">
        <v>0.06</v>
      </c>
      <c r="L13" s="11" t="n">
        <v>0.120956440186963</v>
      </c>
      <c r="M13" s="10" t="n">
        <v>-0.06</v>
      </c>
      <c r="N13" s="10" t="n">
        <v>0.105310110312677</v>
      </c>
      <c r="O13" s="10" t="n">
        <v>0.489640873555066</v>
      </c>
      <c r="P13" s="10" t="n">
        <v>0</v>
      </c>
      <c r="Q13" s="13" t="n">
        <v>0.909999688355819</v>
      </c>
      <c r="R13" s="9" t="n">
        <v>0</v>
      </c>
    </row>
    <row r="14" customFormat="false" ht="15" hidden="false" customHeight="false" outlineLevel="0" collapsed="false">
      <c r="A14" s="15" t="s">
        <v>142</v>
      </c>
      <c r="B14" s="19" t="s">
        <v>143</v>
      </c>
      <c r="C14" s="15" t="s">
        <v>72</v>
      </c>
      <c r="D14" s="15" t="s">
        <v>55</v>
      </c>
      <c r="E14" s="19" t="s">
        <v>144</v>
      </c>
      <c r="F14" s="19" t="s">
        <v>145</v>
      </c>
      <c r="G14" s="15"/>
      <c r="H14" s="9" t="n">
        <v>507324.427632</v>
      </c>
      <c r="I14" s="11" t="n">
        <v>2090.215022125</v>
      </c>
      <c r="J14" s="10" t="n">
        <v>0.06</v>
      </c>
      <c r="K14" s="10" t="n">
        <v>0.06</v>
      </c>
      <c r="L14" s="11" t="n">
        <v>0.071762951855309</v>
      </c>
      <c r="M14" s="10" t="n">
        <v>-0.06</v>
      </c>
      <c r="N14" s="10" t="n">
        <v>0.0287009969020824</v>
      </c>
      <c r="O14" s="10" t="n">
        <v>0.0520688536690253</v>
      </c>
      <c r="P14" s="10" t="n">
        <v>-0.419109803564526</v>
      </c>
      <c r="Q14" s="13" t="n">
        <v>0.603664996270666</v>
      </c>
      <c r="R14" s="9" t="n">
        <v>0</v>
      </c>
    </row>
    <row r="15" customFormat="false" ht="15" hidden="false" customHeight="false" outlineLevel="0" collapsed="false">
      <c r="A15" s="15" t="s">
        <v>146</v>
      </c>
      <c r="B15" s="19" t="s">
        <v>147</v>
      </c>
      <c r="C15" s="15" t="s">
        <v>72</v>
      </c>
      <c r="D15" s="15" t="s">
        <v>55</v>
      </c>
      <c r="E15" s="19" t="s">
        <v>148</v>
      </c>
      <c r="F15" s="19" t="s">
        <v>149</v>
      </c>
      <c r="G15" s="15"/>
      <c r="H15" s="9" t="n">
        <v>435226.736296</v>
      </c>
      <c r="I15" s="11" t="n">
        <v>983.162214275</v>
      </c>
      <c r="J15" s="10" t="n">
        <v>0.06</v>
      </c>
      <c r="K15" s="10" t="n">
        <v>0.06</v>
      </c>
      <c r="L15" s="11" t="n">
        <v>0.152568922830921</v>
      </c>
      <c r="M15" s="10" t="n">
        <v>-0.06</v>
      </c>
      <c r="N15" s="10" t="n">
        <v>-0.0169866917114944</v>
      </c>
      <c r="O15" s="10" t="n">
        <v>0.0845351407837112</v>
      </c>
      <c r="P15" s="10" t="n">
        <v>-0.210037975636624</v>
      </c>
      <c r="Q15" s="13" t="n">
        <v>0.865835589593534</v>
      </c>
      <c r="R15" s="9" t="n">
        <v>0</v>
      </c>
    </row>
    <row r="16" customFormat="false" ht="15" hidden="false" customHeight="false" outlineLevel="0" collapsed="false">
      <c r="A16" s="15" t="s">
        <v>150</v>
      </c>
      <c r="B16" s="15" t="s">
        <v>151</v>
      </c>
      <c r="C16" s="15" t="s">
        <v>72</v>
      </c>
      <c r="D16" s="15" t="s">
        <v>55</v>
      </c>
      <c r="E16" s="19" t="s">
        <v>152</v>
      </c>
      <c r="F16" s="15" t="s">
        <v>153</v>
      </c>
      <c r="G16" s="15"/>
      <c r="H16" s="9" t="n">
        <v>395139.73135</v>
      </c>
      <c r="I16" s="11" t="n">
        <v>831.894247</v>
      </c>
      <c r="J16" s="10" t="n">
        <v>0.06</v>
      </c>
      <c r="K16" s="10" t="n">
        <v>0.06</v>
      </c>
      <c r="L16" s="11" t="n">
        <v>0.180311380371885</v>
      </c>
      <c r="M16" s="10" t="n">
        <v>-0.06</v>
      </c>
      <c r="N16" s="10" t="n">
        <v>-0.0302631426626233</v>
      </c>
      <c r="O16" s="10" t="n">
        <v>1.12580825580346</v>
      </c>
      <c r="P16" s="10" t="n">
        <v>-0.364682367619152</v>
      </c>
      <c r="Q16" s="13" t="n">
        <v>0.611812548565618</v>
      </c>
      <c r="R16" s="9" t="n">
        <v>1</v>
      </c>
    </row>
    <row r="17" customFormat="false" ht="15" hidden="false" customHeight="false" outlineLevel="0" collapsed="false">
      <c r="A17" s="15" t="s">
        <v>154</v>
      </c>
      <c r="B17" s="19" t="s">
        <v>155</v>
      </c>
      <c r="C17" s="15" t="s">
        <v>72</v>
      </c>
      <c r="D17" s="15" t="s">
        <v>55</v>
      </c>
      <c r="E17" s="19" t="s">
        <v>118</v>
      </c>
      <c r="F17" s="19" t="s">
        <v>141</v>
      </c>
      <c r="G17" s="15"/>
      <c r="H17" s="9" t="n">
        <v>382743.00846</v>
      </c>
      <c r="I17" s="11" t="n">
        <v>990.825008812</v>
      </c>
      <c r="J17" s="10" t="n">
        <v>0.06</v>
      </c>
      <c r="K17" s="10" t="n">
        <v>0.06</v>
      </c>
      <c r="L17" s="11" t="n">
        <v>0.151388992673742</v>
      </c>
      <c r="M17" s="10" t="n">
        <v>-0.06</v>
      </c>
      <c r="N17" s="10" t="n">
        <v>0.084697395370031</v>
      </c>
      <c r="O17" s="10" t="n">
        <v>0.482312372381668</v>
      </c>
      <c r="P17" s="10" t="n">
        <v>0</v>
      </c>
      <c r="Q17" s="13" t="n">
        <v>0.912191357330363</v>
      </c>
      <c r="R17" s="9" t="n">
        <v>0</v>
      </c>
    </row>
    <row r="18" customFormat="false" ht="15" hidden="false" customHeight="false" outlineLevel="0" collapsed="false">
      <c r="A18" s="15" t="s">
        <v>156</v>
      </c>
      <c r="B18" s="19" t="s">
        <v>157</v>
      </c>
      <c r="C18" s="15" t="s">
        <v>72</v>
      </c>
      <c r="D18" s="15" t="s">
        <v>55</v>
      </c>
      <c r="E18" s="19" t="s">
        <v>158</v>
      </c>
      <c r="F18" s="19" t="s">
        <v>159</v>
      </c>
      <c r="G18" s="15"/>
      <c r="H18" s="9" t="n">
        <v>380390.177475</v>
      </c>
      <c r="I18" s="11" t="n">
        <v>1524.535122258</v>
      </c>
      <c r="J18" s="10" t="n">
        <v>0.06</v>
      </c>
      <c r="K18" s="10" t="n">
        <v>0.06</v>
      </c>
      <c r="L18" s="11" t="n">
        <v>0.0983906489329245</v>
      </c>
      <c r="M18" s="10" t="n">
        <v>-0.06</v>
      </c>
      <c r="N18" s="10" t="n">
        <v>-0.157895316329315</v>
      </c>
      <c r="O18" s="10" t="n">
        <v>0.135610595825719</v>
      </c>
      <c r="P18" s="10" t="n">
        <v>-0.448355773146948</v>
      </c>
      <c r="Q18" s="13" t="n">
        <v>0.551643023880467</v>
      </c>
      <c r="R18" s="9" t="n">
        <v>0</v>
      </c>
    </row>
    <row r="19" customFormat="false" ht="15" hidden="false" customHeight="false" outlineLevel="0" collapsed="false">
      <c r="A19" s="15" t="s">
        <v>160</v>
      </c>
      <c r="B19" s="15" t="s">
        <v>161</v>
      </c>
      <c r="C19" s="15" t="s">
        <v>72</v>
      </c>
      <c r="D19" s="15" t="s">
        <v>55</v>
      </c>
      <c r="E19" s="19" t="s">
        <v>162</v>
      </c>
      <c r="F19" s="19" t="s">
        <v>163</v>
      </c>
      <c r="G19" s="15"/>
      <c r="H19" s="9" t="n">
        <v>325280.622086</v>
      </c>
      <c r="I19" s="11" t="n">
        <v>1985.214909084</v>
      </c>
      <c r="J19" s="10" t="n">
        <v>0.06</v>
      </c>
      <c r="K19" s="10" t="n">
        <v>0.06</v>
      </c>
      <c r="L19" s="11" t="n">
        <v>0.0755585701646839</v>
      </c>
      <c r="M19" s="10" t="n">
        <v>-0.06</v>
      </c>
      <c r="N19" s="10" t="n">
        <v>0.112083500144671</v>
      </c>
      <c r="O19" s="10" t="n">
        <v>1.17200102073944</v>
      </c>
      <c r="P19" s="10" t="n">
        <v>-0.491422199652145</v>
      </c>
      <c r="Q19" s="13" t="n">
        <v>0.47760081866524</v>
      </c>
      <c r="R19" s="9" t="n">
        <v>0</v>
      </c>
    </row>
    <row r="20" customFormat="false" ht="15" hidden="false" customHeight="false" outlineLevel="0" collapsed="false">
      <c r="A20" s="15" t="s">
        <v>164</v>
      </c>
      <c r="B20" s="15" t="s">
        <v>165</v>
      </c>
      <c r="C20" s="15" t="s">
        <v>72</v>
      </c>
      <c r="D20" s="15" t="s">
        <v>55</v>
      </c>
      <c r="E20" s="15" t="s">
        <v>166</v>
      </c>
      <c r="F20" s="19" t="s">
        <v>167</v>
      </c>
      <c r="G20" s="15"/>
      <c r="H20" s="9" t="n">
        <v>315558.718825</v>
      </c>
      <c r="I20" s="11" t="n">
        <v>1972.2952566825</v>
      </c>
      <c r="J20" s="10" t="n">
        <v>0.06</v>
      </c>
      <c r="K20" s="10" t="n">
        <v>0.06</v>
      </c>
      <c r="L20" s="11" t="n">
        <v>0.0760535216478224</v>
      </c>
      <c r="M20" s="10" t="n">
        <v>-0.06</v>
      </c>
      <c r="N20" s="10" t="n">
        <v>-0.0939379603362939</v>
      </c>
      <c r="O20" s="10" t="n">
        <v>-0.14439223517335</v>
      </c>
      <c r="P20" s="10" t="n">
        <v>-0.277211943333621</v>
      </c>
      <c r="Q20" s="13" t="n">
        <v>0.589464975373401</v>
      </c>
      <c r="R20" s="9" t="n">
        <v>0</v>
      </c>
    </row>
    <row r="21" customFormat="false" ht="15" hidden="false" customHeight="false" outlineLevel="0" collapsed="false">
      <c r="A21" s="15" t="s">
        <v>168</v>
      </c>
      <c r="B21" s="15" t="s">
        <v>169</v>
      </c>
      <c r="C21" s="15" t="s">
        <v>72</v>
      </c>
      <c r="D21" s="15" t="s">
        <v>55</v>
      </c>
      <c r="E21" s="19" t="s">
        <v>170</v>
      </c>
      <c r="F21" s="15" t="s">
        <v>171</v>
      </c>
      <c r="G21" s="19" t="s">
        <v>172</v>
      </c>
      <c r="H21" s="9" t="n">
        <v>288150</v>
      </c>
      <c r="I21" s="11" t="n">
        <v>1170.999389575</v>
      </c>
      <c r="J21" s="10" t="n">
        <v>0.06</v>
      </c>
      <c r="K21" s="10" t="n">
        <v>0.06</v>
      </c>
      <c r="L21" s="11" t="n">
        <v>0.128095711522481</v>
      </c>
      <c r="M21" s="10" t="n">
        <v>-0.04</v>
      </c>
      <c r="N21" s="10" t="n">
        <v>-0.0939151076055663</v>
      </c>
      <c r="O21" s="10" t="n">
        <v>1.08774636697282</v>
      </c>
      <c r="P21" s="10" t="n">
        <v>-0.396991059602702</v>
      </c>
      <c r="Q21" s="13" t="n">
        <v>0.492890692060583</v>
      </c>
      <c r="R21" s="9" t="n">
        <v>2</v>
      </c>
    </row>
    <row r="22" customFormat="false" ht="15" hidden="false" customHeight="false" outlineLevel="0" collapsed="false">
      <c r="A22" s="15" t="s">
        <v>173</v>
      </c>
      <c r="B22" s="15" t="s">
        <v>174</v>
      </c>
      <c r="C22" s="15" t="s">
        <v>72</v>
      </c>
      <c r="D22" s="15" t="s">
        <v>55</v>
      </c>
      <c r="E22" s="19" t="s">
        <v>118</v>
      </c>
      <c r="F22" s="19" t="s">
        <v>175</v>
      </c>
      <c r="G22" s="15"/>
      <c r="H22" s="9" t="n">
        <v>271006.02234</v>
      </c>
      <c r="I22" s="11" t="n">
        <v>883.946491125</v>
      </c>
      <c r="J22" s="10" t="n">
        <v>0.06</v>
      </c>
      <c r="K22" s="10" t="n">
        <v>0.06</v>
      </c>
      <c r="L22" s="11" t="n">
        <v>0.169693529536041</v>
      </c>
      <c r="M22" s="10" t="n">
        <v>-0.06</v>
      </c>
      <c r="N22" s="10" t="n">
        <v>0.078867319872165</v>
      </c>
      <c r="O22" s="10" t="n">
        <v>0.12128451899732</v>
      </c>
      <c r="P22" s="10" t="n">
        <v>-0.360886153162952</v>
      </c>
      <c r="Q22" s="13" t="n">
        <v>0.561248141896524</v>
      </c>
      <c r="R22" s="9" t="n">
        <v>0</v>
      </c>
    </row>
    <row r="23" customFormat="false" ht="15" hidden="false" customHeight="false" outlineLevel="0" collapsed="false">
      <c r="A23" s="15" t="s">
        <v>176</v>
      </c>
      <c r="B23" s="19" t="s">
        <v>177</v>
      </c>
      <c r="C23" s="15" t="s">
        <v>72</v>
      </c>
      <c r="D23" s="15" t="s">
        <v>55</v>
      </c>
      <c r="E23" s="19" t="s">
        <v>178</v>
      </c>
      <c r="F23" s="19" t="s">
        <v>179</v>
      </c>
      <c r="G23" s="15"/>
      <c r="H23" s="9" t="n">
        <v>255485.14056</v>
      </c>
      <c r="I23" s="11" t="n">
        <v>463.83266375</v>
      </c>
      <c r="J23" s="10" t="n">
        <v>0.06</v>
      </c>
      <c r="K23" s="10" t="n">
        <v>0.06</v>
      </c>
      <c r="L23" s="11" t="n">
        <v>0.513688353584504</v>
      </c>
      <c r="M23" s="10" t="n">
        <v>-0.06</v>
      </c>
      <c r="N23" s="10" t="n">
        <v>0.117690797946266</v>
      </c>
      <c r="O23" s="10" t="n">
        <v>-0.0698619305825378</v>
      </c>
      <c r="P23" s="10" t="n">
        <v>-0.42119976303642</v>
      </c>
      <c r="Q23" s="13" t="n">
        <v>1.10054904299073</v>
      </c>
      <c r="R23" s="9" t="n">
        <v>0</v>
      </c>
    </row>
    <row r="24" customFormat="false" ht="15" hidden="false" customHeight="false" outlineLevel="0" collapsed="false">
      <c r="A24" s="15" t="s">
        <v>180</v>
      </c>
      <c r="B24" s="19" t="s">
        <v>181</v>
      </c>
      <c r="C24" s="15" t="s">
        <v>72</v>
      </c>
      <c r="D24" s="15" t="s">
        <v>55</v>
      </c>
      <c r="E24" s="19" t="s">
        <v>182</v>
      </c>
      <c r="F24" s="19" t="s">
        <v>183</v>
      </c>
      <c r="G24" s="15"/>
      <c r="H24" s="9" t="n">
        <v>255296.5420005</v>
      </c>
      <c r="I24" s="11" t="n">
        <v>879.6621436</v>
      </c>
      <c r="J24" s="10" t="n">
        <v>0.06</v>
      </c>
      <c r="K24" s="10" t="n">
        <v>0.06</v>
      </c>
      <c r="L24" s="11" t="n">
        <v>0.19253517474256</v>
      </c>
      <c r="M24" s="10" t="n">
        <v>-0.06</v>
      </c>
      <c r="N24" s="10" t="n">
        <v>0.0389382907208307</v>
      </c>
      <c r="O24" s="10" t="n">
        <v>0.237438856917639</v>
      </c>
      <c r="P24" s="10" t="n">
        <v>-0.150725785543171</v>
      </c>
      <c r="Q24" s="13" t="n">
        <v>1.16335158881964</v>
      </c>
      <c r="R24" s="9" t="n">
        <v>0</v>
      </c>
    </row>
    <row r="25" customFormat="false" ht="15" hidden="false" customHeight="false" outlineLevel="0" collapsed="false">
      <c r="A25" s="15" t="s">
        <v>184</v>
      </c>
      <c r="B25" s="19" t="s">
        <v>185</v>
      </c>
      <c r="C25" s="15" t="s">
        <v>72</v>
      </c>
      <c r="D25" s="15" t="s">
        <v>55</v>
      </c>
      <c r="E25" s="19" t="s">
        <v>122</v>
      </c>
      <c r="F25" s="19" t="s">
        <v>186</v>
      </c>
      <c r="G25" s="15"/>
      <c r="H25" s="9" t="n">
        <v>254093.933</v>
      </c>
      <c r="I25" s="11" t="n">
        <v>1206.06993425</v>
      </c>
      <c r="J25" s="10" t="n">
        <v>0.06</v>
      </c>
      <c r="K25" s="10" t="n">
        <v>0.06</v>
      </c>
      <c r="L25" s="11" t="n">
        <v>0.124370897358683</v>
      </c>
      <c r="M25" s="10" t="n">
        <v>-0.06</v>
      </c>
      <c r="N25" s="10" t="n">
        <v>-0.087384722207172</v>
      </c>
      <c r="O25" s="10" t="n">
        <v>0.529626419559811</v>
      </c>
      <c r="P25" s="10" t="n">
        <v>-0.40793297990073</v>
      </c>
      <c r="Q25" s="13" t="n">
        <v>0.700786686404317</v>
      </c>
      <c r="R25" s="9" t="n">
        <v>1</v>
      </c>
    </row>
    <row r="26" customFormat="false" ht="15" hidden="false" customHeight="false" outlineLevel="0" collapsed="false">
      <c r="A26" s="15" t="s">
        <v>187</v>
      </c>
      <c r="B26" s="19" t="s">
        <v>188</v>
      </c>
      <c r="C26" s="15" t="s">
        <v>72</v>
      </c>
      <c r="D26" s="15" t="s">
        <v>55</v>
      </c>
      <c r="E26" s="19" t="s">
        <v>118</v>
      </c>
      <c r="F26" s="19" t="s">
        <v>189</v>
      </c>
      <c r="G26" s="15"/>
      <c r="H26" s="9" t="n">
        <v>229098.416737</v>
      </c>
      <c r="I26" s="11" t="n">
        <v>333.881804575</v>
      </c>
      <c r="J26" s="10" t="n">
        <v>0.06</v>
      </c>
      <c r="K26" s="10" t="n">
        <v>0.06</v>
      </c>
      <c r="L26" s="11" t="n">
        <v>0.449260780146243</v>
      </c>
      <c r="M26" s="10" t="n">
        <v>-0.06</v>
      </c>
      <c r="N26" s="10" t="n">
        <v>0.136849242260796</v>
      </c>
      <c r="O26" s="10" t="n">
        <v>0.210336705442115</v>
      </c>
      <c r="P26" s="10" t="n">
        <v>-0.063673146795592</v>
      </c>
      <c r="Q26" s="13" t="n">
        <v>1.00715379254526</v>
      </c>
      <c r="R26" s="9" t="n">
        <v>0</v>
      </c>
    </row>
    <row r="27" customFormat="false" ht="15" hidden="false" customHeight="false" outlineLevel="0" collapsed="false">
      <c r="A27" s="15" t="s">
        <v>190</v>
      </c>
      <c r="B27" s="15" t="s">
        <v>191</v>
      </c>
      <c r="C27" s="15" t="s">
        <v>72</v>
      </c>
      <c r="D27" s="15" t="s">
        <v>55</v>
      </c>
      <c r="E27" s="19" t="s">
        <v>192</v>
      </c>
      <c r="F27" s="15" t="s">
        <v>193</v>
      </c>
      <c r="G27" s="15"/>
      <c r="H27" s="9" t="n">
        <v>221121.046704</v>
      </c>
      <c r="I27" s="11" t="n">
        <v>1330.14982875</v>
      </c>
      <c r="J27" s="10" t="n">
        <v>0.06</v>
      </c>
      <c r="K27" s="10" t="n">
        <v>0.06</v>
      </c>
      <c r="L27" s="11" t="n">
        <v>0.157533749691836</v>
      </c>
      <c r="M27" s="10" t="n">
        <v>-0.06</v>
      </c>
      <c r="N27" s="10" t="n">
        <v>0.197951372039126</v>
      </c>
      <c r="O27" s="10" t="n">
        <v>0.292637218967571</v>
      </c>
      <c r="P27" s="10" t="n">
        <v>-0.126828301312786</v>
      </c>
      <c r="Q27" s="13" t="n">
        <v>1.48695091577581</v>
      </c>
      <c r="R27" s="9" t="n">
        <v>0</v>
      </c>
    </row>
    <row r="28" customFormat="false" ht="15" hidden="false" customHeight="false" outlineLevel="0" collapsed="false">
      <c r="A28" s="15" t="s">
        <v>194</v>
      </c>
      <c r="B28" s="15" t="s">
        <v>195</v>
      </c>
      <c r="C28" s="15" t="s">
        <v>72</v>
      </c>
      <c r="D28" s="15" t="s">
        <v>55</v>
      </c>
      <c r="E28" s="19" t="s">
        <v>196</v>
      </c>
      <c r="F28" s="15" t="s">
        <v>197</v>
      </c>
      <c r="G28" s="15"/>
      <c r="H28" s="9" t="n">
        <v>202600.02441</v>
      </c>
      <c r="I28" s="11" t="n">
        <v>451.730975758</v>
      </c>
      <c r="J28" s="10" t="n">
        <v>0.06</v>
      </c>
      <c r="K28" s="10" t="n">
        <v>0.06</v>
      </c>
      <c r="L28" s="11" t="n">
        <v>0.332056042312134</v>
      </c>
      <c r="M28" s="10" t="n">
        <v>-0.06</v>
      </c>
      <c r="N28" s="10" t="n">
        <v>0.123048323816574</v>
      </c>
      <c r="O28" s="10" t="n">
        <v>-0.137879066096312</v>
      </c>
      <c r="P28" s="10" t="n">
        <v>-0.331764421561926</v>
      </c>
      <c r="Q28" s="13" t="n">
        <v>0.467027436272834</v>
      </c>
      <c r="R28" s="9" t="n">
        <v>0</v>
      </c>
    </row>
    <row r="29" customFormat="false" ht="15" hidden="false" customHeight="false" outlineLevel="0" collapsed="false">
      <c r="A29" s="15" t="s">
        <v>198</v>
      </c>
      <c r="B29" s="15" t="s">
        <v>199</v>
      </c>
      <c r="C29" s="15" t="s">
        <v>72</v>
      </c>
      <c r="D29" s="15" t="s">
        <v>55</v>
      </c>
      <c r="E29" s="19" t="s">
        <v>200</v>
      </c>
      <c r="F29" s="19" t="s">
        <v>201</v>
      </c>
      <c r="G29" s="15"/>
      <c r="H29" s="9" t="n">
        <v>201381.306595</v>
      </c>
      <c r="I29" s="11" t="n">
        <v>335.4237573125</v>
      </c>
      <c r="J29" s="10" t="n">
        <v>0.06</v>
      </c>
      <c r="K29" s="10" t="n">
        <v>0.06</v>
      </c>
      <c r="L29" s="11" t="n">
        <v>0.470972190783599</v>
      </c>
      <c r="M29" s="10" t="n">
        <v>-0.06</v>
      </c>
      <c r="N29" s="10" t="n">
        <v>0.0117463999145613</v>
      </c>
      <c r="O29" s="10" t="n">
        <v>0.041823406052411</v>
      </c>
      <c r="P29" s="10" t="n">
        <v>-0.128355215749453</v>
      </c>
      <c r="Q29" s="13" t="n">
        <v>1.0792238293627</v>
      </c>
      <c r="R29" s="9" t="n">
        <v>0</v>
      </c>
    </row>
    <row r="30" customFormat="false" ht="15" hidden="false" customHeight="false" outlineLevel="0" collapsed="false">
      <c r="A30" s="15" t="s">
        <v>202</v>
      </c>
      <c r="B30" s="15" t="s">
        <v>203</v>
      </c>
      <c r="C30" s="15" t="s">
        <v>72</v>
      </c>
      <c r="D30" s="15" t="s">
        <v>55</v>
      </c>
      <c r="E30" s="19" t="s">
        <v>204</v>
      </c>
      <c r="F30" s="19" t="s">
        <v>205</v>
      </c>
      <c r="G30" s="15"/>
      <c r="H30" s="9" t="n">
        <v>191163.14717</v>
      </c>
      <c r="I30" s="11" t="n">
        <v>1427.9187611</v>
      </c>
      <c r="J30" s="10" t="n">
        <v>0.06</v>
      </c>
      <c r="K30" s="10" t="n">
        <v>0.06</v>
      </c>
      <c r="L30" s="11" t="n">
        <v>0.110322890993383</v>
      </c>
      <c r="M30" s="10" t="n">
        <v>-0.06</v>
      </c>
      <c r="N30" s="10" t="n">
        <v>-0.0428145172381066</v>
      </c>
      <c r="O30" s="10" t="n">
        <v>0.663522170836363</v>
      </c>
      <c r="P30" s="10" t="n">
        <v>-0.289014754212151</v>
      </c>
      <c r="Q30" s="13" t="n">
        <v>1.06222250375415</v>
      </c>
      <c r="R30" s="9" t="n">
        <v>1</v>
      </c>
    </row>
    <row r="31" customFormat="false" ht="15" hidden="false" customHeight="false" outlineLevel="0" collapsed="false">
      <c r="A31" s="15" t="s">
        <v>206</v>
      </c>
      <c r="B31" s="19" t="s">
        <v>207</v>
      </c>
      <c r="C31" s="15" t="s">
        <v>72</v>
      </c>
      <c r="D31" s="15" t="s">
        <v>55</v>
      </c>
      <c r="E31" s="19" t="s">
        <v>208</v>
      </c>
      <c r="F31" s="19" t="s">
        <v>209</v>
      </c>
      <c r="G31" s="15"/>
      <c r="H31" s="9" t="n">
        <v>182180.64375</v>
      </c>
      <c r="I31" s="11" t="n">
        <v>674.278294322</v>
      </c>
      <c r="J31" s="10" t="n">
        <v>0.06</v>
      </c>
      <c r="K31" s="10" t="n">
        <v>0.06</v>
      </c>
      <c r="L31" s="11" t="n">
        <v>0.222460075110126</v>
      </c>
      <c r="M31" s="10" t="n">
        <v>-0.06</v>
      </c>
      <c r="N31" s="10" t="n">
        <v>-0.107063877378897</v>
      </c>
      <c r="O31" s="10" t="n">
        <v>0.440816151977957</v>
      </c>
      <c r="P31" s="10" t="n">
        <v>-0.489211553596597</v>
      </c>
      <c r="Q31" s="13" t="n">
        <v>0.548693471870096</v>
      </c>
      <c r="R31" s="9" t="n">
        <v>1</v>
      </c>
    </row>
    <row r="32" customFormat="false" ht="15" hidden="false" customHeight="false" outlineLevel="0" collapsed="false">
      <c r="A32" s="15" t="s">
        <v>210</v>
      </c>
      <c r="B32" s="15" t="s">
        <v>211</v>
      </c>
      <c r="C32" s="15" t="s">
        <v>72</v>
      </c>
      <c r="D32" s="15" t="s">
        <v>55</v>
      </c>
      <c r="E32" s="19" t="s">
        <v>212</v>
      </c>
      <c r="F32" s="15" t="s">
        <v>213</v>
      </c>
      <c r="G32" s="15"/>
      <c r="H32" s="9" t="n">
        <v>181356.866632</v>
      </c>
      <c r="I32" s="11" t="n">
        <v>456.4828708725</v>
      </c>
      <c r="J32" s="10" t="n">
        <v>0.06</v>
      </c>
      <c r="K32" s="10" t="n">
        <v>0.06</v>
      </c>
      <c r="L32" s="11" t="n">
        <v>0.328599405522702</v>
      </c>
      <c r="M32" s="10" t="n">
        <v>-0.06</v>
      </c>
      <c r="N32" s="10" t="n">
        <v>-0.0073625148598454</v>
      </c>
      <c r="O32" s="10" t="n">
        <v>0.229524983011557</v>
      </c>
      <c r="P32" s="10" t="n">
        <v>-0.0756826972608879</v>
      </c>
      <c r="Q32" s="13" t="n">
        <v>0.886066242815721</v>
      </c>
      <c r="R32" s="9" t="n">
        <v>0</v>
      </c>
    </row>
    <row r="33" customFormat="false" ht="15" hidden="false" customHeight="false" outlineLevel="0" collapsed="false">
      <c r="A33" s="15" t="s">
        <v>214</v>
      </c>
      <c r="B33" s="15" t="s">
        <v>215</v>
      </c>
      <c r="C33" s="15" t="s">
        <v>72</v>
      </c>
      <c r="D33" s="15" t="s">
        <v>55</v>
      </c>
      <c r="E33" s="19" t="s">
        <v>113</v>
      </c>
      <c r="F33" s="19" t="s">
        <v>216</v>
      </c>
      <c r="G33" s="15"/>
      <c r="H33" s="9" t="n">
        <v>178860.140732</v>
      </c>
      <c r="I33" s="11" t="n">
        <v>355.884426425</v>
      </c>
      <c r="J33" s="10" t="n">
        <v>0.06</v>
      </c>
      <c r="K33" s="10" t="n">
        <v>0.06</v>
      </c>
      <c r="L33" s="11" t="n">
        <v>0.421485147599206</v>
      </c>
      <c r="M33" s="10" t="n">
        <v>-0.06</v>
      </c>
      <c r="N33" s="10" t="n">
        <v>0.107673188557591</v>
      </c>
      <c r="O33" s="10" t="n">
        <v>0.466124165613534</v>
      </c>
      <c r="P33" s="10" t="n">
        <v>-0.286191081986162</v>
      </c>
      <c r="Q33" s="13" t="n">
        <v>0.563355843168537</v>
      </c>
      <c r="R33" s="9" t="n">
        <v>0</v>
      </c>
    </row>
    <row r="34" customFormat="false" ht="15" hidden="false" customHeight="false" outlineLevel="0" collapsed="false">
      <c r="A34" s="15" t="s">
        <v>217</v>
      </c>
      <c r="B34" s="15" t="s">
        <v>218</v>
      </c>
      <c r="C34" s="15" t="s">
        <v>72</v>
      </c>
      <c r="D34" s="15" t="s">
        <v>55</v>
      </c>
      <c r="E34" s="19" t="s">
        <v>113</v>
      </c>
      <c r="F34" s="19" t="s">
        <v>219</v>
      </c>
      <c r="G34" s="15"/>
      <c r="H34" s="9" t="n">
        <v>168650.236475</v>
      </c>
      <c r="I34" s="11" t="n">
        <v>269.684248625</v>
      </c>
      <c r="J34" s="10" t="n">
        <v>0.06</v>
      </c>
      <c r="K34" s="10" t="n">
        <v>0.06</v>
      </c>
      <c r="L34" s="11" t="n">
        <v>0.556206010416935</v>
      </c>
      <c r="M34" s="10" t="n">
        <v>-0.06</v>
      </c>
      <c r="N34" s="10" t="n">
        <v>-0.0250042805220228</v>
      </c>
      <c r="O34" s="10" t="n">
        <v>0.133185003717599</v>
      </c>
      <c r="P34" s="10" t="n">
        <v>-0.312006911869735</v>
      </c>
      <c r="Q34" s="13" t="n">
        <v>0.644754134087095</v>
      </c>
      <c r="R34" s="9" t="n">
        <v>0</v>
      </c>
    </row>
    <row r="35" customFormat="false" ht="15" hidden="false" customHeight="false" outlineLevel="0" collapsed="false">
      <c r="A35" s="15" t="s">
        <v>220</v>
      </c>
      <c r="B35" s="19" t="s">
        <v>221</v>
      </c>
      <c r="C35" s="15" t="s">
        <v>72</v>
      </c>
      <c r="D35" s="15" t="s">
        <v>55</v>
      </c>
      <c r="E35" s="19" t="s">
        <v>204</v>
      </c>
      <c r="F35" s="19" t="s">
        <v>222</v>
      </c>
      <c r="G35" s="15"/>
      <c r="H35" s="9" t="n">
        <v>156593.808245</v>
      </c>
      <c r="I35" s="11" t="n">
        <v>967.1842549925</v>
      </c>
      <c r="J35" s="10" t="n">
        <v>0.06</v>
      </c>
      <c r="K35" s="10" t="n">
        <v>0.06</v>
      </c>
      <c r="L35" s="11" t="n">
        <v>0.18420632635194</v>
      </c>
      <c r="M35" s="10" t="n">
        <v>-0.06</v>
      </c>
      <c r="N35" s="10" t="n">
        <v>-0.0734594486697618</v>
      </c>
      <c r="O35" s="10" t="n">
        <v>-0.411674998036148</v>
      </c>
      <c r="P35" s="10" t="n">
        <v>-0.47768843837517</v>
      </c>
      <c r="Q35" s="13" t="n">
        <v>1.14077811353786</v>
      </c>
      <c r="R35" s="9" t="n">
        <v>0</v>
      </c>
    </row>
    <row r="36" customFormat="false" ht="15" hidden="false" customHeight="false" outlineLevel="0" collapsed="false">
      <c r="A36" s="15" t="s">
        <v>223</v>
      </c>
      <c r="B36" s="19" t="s">
        <v>224</v>
      </c>
      <c r="C36" s="15" t="s">
        <v>72</v>
      </c>
      <c r="D36" s="15" t="s">
        <v>55</v>
      </c>
      <c r="E36" s="19" t="s">
        <v>158</v>
      </c>
      <c r="F36" s="19" t="s">
        <v>225</v>
      </c>
      <c r="G36" s="15"/>
      <c r="H36" s="9" t="n">
        <v>151500</v>
      </c>
      <c r="I36" s="11" t="n">
        <v>323.425462125</v>
      </c>
      <c r="J36" s="10" t="n">
        <v>0.06</v>
      </c>
      <c r="K36" s="10" t="n">
        <v>0.06</v>
      </c>
      <c r="L36" s="11" t="n">
        <v>0.463785377361622</v>
      </c>
      <c r="M36" s="10" t="n">
        <v>-0.06</v>
      </c>
      <c r="N36" s="10" t="n">
        <v>-0.0170846934038302</v>
      </c>
      <c r="O36" s="10" t="n">
        <v>0.119234537368308</v>
      </c>
      <c r="P36" s="10" t="n">
        <v>-0.304174742430496</v>
      </c>
      <c r="Q36" s="13" t="n">
        <v>0.537476492781509</v>
      </c>
      <c r="R36" s="9" t="n">
        <v>0</v>
      </c>
    </row>
    <row r="37" customFormat="false" ht="15" hidden="false" customHeight="false" outlineLevel="0" collapsed="false">
      <c r="A37" s="15" t="s">
        <v>226</v>
      </c>
      <c r="B37" s="15" t="s">
        <v>227</v>
      </c>
      <c r="C37" s="15" t="s">
        <v>72</v>
      </c>
      <c r="D37" s="15" t="s">
        <v>55</v>
      </c>
      <c r="E37" s="19" t="s">
        <v>105</v>
      </c>
      <c r="F37" s="19" t="s">
        <v>228</v>
      </c>
      <c r="G37" s="15"/>
      <c r="H37" s="9" t="n">
        <v>135587.66653</v>
      </c>
      <c r="I37" s="11" t="n">
        <v>186.4703469755</v>
      </c>
      <c r="J37" s="10" t="n">
        <v>0.06</v>
      </c>
      <c r="K37" s="10" t="n">
        <v>0.06</v>
      </c>
      <c r="L37" s="11" t="n">
        <v>0.804417444558669</v>
      </c>
      <c r="M37" s="10" t="n">
        <v>-0.06</v>
      </c>
      <c r="N37" s="10" t="n">
        <v>0.0247217841565031</v>
      </c>
      <c r="O37" s="10" t="n">
        <v>0.0222437391621908</v>
      </c>
      <c r="P37" s="10" t="n">
        <v>-0.219621303348794</v>
      </c>
      <c r="Q37" s="13" t="n">
        <v>0.741082739305574</v>
      </c>
      <c r="R37" s="9" t="n">
        <v>0</v>
      </c>
    </row>
    <row r="38" customFormat="false" ht="15" hidden="false" customHeight="false" outlineLevel="0" collapsed="false">
      <c r="A38" s="15" t="s">
        <v>229</v>
      </c>
      <c r="B38" s="19" t="s">
        <v>230</v>
      </c>
      <c r="C38" s="15" t="s">
        <v>72</v>
      </c>
      <c r="D38" s="15" t="s">
        <v>55</v>
      </c>
      <c r="E38" s="19" t="s">
        <v>231</v>
      </c>
      <c r="F38" s="19" t="s">
        <v>232</v>
      </c>
      <c r="G38" s="15"/>
      <c r="H38" s="9" t="n">
        <v>107336.3226815</v>
      </c>
      <c r="I38" s="11" t="n">
        <v>707.4208966875</v>
      </c>
      <c r="J38" s="10" t="n">
        <v>0.06</v>
      </c>
      <c r="K38" s="10" t="n">
        <v>0.06</v>
      </c>
      <c r="L38" s="11" t="n">
        <v>0.21203784154861</v>
      </c>
      <c r="M38" s="10" t="n">
        <v>-0.06</v>
      </c>
      <c r="N38" s="10" t="n">
        <v>0.0838164884482557</v>
      </c>
      <c r="O38" s="10" t="n">
        <v>0.292484237049233</v>
      </c>
      <c r="P38" s="10" t="n">
        <v>-0.0280903304213536</v>
      </c>
      <c r="Q38" s="13" t="n">
        <v>1.08264190676886</v>
      </c>
      <c r="R38" s="9" t="n">
        <v>0</v>
      </c>
    </row>
    <row r="39" customFormat="false" ht="15" hidden="false" customHeight="false" outlineLevel="0" collapsed="false">
      <c r="A39" s="15" t="s">
        <v>233</v>
      </c>
      <c r="B39" s="19" t="s">
        <v>234</v>
      </c>
      <c r="C39" s="15" t="s">
        <v>72</v>
      </c>
      <c r="D39" s="15" t="s">
        <v>55</v>
      </c>
      <c r="E39" s="19" t="s">
        <v>235</v>
      </c>
      <c r="F39" s="19" t="s">
        <v>236</v>
      </c>
      <c r="G39" s="15"/>
      <c r="H39" s="9" t="n">
        <v>89327.929302</v>
      </c>
      <c r="I39" s="11" t="n">
        <v>123.40482875</v>
      </c>
      <c r="J39" s="10" t="n">
        <v>0.06</v>
      </c>
      <c r="K39" s="10" t="n">
        <v>0.06</v>
      </c>
      <c r="L39" s="11" t="n">
        <v>1.21551159317986</v>
      </c>
      <c r="M39" s="10" t="n">
        <v>-0.06</v>
      </c>
      <c r="N39" s="10" t="n">
        <v>0.0918744846849273</v>
      </c>
      <c r="O39" s="10" t="n">
        <v>0.0783705050160346</v>
      </c>
      <c r="P39" s="10" t="n">
        <v>-0.227184237861652</v>
      </c>
      <c r="Q39" s="13" t="n">
        <v>0.736610049098452</v>
      </c>
      <c r="R39" s="9" t="n">
        <v>1</v>
      </c>
    </row>
    <row r="40" customFormat="false" ht="15" hidden="false" customHeight="false" outlineLevel="0" collapsed="false">
      <c r="A40" s="15" t="s">
        <v>237</v>
      </c>
      <c r="B40" s="19" t="s">
        <v>238</v>
      </c>
      <c r="C40" s="15" t="s">
        <v>72</v>
      </c>
      <c r="D40" s="15" t="s">
        <v>55</v>
      </c>
      <c r="E40" s="19" t="s">
        <v>239</v>
      </c>
      <c r="F40" s="19" t="s">
        <v>240</v>
      </c>
      <c r="G40" s="15" t="s">
        <v>241</v>
      </c>
      <c r="H40" s="9" t="n">
        <v>88459.239195</v>
      </c>
      <c r="I40" s="11" t="n">
        <v>354.180406375</v>
      </c>
      <c r="J40" s="10" t="n">
        <v>0.06</v>
      </c>
      <c r="K40" s="10" t="n">
        <v>0.06</v>
      </c>
      <c r="L40" s="11" t="n">
        <v>0.570379198824013</v>
      </c>
      <c r="M40" s="10" t="n">
        <v>-0.06</v>
      </c>
      <c r="N40" s="10" t="n">
        <v>-0.0860628156822291</v>
      </c>
      <c r="O40" s="10" t="n">
        <v>-0.521668749587279</v>
      </c>
      <c r="P40" s="10" t="n">
        <v>-0.521668749587279</v>
      </c>
      <c r="Q40" s="13" t="n">
        <v>1.26168537643154</v>
      </c>
      <c r="R40" s="9" t="n">
        <v>0</v>
      </c>
    </row>
    <row r="41" customFormat="false" ht="15" hidden="false" customHeight="false" outlineLevel="0" collapsed="false">
      <c r="A41" s="15" t="s">
        <v>242</v>
      </c>
      <c r="B41" s="19" t="s">
        <v>243</v>
      </c>
      <c r="C41" s="15" t="s">
        <v>72</v>
      </c>
      <c r="D41" s="15" t="s">
        <v>55</v>
      </c>
      <c r="E41" s="19" t="s">
        <v>244</v>
      </c>
      <c r="F41" s="15" t="s">
        <v>245</v>
      </c>
      <c r="G41" s="19" t="s">
        <v>246</v>
      </c>
      <c r="H41" s="9" t="n">
        <v>71300.735289</v>
      </c>
      <c r="I41" s="11" t="n">
        <v>581.1737042025</v>
      </c>
      <c r="J41" s="10" t="n">
        <v>0.06</v>
      </c>
      <c r="K41" s="10" t="n">
        <v>0.06</v>
      </c>
      <c r="L41" s="11" t="n">
        <v>0.552652463779759</v>
      </c>
      <c r="M41" s="10" t="n">
        <v>-0.06</v>
      </c>
      <c r="N41" s="10" t="n">
        <v>0.329072677634658</v>
      </c>
      <c r="O41" s="10" t="n">
        <v>0.365360400602974</v>
      </c>
      <c r="P41" s="10" t="n">
        <v>-0.261884979806956</v>
      </c>
      <c r="Q41" s="13" t="n">
        <v>1.84492959994552</v>
      </c>
      <c r="R41" s="9" t="n">
        <v>1</v>
      </c>
    </row>
    <row r="42" customFormat="false" ht="15" hidden="false" customHeight="false" outlineLevel="0" collapsed="false">
      <c r="A42" s="15" t="s">
        <v>247</v>
      </c>
      <c r="B42" s="19" t="s">
        <v>248</v>
      </c>
      <c r="C42" s="15" t="s">
        <v>72</v>
      </c>
      <c r="D42" s="15" t="s">
        <v>55</v>
      </c>
      <c r="E42" s="19" t="s">
        <v>249</v>
      </c>
      <c r="F42" s="15" t="s">
        <v>250</v>
      </c>
      <c r="G42" s="15" t="s">
        <v>241</v>
      </c>
      <c r="H42" s="9" t="n">
        <v>68827.029365</v>
      </c>
      <c r="I42" s="11" t="n">
        <v>1252.62711817</v>
      </c>
      <c r="J42" s="10" t="n">
        <v>0.06</v>
      </c>
      <c r="K42" s="10" t="n">
        <v>0.06</v>
      </c>
      <c r="L42" s="11" t="n">
        <v>0.119748325598395</v>
      </c>
      <c r="M42" s="10" t="n">
        <v>-0.06</v>
      </c>
      <c r="N42" s="10" t="n">
        <v>0.0318694063904301</v>
      </c>
      <c r="O42" s="10" t="n">
        <v>3.38686823158618</v>
      </c>
      <c r="P42" s="10" t="n">
        <v>-0.548891978697635</v>
      </c>
      <c r="Q42" s="13" t="n">
        <v>0.27421566726771</v>
      </c>
      <c r="R42" s="9" t="n">
        <v>0</v>
      </c>
    </row>
    <row r="43" customFormat="false" ht="15" hidden="false" customHeight="false" outlineLevel="0" collapsed="false">
      <c r="A43" s="15" t="s">
        <v>251</v>
      </c>
      <c r="B43" s="15" t="s">
        <v>252</v>
      </c>
      <c r="C43" s="15" t="s">
        <v>72</v>
      </c>
      <c r="D43" s="15" t="s">
        <v>55</v>
      </c>
      <c r="E43" s="19" t="s">
        <v>253</v>
      </c>
      <c r="F43" s="15" t="s">
        <v>254</v>
      </c>
      <c r="G43" s="19" t="s">
        <v>124</v>
      </c>
      <c r="H43" s="9" t="n">
        <v>64838.326641</v>
      </c>
      <c r="I43" s="11" t="n">
        <v>316.4433932</v>
      </c>
      <c r="J43" s="10" t="n">
        <v>0.06</v>
      </c>
      <c r="K43" s="10" t="n">
        <v>0.06</v>
      </c>
      <c r="L43" s="11" t="n">
        <v>0.474018428645771</v>
      </c>
      <c r="M43" s="10" t="n">
        <v>-0.06</v>
      </c>
      <c r="N43" s="10" t="n">
        <v>-0.0465565405502612</v>
      </c>
      <c r="O43" s="10" t="n">
        <v>0.375911233936666</v>
      </c>
      <c r="P43" s="10" t="n">
        <v>-0.316809068562827</v>
      </c>
      <c r="Q43" s="13" t="n">
        <v>0.609879175878561</v>
      </c>
      <c r="R43" s="9" t="n">
        <v>0</v>
      </c>
    </row>
    <row r="44" customFormat="false" ht="15" hidden="false" customHeight="false" outlineLevel="0" collapsed="false">
      <c r="A44" s="15" t="s">
        <v>255</v>
      </c>
      <c r="B44" s="19" t="s">
        <v>256</v>
      </c>
      <c r="C44" s="15" t="s">
        <v>72</v>
      </c>
      <c r="D44" s="15" t="s">
        <v>55</v>
      </c>
      <c r="E44" s="19" t="s">
        <v>109</v>
      </c>
      <c r="F44" s="19" t="s">
        <v>257</v>
      </c>
      <c r="G44" s="19" t="s">
        <v>109</v>
      </c>
      <c r="H44" s="9" t="n">
        <v>64543.41478</v>
      </c>
      <c r="I44" s="11" t="n">
        <v>216.616284977</v>
      </c>
      <c r="J44" s="10" t="n">
        <v>0.06</v>
      </c>
      <c r="K44" s="10" t="n">
        <v>0.06</v>
      </c>
      <c r="L44" s="11" t="n">
        <v>0.692468712663624</v>
      </c>
      <c r="M44" s="10" t="n">
        <v>-0.06</v>
      </c>
      <c r="N44" s="10" t="n">
        <v>-0.0974469220958377</v>
      </c>
      <c r="O44" s="10" t="n">
        <v>-0.131351037676544</v>
      </c>
      <c r="P44" s="10" t="n">
        <v>-0.429491232821088</v>
      </c>
      <c r="Q44" s="13" t="n">
        <v>0.466171592817697</v>
      </c>
      <c r="R44" s="9" t="n">
        <v>0</v>
      </c>
    </row>
    <row r="45" customFormat="false" ht="15" hidden="false" customHeight="false" outlineLevel="0" collapsed="false">
      <c r="A45" s="15" t="s">
        <v>258</v>
      </c>
      <c r="B45" s="19" t="s">
        <v>259</v>
      </c>
      <c r="C45" s="15" t="s">
        <v>72</v>
      </c>
      <c r="D45" s="15" t="s">
        <v>55</v>
      </c>
      <c r="E45" s="19" t="s">
        <v>178</v>
      </c>
      <c r="F45" s="19" t="s">
        <v>260</v>
      </c>
      <c r="G45" s="15"/>
      <c r="H45" s="9" t="n">
        <v>58994.613555</v>
      </c>
      <c r="I45" s="11" t="n">
        <v>845.734985125</v>
      </c>
      <c r="J45" s="10" t="n">
        <v>0.06</v>
      </c>
      <c r="K45" s="10" t="n">
        <v>0.06</v>
      </c>
      <c r="L45" s="11" t="n">
        <v>0.266824293434249</v>
      </c>
      <c r="M45" s="10" t="n">
        <v>-0.06</v>
      </c>
      <c r="N45" s="10" t="n">
        <v>0.211662036993289</v>
      </c>
      <c r="O45" s="10" t="n">
        <v>0.0181701827019045</v>
      </c>
      <c r="P45" s="10" t="n">
        <v>-0.264581045990221</v>
      </c>
      <c r="Q45" s="13" t="n">
        <v>1.39303351665099</v>
      </c>
      <c r="R45" s="9" t="n">
        <v>1</v>
      </c>
    </row>
    <row r="46" customFormat="false" ht="15" hidden="false" customHeight="false" outlineLevel="0" collapsed="false">
      <c r="A46" s="15" t="s">
        <v>261</v>
      </c>
      <c r="B46" s="19" t="s">
        <v>262</v>
      </c>
      <c r="C46" s="15" t="s">
        <v>72</v>
      </c>
      <c r="D46" s="15" t="s">
        <v>55</v>
      </c>
      <c r="E46" s="19" t="s">
        <v>263</v>
      </c>
      <c r="F46" s="19" t="s">
        <v>264</v>
      </c>
      <c r="G46" s="15"/>
      <c r="H46" s="9" t="n">
        <v>51110.722884</v>
      </c>
      <c r="I46" s="11" t="n">
        <v>133.579092494</v>
      </c>
      <c r="J46" s="10" t="n">
        <v>0.06</v>
      </c>
      <c r="K46" s="10" t="n">
        <v>0.06</v>
      </c>
      <c r="L46" s="11" t="n">
        <v>1.1229302220835</v>
      </c>
      <c r="M46" s="10" t="n">
        <v>-0.06</v>
      </c>
      <c r="N46" s="10" t="n">
        <v>-0.00767304660705515</v>
      </c>
      <c r="O46" s="10" t="n">
        <v>0.223569947085864</v>
      </c>
      <c r="P46" s="10" t="n">
        <v>-0.114171761914449</v>
      </c>
      <c r="Q46" s="13" t="n">
        <v>0.870136385459912</v>
      </c>
      <c r="R46" s="9" t="n">
        <v>0</v>
      </c>
    </row>
    <row r="47" customFormat="false" ht="15" hidden="false" customHeight="false" outlineLevel="0" collapsed="false">
      <c r="A47" s="15" t="s">
        <v>265</v>
      </c>
      <c r="B47" s="19" t="s">
        <v>266</v>
      </c>
      <c r="C47" s="15" t="s">
        <v>72</v>
      </c>
      <c r="D47" s="15" t="s">
        <v>55</v>
      </c>
      <c r="E47" s="19" t="s">
        <v>253</v>
      </c>
      <c r="F47" s="19" t="s">
        <v>267</v>
      </c>
      <c r="G47" s="15" t="s">
        <v>241</v>
      </c>
      <c r="H47" s="9" t="n">
        <v>42910.82676</v>
      </c>
      <c r="I47" s="11" t="n">
        <v>287.038862525</v>
      </c>
      <c r="J47" s="10" t="n">
        <v>0.06</v>
      </c>
      <c r="K47" s="10" t="n">
        <v>0.06</v>
      </c>
      <c r="L47" s="11" t="n">
        <v>0.522577321692583</v>
      </c>
      <c r="M47" s="10" t="n">
        <v>-0.06</v>
      </c>
      <c r="N47" s="10" t="n">
        <v>-0.093120969249097</v>
      </c>
      <c r="O47" s="10" t="n">
        <v>-0.151412194908216</v>
      </c>
      <c r="P47" s="10" t="n">
        <v>-0.602896229172752</v>
      </c>
      <c r="Q47" s="13" t="n">
        <v>0.269931728292798</v>
      </c>
      <c r="R47" s="9" t="n">
        <v>0</v>
      </c>
    </row>
    <row r="48" customFormat="false" ht="15" hidden="false" customHeight="false" outlineLevel="0" collapsed="false">
      <c r="A48" s="15" t="s">
        <v>268</v>
      </c>
      <c r="B48" s="15" t="s">
        <v>269</v>
      </c>
      <c r="C48" s="15" t="s">
        <v>72</v>
      </c>
      <c r="D48" s="15" t="s">
        <v>55</v>
      </c>
      <c r="E48" s="19" t="s">
        <v>270</v>
      </c>
      <c r="F48" s="19" t="s">
        <v>271</v>
      </c>
      <c r="G48" s="15"/>
      <c r="H48" s="9" t="n">
        <v>37492.44243</v>
      </c>
      <c r="I48" s="11" t="n">
        <v>166.411955897</v>
      </c>
      <c r="J48" s="10" t="n">
        <v>0.06</v>
      </c>
      <c r="K48" s="10" t="n">
        <v>0.06</v>
      </c>
      <c r="L48" s="11" t="n">
        <v>0.901377543407049</v>
      </c>
      <c r="M48" s="10" t="n">
        <v>-0.06</v>
      </c>
      <c r="N48" s="10" t="n">
        <v>-0.067464962519213</v>
      </c>
      <c r="O48" s="10" t="n">
        <v>-0.252501205985554</v>
      </c>
      <c r="P48" s="10" t="n">
        <v>-0.445889057946965</v>
      </c>
      <c r="Q48" s="13" t="n">
        <v>0.674194027147835</v>
      </c>
      <c r="R48" s="9" t="n">
        <v>0</v>
      </c>
    </row>
    <row r="49" customFormat="false" ht="15" hidden="false" customHeight="false" outlineLevel="0" collapsed="false">
      <c r="A49" s="15" t="s">
        <v>272</v>
      </c>
      <c r="B49" s="19" t="s">
        <v>273</v>
      </c>
      <c r="C49" s="15" t="s">
        <v>72</v>
      </c>
      <c r="D49" s="15" t="s">
        <v>55</v>
      </c>
      <c r="E49" s="15" t="s">
        <v>166</v>
      </c>
      <c r="F49" s="19" t="s">
        <v>274</v>
      </c>
      <c r="G49" s="19" t="s">
        <v>124</v>
      </c>
      <c r="H49" s="9" t="n">
        <v>35867.8761924</v>
      </c>
      <c r="I49" s="11" t="n">
        <v>118.07578766</v>
      </c>
      <c r="J49" s="10" t="n">
        <v>0.06</v>
      </c>
      <c r="K49" s="10" t="n">
        <v>0.06</v>
      </c>
      <c r="L49" s="11" t="n">
        <v>1.270370521956</v>
      </c>
      <c r="M49" s="10" t="n">
        <v>-0.06</v>
      </c>
      <c r="N49" s="10" t="n">
        <v>-0.00977549107481401</v>
      </c>
      <c r="O49" s="10" t="n">
        <v>0.180128678617864</v>
      </c>
      <c r="P49" s="10" t="n">
        <v>-0.389822595462583</v>
      </c>
      <c r="Q49" s="13" t="n">
        <v>0.157835455459756</v>
      </c>
      <c r="R49" s="9" t="n">
        <v>0</v>
      </c>
    </row>
    <row r="50" customFormat="false" ht="15" hidden="false" customHeight="false" outlineLevel="0" collapsed="false">
      <c r="A50" s="15" t="s">
        <v>275</v>
      </c>
      <c r="B50" s="19" t="s">
        <v>276</v>
      </c>
      <c r="C50" s="15" t="s">
        <v>72</v>
      </c>
      <c r="D50" s="15" t="s">
        <v>55</v>
      </c>
      <c r="E50" s="19" t="s">
        <v>277</v>
      </c>
      <c r="F50" s="19" t="s">
        <v>278</v>
      </c>
      <c r="G50" s="15" t="s">
        <v>241</v>
      </c>
      <c r="H50" s="9" t="n">
        <v>35844.461895</v>
      </c>
      <c r="I50" s="11" t="n">
        <v>364.640794</v>
      </c>
      <c r="J50" s="10" t="n">
        <v>0.06</v>
      </c>
      <c r="K50" s="10" t="n">
        <v>0.06</v>
      </c>
      <c r="L50" s="11" t="n">
        <v>0.411363737870755</v>
      </c>
      <c r="M50" s="10" t="n">
        <v>-0.06</v>
      </c>
      <c r="N50" s="10" t="n">
        <v>-0.117212596115402</v>
      </c>
      <c r="O50" s="10" t="n">
        <v>0.536297914079033</v>
      </c>
      <c r="P50" s="10" t="n">
        <v>-0.510830550454253</v>
      </c>
      <c r="Q50" s="13" t="n">
        <v>0.82380142389414</v>
      </c>
      <c r="R50" s="9" t="n">
        <v>0</v>
      </c>
    </row>
    <row r="51" customFormat="false" ht="15" hidden="false" customHeight="false" outlineLevel="0" collapsed="false">
      <c r="A51" s="15" t="s">
        <v>279</v>
      </c>
      <c r="B51" s="19" t="s">
        <v>280</v>
      </c>
      <c r="C51" s="15" t="s">
        <v>72</v>
      </c>
      <c r="D51" s="15" t="s">
        <v>55</v>
      </c>
      <c r="E51" s="19" t="s">
        <v>178</v>
      </c>
      <c r="F51" s="19" t="s">
        <v>281</v>
      </c>
      <c r="G51" s="19" t="s">
        <v>282</v>
      </c>
      <c r="H51" s="9" t="n">
        <v>35221.64825</v>
      </c>
      <c r="I51" s="11" t="n">
        <v>270.99958415</v>
      </c>
      <c r="J51" s="10" t="n">
        <v>0.06</v>
      </c>
      <c r="K51" s="10" t="n">
        <v>0.06</v>
      </c>
      <c r="L51" s="11" t="n">
        <v>1.17323080381042</v>
      </c>
      <c r="M51" s="10" t="n">
        <v>-0.04</v>
      </c>
      <c r="N51" s="10" t="n">
        <v>0.276414842841863</v>
      </c>
      <c r="O51" s="10" t="n">
        <v>0.421567530196055</v>
      </c>
      <c r="P51" s="10" t="n">
        <v>-0.08846449913396</v>
      </c>
      <c r="Q51" s="13" t="n">
        <v>3.12570020703324</v>
      </c>
      <c r="R51" s="9" t="n">
        <v>2</v>
      </c>
    </row>
    <row r="52" customFormat="false" ht="15" hidden="false" customHeight="false" outlineLevel="0" collapsed="false">
      <c r="A52" s="15" t="s">
        <v>283</v>
      </c>
      <c r="B52" s="19" t="s">
        <v>284</v>
      </c>
      <c r="C52" s="15" t="s">
        <v>72</v>
      </c>
      <c r="D52" s="15" t="s">
        <v>55</v>
      </c>
      <c r="E52" s="19" t="s">
        <v>109</v>
      </c>
      <c r="F52" s="19" t="s">
        <v>285</v>
      </c>
      <c r="G52" s="15" t="s">
        <v>286</v>
      </c>
      <c r="H52" s="9" t="n">
        <v>14360.50096</v>
      </c>
      <c r="I52" s="11" t="n">
        <v>181.173613125</v>
      </c>
      <c r="J52" s="10" t="n">
        <v>0.06</v>
      </c>
      <c r="K52" s="10" t="n">
        <v>0.06</v>
      </c>
      <c r="L52" s="11" t="n">
        <v>0.827935135877144</v>
      </c>
      <c r="M52" s="10" t="n">
        <v>-0.04</v>
      </c>
      <c r="N52" s="10" t="n">
        <v>0.0454281418541866</v>
      </c>
      <c r="O52" s="10" t="n">
        <v>3.26039005095925</v>
      </c>
      <c r="P52" s="10" t="n">
        <v>-0.482235385174851</v>
      </c>
      <c r="Q52" s="13" t="n">
        <v>0.462916408067887</v>
      </c>
      <c r="R52" s="9" t="n">
        <v>2</v>
      </c>
    </row>
    <row r="53" customFormat="false" ht="15" hidden="false" customHeight="false" outlineLevel="0" collapsed="false">
      <c r="A53" s="15" t="s">
        <v>287</v>
      </c>
      <c r="B53" s="19" t="s">
        <v>288</v>
      </c>
      <c r="C53" s="15" t="s">
        <v>73</v>
      </c>
      <c r="D53" s="15" t="s">
        <v>55</v>
      </c>
      <c r="E53" s="19" t="s">
        <v>289</v>
      </c>
      <c r="F53" s="15" t="s">
        <v>290</v>
      </c>
      <c r="G53" s="19" t="s">
        <v>291</v>
      </c>
      <c r="H53" s="9" t="n">
        <v>12481.275825</v>
      </c>
      <c r="I53" s="11" t="n">
        <v>142.39353815</v>
      </c>
      <c r="J53" s="10" t="n">
        <v>0.06</v>
      </c>
      <c r="K53" s="10" t="n">
        <v>0.06</v>
      </c>
      <c r="L53" s="11" t="n">
        <v>1.05341858871424</v>
      </c>
      <c r="M53" s="10" t="n">
        <v>-0.06</v>
      </c>
      <c r="N53" s="10" t="n">
        <v>0.114605129797305</v>
      </c>
      <c r="O53" s="10" t="n">
        <v>0.347428643517756</v>
      </c>
      <c r="P53" s="10" t="n">
        <v>-0.564292429738542</v>
      </c>
      <c r="Q53" s="13" t="n">
        <v>0.666923650167454</v>
      </c>
      <c r="R53" s="9" t="n">
        <v>1</v>
      </c>
    </row>
    <row r="54" customFormat="false" ht="15" hidden="false" customHeight="false" outlineLevel="0" collapsed="false">
      <c r="A54" s="15" t="s">
        <v>292</v>
      </c>
      <c r="B54" s="19" t="s">
        <v>293</v>
      </c>
      <c r="C54" s="15" t="s">
        <v>72</v>
      </c>
      <c r="D54" s="15" t="s">
        <v>56</v>
      </c>
      <c r="E54" s="19" t="s">
        <v>253</v>
      </c>
      <c r="F54" s="19" t="s">
        <v>294</v>
      </c>
      <c r="G54" s="15"/>
      <c r="H54" s="9" t="n">
        <v>60197.60882</v>
      </c>
      <c r="I54" s="11" t="n">
        <v>86.681701975</v>
      </c>
      <c r="J54" s="10" t="n">
        <v>0.06</v>
      </c>
      <c r="K54" s="10" t="n">
        <v>0.052009021185</v>
      </c>
      <c r="L54" s="11" t="n">
        <v>1.73046902151577</v>
      </c>
      <c r="M54" s="10" t="n">
        <v>-0.06</v>
      </c>
      <c r="N54" s="10" t="n">
        <v>-0.0233466820196322</v>
      </c>
      <c r="O54" s="10" t="n">
        <v>0.0886067067431293</v>
      </c>
      <c r="P54" s="10" t="n">
        <v>-0.181263189416058</v>
      </c>
      <c r="Q54" s="13" t="n">
        <v>0.505642608653708</v>
      </c>
      <c r="R54" s="9" t="n">
        <v>0</v>
      </c>
    </row>
    <row r="55" customFormat="false" ht="15" hidden="false" customHeight="false" outlineLevel="0" collapsed="false">
      <c r="A55" s="15" t="s">
        <v>295</v>
      </c>
      <c r="B55" s="19" t="s">
        <v>296</v>
      </c>
      <c r="C55" s="15" t="s">
        <v>72</v>
      </c>
      <c r="D55" s="15" t="s">
        <v>56</v>
      </c>
      <c r="E55" s="19" t="s">
        <v>204</v>
      </c>
      <c r="F55" s="19" t="s">
        <v>297</v>
      </c>
      <c r="G55" s="15"/>
      <c r="H55" s="9" t="n">
        <v>26093.00559</v>
      </c>
      <c r="I55" s="11" t="n">
        <v>82.192569875</v>
      </c>
      <c r="J55" s="10" t="n">
        <v>0.06</v>
      </c>
      <c r="K55" s="10" t="n">
        <v>0.049315541925</v>
      </c>
      <c r="L55" s="11" t="n">
        <v>1.82498247990205</v>
      </c>
      <c r="M55" s="10" t="n">
        <v>-0.06</v>
      </c>
      <c r="N55" s="10" t="n">
        <v>0.0574176834946338</v>
      </c>
      <c r="O55" s="10" t="n">
        <v>-0.131918700972152</v>
      </c>
      <c r="P55" s="10" t="n">
        <v>-0.482943293261391</v>
      </c>
      <c r="Q55" s="13" t="n">
        <v>0.48706330625796</v>
      </c>
      <c r="R55" s="9" t="n">
        <v>0</v>
      </c>
    </row>
    <row r="56" customFormat="false" ht="15" hidden="false" customHeight="false" outlineLevel="0" collapsed="false">
      <c r="A56" s="15" t="s">
        <v>298</v>
      </c>
      <c r="B56" s="19" t="s">
        <v>299</v>
      </c>
      <c r="C56" s="15" t="s">
        <v>72</v>
      </c>
      <c r="D56" s="15" t="s">
        <v>56</v>
      </c>
      <c r="E56" s="19" t="s">
        <v>300</v>
      </c>
      <c r="F56" s="19" t="s">
        <v>301</v>
      </c>
      <c r="G56" s="15"/>
      <c r="H56" s="9" t="n">
        <v>20365.714422</v>
      </c>
      <c r="I56" s="11" t="n">
        <v>91.923085517</v>
      </c>
      <c r="J56" s="10" t="n">
        <v>0.06</v>
      </c>
      <c r="K56" s="10" t="n">
        <v>0.0551538513102</v>
      </c>
      <c r="L56" s="11" t="n">
        <v>1.63179901062241</v>
      </c>
      <c r="M56" s="10" t="n">
        <v>-0.06</v>
      </c>
      <c r="N56" s="10" t="n">
        <v>-0.0740744436320729</v>
      </c>
      <c r="O56" s="10" t="n">
        <v>-0.0922440637433131</v>
      </c>
      <c r="P56" s="10" t="n">
        <v>-0.421618876140534</v>
      </c>
      <c r="Q56" s="13" t="n">
        <v>0.547983676539949</v>
      </c>
      <c r="R56" s="9" t="n">
        <v>0</v>
      </c>
    </row>
    <row r="57" customFormat="false" ht="15" hidden="false" customHeight="false" outlineLevel="0" collapsed="false">
      <c r="A57" s="15" t="s">
        <v>302</v>
      </c>
      <c r="B57" s="15" t="s">
        <v>303</v>
      </c>
      <c r="C57" s="15" t="s">
        <v>72</v>
      </c>
      <c r="D57" s="15" t="s">
        <v>56</v>
      </c>
      <c r="E57" s="19" t="s">
        <v>109</v>
      </c>
      <c r="F57" s="15" t="s">
        <v>304</v>
      </c>
      <c r="G57" s="19" t="s">
        <v>109</v>
      </c>
      <c r="H57" s="9" t="n">
        <v>12696.979961</v>
      </c>
      <c r="I57" s="11" t="n">
        <v>58.683901202</v>
      </c>
      <c r="J57" s="10" t="n">
        <v>0.06</v>
      </c>
      <c r="K57" s="10" t="n">
        <v>0.0352103407212</v>
      </c>
      <c r="L57" s="11" t="n">
        <v>2.55606728468297</v>
      </c>
      <c r="M57" s="10" t="n">
        <v>-0.06</v>
      </c>
      <c r="N57" s="10" t="n">
        <v>0.156395400598962</v>
      </c>
      <c r="O57" s="10" t="n">
        <v>0.522762024482293</v>
      </c>
      <c r="P57" s="10" t="n">
        <v>-0.406161456775334</v>
      </c>
      <c r="Q57" s="13" t="n">
        <v>0.274936821667687</v>
      </c>
      <c r="R57" s="9" t="n">
        <v>0</v>
      </c>
    </row>
    <row r="58" customFormat="false" ht="15" hidden="false" customHeight="false" outlineLevel="0" collapsed="false">
      <c r="A58" s="15" t="s">
        <v>305</v>
      </c>
      <c r="B58" s="19" t="s">
        <v>306</v>
      </c>
      <c r="C58" s="15" t="s">
        <v>72</v>
      </c>
      <c r="D58" s="15" t="s">
        <v>57</v>
      </c>
      <c r="E58" s="19" t="s">
        <v>307</v>
      </c>
      <c r="F58" s="19" t="s">
        <v>308</v>
      </c>
      <c r="G58" s="15"/>
      <c r="H58" s="9" t="n">
        <v>26617.24713</v>
      </c>
      <c r="I58" s="11" t="n">
        <v>29.583181475</v>
      </c>
      <c r="J58" s="10" t="n">
        <v>0.03549981777</v>
      </c>
      <c r="K58" s="10" t="n">
        <v>0.017749908885</v>
      </c>
      <c r="L58" s="11" t="n">
        <v>5.07044856303779</v>
      </c>
      <c r="M58" s="10" t="n">
        <v>-0.06</v>
      </c>
      <c r="N58" s="10" t="n">
        <v>-0.017436217416843</v>
      </c>
      <c r="O58" s="10" t="n">
        <v>0.385492309374154</v>
      </c>
      <c r="P58" s="10" t="n">
        <v>-0.424033641892172</v>
      </c>
      <c r="Q58" s="13" t="n">
        <v>0.351137267915656</v>
      </c>
      <c r="R58" s="9" t="n">
        <v>1</v>
      </c>
    </row>
    <row r="59" customFormat="false" ht="15" hidden="false" customHeight="false" outlineLevel="0" collapsed="false">
      <c r="A59" s="15" t="s">
        <v>309</v>
      </c>
      <c r="B59" s="19" t="s">
        <v>310</v>
      </c>
      <c r="C59" s="15" t="s">
        <v>72</v>
      </c>
      <c r="D59" s="15" t="s">
        <v>57</v>
      </c>
      <c r="E59" s="19" t="s">
        <v>311</v>
      </c>
      <c r="F59" s="19" t="s">
        <v>312</v>
      </c>
      <c r="G59" s="15"/>
      <c r="H59" s="9" t="n">
        <v>24766.448336</v>
      </c>
      <c r="I59" s="11" t="n">
        <v>29.60188955</v>
      </c>
      <c r="J59" s="10" t="n">
        <v>0.03552226746</v>
      </c>
      <c r="K59" s="10" t="n">
        <v>0.01776113373</v>
      </c>
      <c r="L59" s="11" t="n">
        <v>5.06724409422033</v>
      </c>
      <c r="M59" s="10" t="n">
        <v>-0.06</v>
      </c>
      <c r="N59" s="10" t="n">
        <v>0.0876592986099072</v>
      </c>
      <c r="O59" s="10" t="n">
        <v>-0.0607104339285176</v>
      </c>
      <c r="P59" s="10" t="n">
        <v>-0.356469077279469</v>
      </c>
      <c r="Q59" s="13" t="n">
        <v>0.47135628978367</v>
      </c>
      <c r="R59" s="9" t="n">
        <v>0</v>
      </c>
    </row>
    <row r="60" customFormat="false" ht="15" hidden="false" customHeight="false" outlineLevel="0" collapsed="false">
      <c r="A60" s="15" t="s">
        <v>313</v>
      </c>
      <c r="B60" s="19" t="s">
        <v>314</v>
      </c>
      <c r="C60" s="15" t="s">
        <v>72</v>
      </c>
      <c r="D60" s="15" t="s">
        <v>57</v>
      </c>
      <c r="E60" s="15" t="s">
        <v>315</v>
      </c>
      <c r="F60" s="19" t="s">
        <v>316</v>
      </c>
      <c r="G60" s="19" t="s">
        <v>317</v>
      </c>
      <c r="H60" s="9" t="n">
        <v>18299.931552</v>
      </c>
      <c r="I60" s="11" t="n">
        <v>90.1284485375</v>
      </c>
      <c r="J60" s="10" t="n">
        <v>0.05690381872</v>
      </c>
      <c r="K60" s="10" t="n">
        <v>0.02845190936</v>
      </c>
      <c r="L60" s="11" t="n">
        <v>3.1632323462456</v>
      </c>
      <c r="M60" s="10" t="n">
        <v>-0.06</v>
      </c>
      <c r="N60" s="10" t="n">
        <v>0.279212355291123</v>
      </c>
      <c r="O60" s="10" t="n">
        <v>0.599734967489897</v>
      </c>
      <c r="P60" s="10" t="n">
        <v>-0.019465</v>
      </c>
      <c r="Q60" s="13" t="n">
        <v>2.87303594062722</v>
      </c>
      <c r="R60" s="9" t="n">
        <v>0</v>
      </c>
    </row>
    <row r="61" customFormat="false" ht="15" hidden="false" customHeight="false" outlineLevel="0" collapsed="false">
      <c r="A61" s="15" t="s">
        <v>318</v>
      </c>
      <c r="B61" s="19" t="s">
        <v>319</v>
      </c>
      <c r="C61" s="15" t="s">
        <v>73</v>
      </c>
      <c r="D61" s="15" t="s">
        <v>57</v>
      </c>
      <c r="E61" s="19" t="s">
        <v>253</v>
      </c>
      <c r="F61" s="19" t="s">
        <v>320</v>
      </c>
      <c r="G61" s="15"/>
      <c r="H61" s="9" t="n">
        <v>18138.352622</v>
      </c>
      <c r="I61" s="11" t="n">
        <v>33.7953165375</v>
      </c>
      <c r="J61" s="10" t="n">
        <v>0.040554379845</v>
      </c>
      <c r="K61" s="10" t="n">
        <v>0.0202771899225</v>
      </c>
      <c r="L61" s="11" t="n">
        <v>4.43848483660619</v>
      </c>
      <c r="M61" s="10" t="n">
        <v>-0.06</v>
      </c>
      <c r="N61" s="10" t="n">
        <v>-0.0273457138338888</v>
      </c>
      <c r="O61" s="10" t="n">
        <v>-0.295778485441833</v>
      </c>
      <c r="P61" s="10" t="n">
        <v>-0.460285327815672</v>
      </c>
      <c r="Q61" s="13" t="n">
        <v>0.804760089638174</v>
      </c>
      <c r="R61" s="9" t="n">
        <v>0</v>
      </c>
    </row>
    <row r="62" customFormat="false" ht="15" hidden="false" customHeight="false" outlineLevel="0" collapsed="false">
      <c r="A62" s="15" t="s">
        <v>321</v>
      </c>
      <c r="B62" s="19" t="s">
        <v>322</v>
      </c>
      <c r="C62" s="15" t="s">
        <v>72</v>
      </c>
      <c r="D62" s="15" t="s">
        <v>57</v>
      </c>
      <c r="E62" s="19" t="s">
        <v>109</v>
      </c>
      <c r="F62" s="19" t="s">
        <v>323</v>
      </c>
      <c r="G62" s="19" t="s">
        <v>109</v>
      </c>
      <c r="H62" s="9" t="n">
        <v>15965.86569</v>
      </c>
      <c r="I62" s="11" t="n">
        <v>30.855464875</v>
      </c>
      <c r="J62" s="10" t="n">
        <v>0.03702655785</v>
      </c>
      <c r="K62" s="10" t="n">
        <v>0.018513278925</v>
      </c>
      <c r="L62" s="11" t="n">
        <v>4.86137546809526</v>
      </c>
      <c r="M62" s="10" t="n">
        <v>-0.06</v>
      </c>
      <c r="N62" s="10" t="n">
        <v>-0.14819685524224</v>
      </c>
      <c r="O62" s="10" t="n">
        <v>-0.149639256379222</v>
      </c>
      <c r="P62" s="10" t="n">
        <v>-0.457123479416843</v>
      </c>
      <c r="Q62" s="13" t="n">
        <v>0.330264110333117</v>
      </c>
      <c r="R62" s="9" t="n">
        <v>1</v>
      </c>
    </row>
    <row r="63" customFormat="false" ht="15" hidden="false" customHeight="false" outlineLevel="0" collapsed="false">
      <c r="A63" s="15" t="s">
        <v>324</v>
      </c>
      <c r="B63" s="19" t="s">
        <v>325</v>
      </c>
      <c r="C63" s="15" t="s">
        <v>72</v>
      </c>
      <c r="D63" s="15" t="s">
        <v>57</v>
      </c>
      <c r="E63" s="19" t="s">
        <v>113</v>
      </c>
      <c r="F63" s="19" t="s">
        <v>326</v>
      </c>
      <c r="G63" s="15"/>
      <c r="H63" s="9" t="n">
        <v>15219.632956</v>
      </c>
      <c r="I63" s="11" t="n">
        <v>18.8622115</v>
      </c>
      <c r="J63" s="10" t="n">
        <v>0.0226346538</v>
      </c>
      <c r="K63" s="10" t="n">
        <v>0.0113173269</v>
      </c>
      <c r="L63" s="11" t="n">
        <v>7.95240791356835</v>
      </c>
      <c r="M63" s="10" t="n">
        <v>-0.06</v>
      </c>
      <c r="N63" s="10" t="n">
        <v>-0.0212893920455702</v>
      </c>
      <c r="O63" s="10" t="n">
        <v>0.224550452809166</v>
      </c>
      <c r="P63" s="10" t="n">
        <v>-0.105868543476984</v>
      </c>
      <c r="Q63" s="13" t="n">
        <v>0.549714103134871</v>
      </c>
      <c r="R63" s="9" t="n">
        <v>0</v>
      </c>
    </row>
    <row r="64" customFormat="false" ht="15" hidden="false" customHeight="false" outlineLevel="0" collapsed="false">
      <c r="A64" s="15" t="s">
        <v>327</v>
      </c>
      <c r="B64" s="19" t="s">
        <v>328</v>
      </c>
      <c r="C64" s="15" t="s">
        <v>72</v>
      </c>
      <c r="D64" s="15" t="s">
        <v>57</v>
      </c>
      <c r="E64" s="19" t="s">
        <v>109</v>
      </c>
      <c r="F64" s="19" t="s">
        <v>329</v>
      </c>
      <c r="G64" s="15" t="s">
        <v>330</v>
      </c>
      <c r="H64" s="9" t="n">
        <v>13554.377475</v>
      </c>
      <c r="I64" s="11" t="n">
        <v>21.46631276</v>
      </c>
      <c r="J64" s="10" t="n">
        <v>0.025759575312</v>
      </c>
      <c r="K64" s="10" t="n">
        <v>0.012879787656</v>
      </c>
      <c r="L64" s="11" t="n">
        <v>6.98769284119943</v>
      </c>
      <c r="M64" s="10" t="n">
        <v>-0.06</v>
      </c>
      <c r="N64" s="10" t="n">
        <v>-0.0608552886063645</v>
      </c>
      <c r="O64" s="10" t="n">
        <v>-0.031291949099854</v>
      </c>
      <c r="P64" s="10" t="n">
        <v>-0.552571878307444</v>
      </c>
      <c r="Q64" s="13" t="n">
        <v>0.235156639082655</v>
      </c>
      <c r="R64" s="9" t="n">
        <v>0</v>
      </c>
    </row>
    <row r="65" customFormat="false" ht="15" hidden="false" customHeight="false" outlineLevel="0" collapsed="false">
      <c r="A65" s="15" t="s">
        <v>331</v>
      </c>
      <c r="B65" s="19" t="s">
        <v>332</v>
      </c>
      <c r="C65" s="15" t="s">
        <v>72</v>
      </c>
      <c r="D65" s="15" t="s">
        <v>58</v>
      </c>
      <c r="E65" s="19" t="s">
        <v>333</v>
      </c>
      <c r="F65" s="15" t="s">
        <v>334</v>
      </c>
      <c r="G65" s="19" t="s">
        <v>335</v>
      </c>
      <c r="H65" s="9" t="n">
        <v>6151.6217074</v>
      </c>
      <c r="I65" s="11" t="n">
        <v>2095.3241452</v>
      </c>
      <c r="J65" s="10" t="n">
        <v>0.06</v>
      </c>
      <c r="K65" s="10" t="n">
        <v>0.06</v>
      </c>
      <c r="L65" s="11" t="n">
        <v>0.108222825136649</v>
      </c>
      <c r="M65" s="10" t="n">
        <v>-0.04</v>
      </c>
      <c r="N65" s="10" t="n">
        <v>0.689958937613282</v>
      </c>
      <c r="O65" s="10" t="n">
        <v>3.13808753887444</v>
      </c>
      <c r="P65" s="10" t="n">
        <v>-0.0462619486884315</v>
      </c>
      <c r="Q65" s="13" t="n">
        <v>3.02410975935789</v>
      </c>
      <c r="R65" s="9" t="n">
        <v>7</v>
      </c>
    </row>
    <row r="66" customFormat="false" ht="15" hidden="false" customHeight="false" outlineLevel="0" collapsed="false">
      <c r="A66" s="15" t="s">
        <v>336</v>
      </c>
      <c r="B66" s="19" t="s">
        <v>337</v>
      </c>
      <c r="C66" s="15" t="s">
        <v>72</v>
      </c>
      <c r="D66" s="15" t="s">
        <v>58</v>
      </c>
      <c r="E66" s="19" t="s">
        <v>239</v>
      </c>
      <c r="F66" s="19" t="s">
        <v>338</v>
      </c>
      <c r="G66" s="19" t="s">
        <v>339</v>
      </c>
      <c r="H66" s="9" t="n">
        <v>5231.5116165</v>
      </c>
      <c r="I66" s="11" t="n">
        <v>516.904253375</v>
      </c>
      <c r="J66" s="10" t="n">
        <v>0.06</v>
      </c>
      <c r="K66" s="10" t="n">
        <v>0.06</v>
      </c>
      <c r="L66" s="11" t="n">
        <v>0.290189138550538</v>
      </c>
      <c r="M66" s="10" t="n">
        <v>-0.06</v>
      </c>
      <c r="N66" s="10"/>
      <c r="O66" s="10"/>
      <c r="P66" s="10" t="n">
        <v>-0.381640441547109</v>
      </c>
      <c r="Q66" s="13" t="n">
        <v>1</v>
      </c>
      <c r="R66" s="9" t="n">
        <v>1</v>
      </c>
    </row>
    <row r="67" customFormat="false" ht="15" hidden="false" customHeight="false" outlineLevel="0" collapsed="false">
      <c r="A67" s="15" t="s">
        <v>340</v>
      </c>
      <c r="B67" s="19" t="s">
        <v>341</v>
      </c>
      <c r="C67" s="15" t="s">
        <v>72</v>
      </c>
      <c r="D67" s="15" t="s">
        <v>55</v>
      </c>
      <c r="E67" s="15"/>
      <c r="F67" s="15"/>
      <c r="G67" s="19" t="s">
        <v>124</v>
      </c>
      <c r="H67" s="9" t="n">
        <v>67242.868264</v>
      </c>
      <c r="I67" s="11" t="n">
        <v>1367.7735991625</v>
      </c>
      <c r="J67" s="10" t="n">
        <v>0.06</v>
      </c>
      <c r="K67" s="10" t="n">
        <v>0.06</v>
      </c>
      <c r="L67" s="11" t="n">
        <v>0.145875124875838</v>
      </c>
      <c r="M67" s="10" t="n">
        <v>-0.06</v>
      </c>
      <c r="N67" s="10" t="n">
        <v>-0.00839140805972516</v>
      </c>
      <c r="O67" s="10" t="n">
        <v>0.182155339904157</v>
      </c>
      <c r="P67" s="10" t="n">
        <v>-0.458320307154728</v>
      </c>
      <c r="Q67" s="13" t="n">
        <v>0.974451250144608</v>
      </c>
      <c r="R67" s="9" t="n">
        <v>0</v>
      </c>
    </row>
    <row r="68" customFormat="false" ht="15" hidden="false" customHeight="false" outlineLevel="0" collapsed="false">
      <c r="A68" s="15" t="s">
        <v>342</v>
      </c>
      <c r="B68" s="19" t="s">
        <v>343</v>
      </c>
      <c r="C68" s="15" t="s">
        <v>72</v>
      </c>
      <c r="D68" s="15" t="s">
        <v>55</v>
      </c>
      <c r="E68" s="15"/>
      <c r="F68" s="15"/>
      <c r="G68" s="19" t="s">
        <v>172</v>
      </c>
      <c r="H68" s="9" t="n">
        <v>62086.310595</v>
      </c>
      <c r="I68" s="11" t="n">
        <v>342.69207195</v>
      </c>
      <c r="J68" s="10" t="n">
        <v>0.06</v>
      </c>
      <c r="K68" s="10" t="n">
        <v>0.06</v>
      </c>
      <c r="L68" s="11" t="n">
        <v>0.437710738817108</v>
      </c>
      <c r="M68" s="10" t="n">
        <v>-0.04</v>
      </c>
      <c r="N68" s="10" t="n">
        <v>0.312360248640747</v>
      </c>
      <c r="O68" s="10" t="n">
        <v>3.5540907899601</v>
      </c>
      <c r="P68" s="10" t="n">
        <v>-0.334494815347535</v>
      </c>
      <c r="Q68" s="13" t="n">
        <v>0.729211026122912</v>
      </c>
      <c r="R68" s="9" t="n">
        <v>5</v>
      </c>
    </row>
    <row r="69" customFormat="false" ht="15" hidden="false" customHeight="false" outlineLevel="0" collapsed="false">
      <c r="A69" s="15" t="s">
        <v>344</v>
      </c>
      <c r="B69" s="19" t="s">
        <v>345</v>
      </c>
      <c r="C69" s="15" t="s">
        <v>72</v>
      </c>
      <c r="D69" s="15" t="s">
        <v>55</v>
      </c>
      <c r="E69" s="15"/>
      <c r="F69" s="15"/>
      <c r="G69" s="15" t="s">
        <v>346</v>
      </c>
      <c r="H69" s="9" t="n">
        <v>49187.756358</v>
      </c>
      <c r="I69" s="11" t="n">
        <v>729.714557225</v>
      </c>
      <c r="J69" s="10" t="n">
        <v>0.06</v>
      </c>
      <c r="K69" s="10" t="n">
        <v>0.06</v>
      </c>
      <c r="L69" s="11" t="n">
        <v>0.310257287674052</v>
      </c>
      <c r="M69" s="10" t="n">
        <v>-0.06</v>
      </c>
      <c r="N69" s="10" t="n">
        <v>0.514821389203537</v>
      </c>
      <c r="O69" s="10" t="n">
        <v>0.269239718653903</v>
      </c>
      <c r="P69" s="10" t="n">
        <v>-0.432530967239551</v>
      </c>
      <c r="Q69" s="13" t="n">
        <v>0.757380948575934</v>
      </c>
      <c r="R69" s="9" t="n">
        <v>1</v>
      </c>
    </row>
    <row r="70" customFormat="false" ht="15" hidden="false" customHeight="false" outlineLevel="0" collapsed="false">
      <c r="A70" s="15" t="s">
        <v>347</v>
      </c>
      <c r="B70" s="19" t="s">
        <v>348</v>
      </c>
      <c r="C70" s="15" t="s">
        <v>72</v>
      </c>
      <c r="D70" s="15" t="s">
        <v>55</v>
      </c>
      <c r="E70" s="15"/>
      <c r="F70" s="15"/>
      <c r="G70" s="19" t="s">
        <v>109</v>
      </c>
      <c r="H70" s="9" t="n">
        <v>43134.09408</v>
      </c>
      <c r="I70" s="11" t="n">
        <v>139.061386335</v>
      </c>
      <c r="J70" s="10" t="n">
        <v>0.06</v>
      </c>
      <c r="K70" s="10" t="n">
        <v>0.06</v>
      </c>
      <c r="L70" s="11" t="n">
        <v>1.07866032371236</v>
      </c>
      <c r="M70" s="10" t="n">
        <v>-0.06</v>
      </c>
      <c r="N70" s="10" t="n">
        <v>-0.08962640330794</v>
      </c>
      <c r="O70" s="10" t="n">
        <v>-0.102271012656487</v>
      </c>
      <c r="P70" s="10" t="n">
        <v>-0.424788411994818</v>
      </c>
      <c r="Q70" s="13" t="n">
        <v>0.494119496741444</v>
      </c>
      <c r="R70" s="9" t="n">
        <v>0</v>
      </c>
    </row>
    <row r="71" customFormat="false" ht="15" hidden="false" customHeight="false" outlineLevel="0" collapsed="false">
      <c r="A71" s="15" t="s">
        <v>349</v>
      </c>
      <c r="B71" s="15" t="s">
        <v>350</v>
      </c>
      <c r="C71" s="15" t="s">
        <v>72</v>
      </c>
      <c r="D71" s="15" t="s">
        <v>55</v>
      </c>
      <c r="E71" s="15"/>
      <c r="F71" s="15"/>
      <c r="G71" s="19" t="s">
        <v>351</v>
      </c>
      <c r="H71" s="9" t="n">
        <v>41612.972022</v>
      </c>
      <c r="I71" s="11" t="n">
        <v>109.115157625</v>
      </c>
      <c r="J71" s="10" t="n">
        <v>0.06</v>
      </c>
      <c r="K71" s="10" t="n">
        <v>0.06</v>
      </c>
      <c r="L71" s="11" t="n">
        <v>1.37469443535526</v>
      </c>
      <c r="M71" s="10" t="n">
        <v>-0.06</v>
      </c>
      <c r="N71" s="10" t="n">
        <v>0.0306065863455047</v>
      </c>
      <c r="O71" s="10" t="n">
        <v>-0.144975645731642</v>
      </c>
      <c r="P71" s="10" t="n">
        <v>-0.518023449356593</v>
      </c>
      <c r="Q71" s="13" t="n">
        <v>0.172801534611618</v>
      </c>
      <c r="R71" s="9" t="n">
        <v>0</v>
      </c>
    </row>
    <row r="72" customFormat="false" ht="15" hidden="false" customHeight="false" outlineLevel="0" collapsed="false">
      <c r="A72" s="15" t="s">
        <v>352</v>
      </c>
      <c r="B72" s="19" t="s">
        <v>353</v>
      </c>
      <c r="C72" s="15" t="s">
        <v>73</v>
      </c>
      <c r="D72" s="15" t="s">
        <v>55</v>
      </c>
      <c r="E72" s="15"/>
      <c r="F72" s="15"/>
      <c r="G72" s="19" t="s">
        <v>317</v>
      </c>
      <c r="H72" s="9" t="n">
        <v>31804.48222</v>
      </c>
      <c r="I72" s="11" t="n">
        <v>965.4381101625</v>
      </c>
      <c r="J72" s="10" t="n">
        <v>0.06</v>
      </c>
      <c r="K72" s="10" t="n">
        <v>0.06</v>
      </c>
      <c r="L72" s="11" t="n">
        <v>0.329506338116548</v>
      </c>
      <c r="M72" s="10" t="n">
        <v>-0.06</v>
      </c>
      <c r="N72" s="10" t="n">
        <v>0.307012579271991</v>
      </c>
      <c r="O72" s="10" t="n">
        <v>0.254448330906766</v>
      </c>
      <c r="P72" s="10" t="n">
        <v>-0.105391117291184</v>
      </c>
      <c r="Q72" s="13" t="n">
        <v>2.54410420469197</v>
      </c>
      <c r="R72" s="9" t="n">
        <v>0</v>
      </c>
    </row>
    <row r="73" customFormat="false" ht="15" hidden="false" customHeight="false" outlineLevel="0" collapsed="false">
      <c r="A73" s="15" t="s">
        <v>354</v>
      </c>
      <c r="B73" s="19" t="s">
        <v>355</v>
      </c>
      <c r="C73" s="15" t="s">
        <v>73</v>
      </c>
      <c r="D73" s="15" t="s">
        <v>55</v>
      </c>
      <c r="E73" s="15"/>
      <c r="F73" s="15"/>
      <c r="G73" s="19" t="s">
        <v>351</v>
      </c>
      <c r="H73" s="9" t="n">
        <v>22231.240365</v>
      </c>
      <c r="I73" s="11" t="n">
        <v>629.2973122375</v>
      </c>
      <c r="J73" s="10" t="n">
        <v>0.06</v>
      </c>
      <c r="K73" s="10" t="n">
        <v>0.06</v>
      </c>
      <c r="L73" s="11" t="n">
        <v>0.238361100680165</v>
      </c>
      <c r="M73" s="10" t="n">
        <v>-0.06</v>
      </c>
      <c r="N73" s="10" t="n">
        <v>-0.0868357206405599</v>
      </c>
      <c r="O73" s="10" t="n">
        <v>-0.471910044826252</v>
      </c>
      <c r="P73" s="10" t="n">
        <v>-0.564040578494218</v>
      </c>
      <c r="Q73" s="13" t="n">
        <v>0.686441114020603</v>
      </c>
      <c r="R73" s="9" t="n">
        <v>1</v>
      </c>
    </row>
    <row r="74" customFormat="false" ht="15" hidden="false" customHeight="false" outlineLevel="0" collapsed="false">
      <c r="A74" s="15" t="s">
        <v>356</v>
      </c>
      <c r="B74" s="15" t="s">
        <v>357</v>
      </c>
      <c r="C74" s="15" t="s">
        <v>72</v>
      </c>
      <c r="D74" s="15" t="s">
        <v>55</v>
      </c>
      <c r="E74" s="15"/>
      <c r="F74" s="15"/>
      <c r="G74" s="19" t="s">
        <v>335</v>
      </c>
      <c r="H74" s="9" t="n">
        <v>21584.318601</v>
      </c>
      <c r="I74" s="11" t="n">
        <v>225.23942415</v>
      </c>
      <c r="J74" s="10" t="n">
        <v>0.06</v>
      </c>
      <c r="K74" s="10" t="n">
        <v>0.06</v>
      </c>
      <c r="L74" s="11" t="n">
        <v>1.3309820593708</v>
      </c>
      <c r="M74" s="10" t="n">
        <v>-0.04</v>
      </c>
      <c r="N74" s="10" t="n">
        <v>0.539691991846071</v>
      </c>
      <c r="O74" s="10" t="n">
        <v>1.26671214136001</v>
      </c>
      <c r="P74" s="10" t="n">
        <v>-0.123610343455168</v>
      </c>
      <c r="Q74" s="13" t="n">
        <v>2.5398649225269</v>
      </c>
      <c r="R74" s="9" t="n">
        <v>2</v>
      </c>
    </row>
    <row r="75" customFormat="false" ht="15" hidden="false" customHeight="false" outlineLevel="0" collapsed="false">
      <c r="A75" s="15" t="s">
        <v>358</v>
      </c>
      <c r="B75" s="19" t="s">
        <v>359</v>
      </c>
      <c r="C75" s="15" t="s">
        <v>74</v>
      </c>
      <c r="D75" s="15" t="s">
        <v>55</v>
      </c>
      <c r="E75" s="15"/>
      <c r="F75" s="15"/>
      <c r="G75" s="19" t="s">
        <v>360</v>
      </c>
      <c r="H75" s="9" t="n">
        <v>14332.56</v>
      </c>
      <c r="I75" s="11" t="n">
        <v>269.7435854</v>
      </c>
      <c r="J75" s="10" t="n">
        <v>0.06</v>
      </c>
      <c r="K75" s="10" t="n">
        <v>0.06</v>
      </c>
      <c r="L75" s="11" t="n">
        <v>1.0904239496627</v>
      </c>
      <c r="M75" s="10" t="n">
        <v>-0.06</v>
      </c>
      <c r="N75" s="10" t="n">
        <v>0.549924042803119</v>
      </c>
      <c r="O75" s="10" t="n">
        <v>1.0161969110811</v>
      </c>
      <c r="P75" s="10" t="n">
        <v>-0.127914860360624</v>
      </c>
      <c r="Q75" s="13" t="n">
        <v>2.64938108155619</v>
      </c>
      <c r="R75" s="9" t="n">
        <v>1</v>
      </c>
    </row>
    <row r="76" customFormat="false" ht="15" hidden="false" customHeight="false" outlineLevel="0" collapsed="false">
      <c r="A76" s="15" t="s">
        <v>361</v>
      </c>
      <c r="B76" s="19" t="s">
        <v>362</v>
      </c>
      <c r="C76" s="15" t="s">
        <v>74</v>
      </c>
      <c r="D76" s="15" t="s">
        <v>55</v>
      </c>
      <c r="E76" s="15"/>
      <c r="F76" s="15"/>
      <c r="G76" s="19" t="s">
        <v>351</v>
      </c>
      <c r="H76" s="9" t="n">
        <v>12751.9022525</v>
      </c>
      <c r="I76" s="11" t="n">
        <v>136.8912452625</v>
      </c>
      <c r="J76" s="10" t="n">
        <v>0.06</v>
      </c>
      <c r="K76" s="10" t="n">
        <v>0.06</v>
      </c>
      <c r="L76" s="11" t="n">
        <v>1.09576035861434</v>
      </c>
      <c r="M76" s="10" t="n">
        <v>-0.06</v>
      </c>
      <c r="N76" s="10" t="n">
        <v>-0.118787292579587</v>
      </c>
      <c r="O76" s="10" t="n">
        <v>0.602431508052803</v>
      </c>
      <c r="P76" s="10" t="n">
        <v>-0.559486450106805</v>
      </c>
      <c r="Q76" s="13" t="n">
        <v>0.468135214268901</v>
      </c>
      <c r="R76" s="9" t="n">
        <v>0</v>
      </c>
    </row>
    <row r="77" customFormat="false" ht="15" hidden="false" customHeight="false" outlineLevel="0" collapsed="false">
      <c r="A77" s="15" t="s">
        <v>363</v>
      </c>
      <c r="B77" s="19" t="s">
        <v>364</v>
      </c>
      <c r="C77" s="15" t="s">
        <v>73</v>
      </c>
      <c r="D77" s="15" t="s">
        <v>55</v>
      </c>
      <c r="E77" s="15"/>
      <c r="F77" s="15"/>
      <c r="G77" s="19" t="s">
        <v>172</v>
      </c>
      <c r="H77" s="9" t="n">
        <v>8923.52439</v>
      </c>
      <c r="I77" s="11" t="n">
        <v>241.5811658375</v>
      </c>
      <c r="J77" s="10" t="n">
        <v>0.06</v>
      </c>
      <c r="K77" s="10" t="n">
        <v>0.06</v>
      </c>
      <c r="L77" s="11" t="n">
        <v>0.801756319839915</v>
      </c>
      <c r="M77" s="10" t="n">
        <v>-0.04</v>
      </c>
      <c r="N77" s="10" t="n">
        <v>0.34205234820143</v>
      </c>
      <c r="O77" s="10" t="n">
        <v>0.321122534135982</v>
      </c>
      <c r="P77" s="10" t="n">
        <v>-0.401236029248258</v>
      </c>
      <c r="Q77" s="13" t="n">
        <v>1.04209078669447</v>
      </c>
      <c r="R77" s="9" t="n">
        <v>3</v>
      </c>
    </row>
    <row r="78" customFormat="false" ht="15" hidden="false" customHeight="false" outlineLevel="0" collapsed="false">
      <c r="A78" s="15" t="s">
        <v>365</v>
      </c>
      <c r="B78" s="19" t="s">
        <v>366</v>
      </c>
      <c r="C78" s="15" t="s">
        <v>73</v>
      </c>
      <c r="D78" s="15" t="s">
        <v>55</v>
      </c>
      <c r="E78" s="15"/>
      <c r="F78" s="15"/>
      <c r="G78" s="19" t="s">
        <v>367</v>
      </c>
      <c r="H78" s="9" t="n">
        <v>7822.1368274</v>
      </c>
      <c r="I78" s="11" t="n">
        <v>2467.79002320769</v>
      </c>
      <c r="J78" s="10" t="n">
        <v>0.06</v>
      </c>
      <c r="K78" s="10" t="n">
        <v>0.06</v>
      </c>
      <c r="L78" s="11" t="n">
        <v>0.0607831292733028</v>
      </c>
      <c r="M78" s="10" t="n">
        <v>-0.04</v>
      </c>
      <c r="N78" s="10"/>
      <c r="O78" s="10"/>
      <c r="P78" s="10" t="n">
        <v>-0.17992918</v>
      </c>
      <c r="Q78" s="13" t="n">
        <v>1</v>
      </c>
      <c r="R78" s="9" t="n">
        <v>3</v>
      </c>
    </row>
    <row r="79" customFormat="false" ht="15" hidden="false" customHeight="false" outlineLevel="0" collapsed="false">
      <c r="A79" s="15" t="s">
        <v>368</v>
      </c>
      <c r="B79" s="19" t="s">
        <v>369</v>
      </c>
      <c r="C79" s="15" t="s">
        <v>73</v>
      </c>
      <c r="D79" s="15" t="s">
        <v>55</v>
      </c>
      <c r="E79" s="15"/>
      <c r="F79" s="15"/>
      <c r="G79" s="19" t="s">
        <v>370</v>
      </c>
      <c r="H79" s="9" t="n">
        <v>7406.635104</v>
      </c>
      <c r="I79" s="11" t="n">
        <v>132.6418977125</v>
      </c>
      <c r="J79" s="10" t="n">
        <v>0.06</v>
      </c>
      <c r="K79" s="10" t="n">
        <v>0.06</v>
      </c>
      <c r="L79" s="11" t="n">
        <v>1.1308643994609</v>
      </c>
      <c r="M79" s="10" t="n">
        <v>-0.04</v>
      </c>
      <c r="N79" s="10" t="n">
        <v>-0.175057257939048</v>
      </c>
      <c r="O79" s="10" t="n">
        <v>-0.6710824351851</v>
      </c>
      <c r="P79" s="10" t="n">
        <v>-0.776273842166044</v>
      </c>
      <c r="Q79" s="13" t="n">
        <v>0.283334880508935</v>
      </c>
      <c r="R79" s="9" t="n">
        <v>4</v>
      </c>
    </row>
    <row r="80" customFormat="false" ht="15" hidden="false" customHeight="false" outlineLevel="0" collapsed="false">
      <c r="A80" s="15" t="s">
        <v>371</v>
      </c>
      <c r="B80" s="19" t="s">
        <v>372</v>
      </c>
      <c r="C80" s="15" t="s">
        <v>72</v>
      </c>
      <c r="D80" s="15" t="s">
        <v>56</v>
      </c>
      <c r="E80" s="15"/>
      <c r="F80" s="15"/>
      <c r="G80" s="15" t="s">
        <v>346</v>
      </c>
      <c r="H80" s="9" t="n">
        <v>10465.43086</v>
      </c>
      <c r="I80" s="11" t="n">
        <v>130.8025356125</v>
      </c>
      <c r="J80" s="10" t="n">
        <v>0.06</v>
      </c>
      <c r="K80" s="10" t="n">
        <v>0.055348460045</v>
      </c>
      <c r="L80" s="11" t="n">
        <v>1.62606150066013</v>
      </c>
      <c r="M80" s="10" t="n">
        <v>-0.06</v>
      </c>
      <c r="N80" s="10" t="n">
        <v>0.753973976707389</v>
      </c>
      <c r="O80" s="10" t="n">
        <v>1.90711266663784</v>
      </c>
      <c r="P80" s="10" t="n">
        <v>-0.282149224799028</v>
      </c>
      <c r="Q80" s="13" t="n">
        <v>0.589369162654645</v>
      </c>
      <c r="R80" s="9" t="n">
        <v>1</v>
      </c>
    </row>
    <row r="81" customFormat="false" ht="15" hidden="false" customHeight="false" outlineLevel="0" collapsed="false">
      <c r="A81" s="15" t="s">
        <v>373</v>
      </c>
      <c r="B81" s="19" t="s">
        <v>374</v>
      </c>
      <c r="C81" s="15" t="s">
        <v>72</v>
      </c>
      <c r="D81" s="15" t="s">
        <v>56</v>
      </c>
      <c r="E81" s="15"/>
      <c r="F81" s="15"/>
      <c r="G81" s="19" t="s">
        <v>317</v>
      </c>
      <c r="H81" s="9" t="n">
        <v>8527.50852</v>
      </c>
      <c r="I81" s="11" t="n">
        <v>123.541969725</v>
      </c>
      <c r="J81" s="10" t="n">
        <v>0.06</v>
      </c>
      <c r="K81" s="10" t="n">
        <v>0.0307817542</v>
      </c>
      <c r="L81" s="11" t="n">
        <v>2.92380997571607</v>
      </c>
      <c r="M81" s="10" t="n">
        <v>-0.06</v>
      </c>
      <c r="N81" s="10" t="n">
        <v>0.356845030605548</v>
      </c>
      <c r="O81" s="10" t="n">
        <v>0.23472930780878</v>
      </c>
      <c r="P81" s="10" t="n">
        <v>-0.0244020185046645</v>
      </c>
      <c r="Q81" s="13" t="n">
        <v>3.06052957773882</v>
      </c>
      <c r="R81" s="9" t="n">
        <v>1</v>
      </c>
    </row>
    <row r="82" customFormat="false" ht="15" hidden="false" customHeight="false" outlineLevel="0" collapsed="false">
      <c r="A82" s="15" t="s">
        <v>375</v>
      </c>
      <c r="B82" s="19" t="s">
        <v>376</v>
      </c>
      <c r="C82" s="15" t="s">
        <v>73</v>
      </c>
      <c r="D82" s="15" t="s">
        <v>56</v>
      </c>
      <c r="E82" s="15"/>
      <c r="F82" s="15"/>
      <c r="G82" s="19" t="s">
        <v>370</v>
      </c>
      <c r="H82" s="9" t="n">
        <v>7937.489934</v>
      </c>
      <c r="I82" s="11" t="n">
        <v>77.860568935</v>
      </c>
      <c r="J82" s="10" t="n">
        <v>0.06</v>
      </c>
      <c r="K82" s="10" t="n">
        <v>0.046716341361</v>
      </c>
      <c r="L82" s="11" t="n">
        <v>1.92652072867877</v>
      </c>
      <c r="M82" s="10" t="n">
        <v>-0.04</v>
      </c>
      <c r="N82" s="10" t="n">
        <v>-0.269841412802783</v>
      </c>
      <c r="O82" s="10" t="n">
        <v>-0.52290118060536</v>
      </c>
      <c r="P82" s="10" t="n">
        <v>-0.671627613161264</v>
      </c>
      <c r="Q82" s="13" t="n">
        <v>0.621665795035073</v>
      </c>
      <c r="R82" s="9" t="n">
        <v>2</v>
      </c>
    </row>
    <row r="83" customFormat="false" ht="15" hidden="false" customHeight="false" outlineLevel="0" collapsed="false">
      <c r="A83" s="15" t="s">
        <v>377</v>
      </c>
      <c r="B83" s="19" t="s">
        <v>378</v>
      </c>
      <c r="C83" s="15" t="s">
        <v>73</v>
      </c>
      <c r="D83" s="15" t="s">
        <v>57</v>
      </c>
      <c r="E83" s="15"/>
      <c r="F83" s="15"/>
      <c r="G83" s="15" t="s">
        <v>379</v>
      </c>
      <c r="H83" s="9" t="n">
        <v>23554.0275</v>
      </c>
      <c r="I83" s="11" t="n">
        <v>48.10289715</v>
      </c>
      <c r="J83" s="10" t="n">
        <v>0.05772347658</v>
      </c>
      <c r="K83" s="10" t="n">
        <v>0.02886173829</v>
      </c>
      <c r="L83" s="11" t="n">
        <v>3.1183152967326</v>
      </c>
      <c r="M83" s="10" t="n">
        <v>-0.06</v>
      </c>
      <c r="N83" s="10" t="n">
        <v>-0.310436607964828</v>
      </c>
      <c r="O83" s="10" t="n">
        <v>-0.389224592129802</v>
      </c>
      <c r="P83" s="10" t="n">
        <v>-0.707828033355144</v>
      </c>
      <c r="Q83" s="13" t="n">
        <v>0.501365929255985</v>
      </c>
      <c r="R83" s="9" t="n">
        <v>0</v>
      </c>
    </row>
    <row r="84" customFormat="false" ht="15" hidden="false" customHeight="false" outlineLevel="0" collapsed="false">
      <c r="A84" s="15" t="s">
        <v>380</v>
      </c>
      <c r="B84" s="15" t="s">
        <v>381</v>
      </c>
      <c r="C84" s="15" t="s">
        <v>73</v>
      </c>
      <c r="D84" s="15" t="s">
        <v>57</v>
      </c>
      <c r="E84" s="15"/>
      <c r="F84" s="15"/>
      <c r="G84" s="19" t="s">
        <v>124</v>
      </c>
      <c r="H84" s="9" t="n">
        <v>15514.939638</v>
      </c>
      <c r="I84" s="11" t="n">
        <v>32.01050355</v>
      </c>
      <c r="J84" s="10" t="n">
        <v>0.03841260426</v>
      </c>
      <c r="K84" s="10" t="n">
        <v>0.01920630213</v>
      </c>
      <c r="L84" s="11" t="n">
        <v>4.68596189890303</v>
      </c>
      <c r="M84" s="10" t="n">
        <v>-0.06</v>
      </c>
      <c r="N84" s="10" t="n">
        <v>-0.0543365034194265</v>
      </c>
      <c r="O84" s="10" t="n">
        <v>-0.00849128652964815</v>
      </c>
      <c r="P84" s="10" t="n">
        <v>-0.407401026064705</v>
      </c>
      <c r="Q84" s="13" t="n">
        <v>0.306889128301826</v>
      </c>
      <c r="R84" s="9" t="n">
        <v>0</v>
      </c>
    </row>
    <row r="85" customFormat="false" ht="15" hidden="false" customHeight="false" outlineLevel="0" collapsed="false">
      <c r="A85" s="15" t="s">
        <v>382</v>
      </c>
      <c r="B85" s="19" t="s">
        <v>383</v>
      </c>
      <c r="C85" s="15" t="s">
        <v>72</v>
      </c>
      <c r="D85" s="15" t="s">
        <v>57</v>
      </c>
      <c r="E85" s="15"/>
      <c r="F85" s="15"/>
      <c r="G85" s="19" t="s">
        <v>109</v>
      </c>
      <c r="H85" s="9" t="n">
        <v>13275.9933</v>
      </c>
      <c r="I85" s="11" t="n">
        <v>47.015985097</v>
      </c>
      <c r="J85" s="10" t="n">
        <v>0.0564191821164</v>
      </c>
      <c r="K85" s="10" t="n">
        <v>0.0282095910582</v>
      </c>
      <c r="L85" s="11" t="n">
        <v>3.19040427825836</v>
      </c>
      <c r="M85" s="10" t="n">
        <v>-0.06</v>
      </c>
      <c r="N85" s="10" t="n">
        <v>0.103811542392474</v>
      </c>
      <c r="O85" s="10" t="n">
        <v>0.168850166407221</v>
      </c>
      <c r="P85" s="10" t="n">
        <v>-0.0235164534549056</v>
      </c>
      <c r="Q85" s="13" t="n">
        <v>0.667377128010188</v>
      </c>
      <c r="R85" s="9" t="n">
        <v>0</v>
      </c>
    </row>
    <row r="86" customFormat="false" ht="15" hidden="false" customHeight="false" outlineLevel="0" collapsed="false">
      <c r="A86" s="15" t="s">
        <v>384</v>
      </c>
      <c r="B86" s="19" t="s">
        <v>385</v>
      </c>
      <c r="C86" s="15" t="s">
        <v>72</v>
      </c>
      <c r="D86" s="15" t="s">
        <v>57</v>
      </c>
      <c r="E86" s="15"/>
      <c r="F86" s="15"/>
      <c r="G86" s="15" t="s">
        <v>346</v>
      </c>
      <c r="H86" s="9" t="n">
        <v>10448.1328925</v>
      </c>
      <c r="I86" s="11" t="n">
        <v>70.151877205</v>
      </c>
      <c r="J86" s="10" t="n">
        <v>0.051521371974</v>
      </c>
      <c r="K86" s="10" t="n">
        <v>0.025760685987</v>
      </c>
      <c r="L86" s="11" t="n">
        <v>3.4936957830012</v>
      </c>
      <c r="M86" s="10" t="n">
        <v>-0.06</v>
      </c>
      <c r="N86" s="10" t="n">
        <v>0.517023225908833</v>
      </c>
      <c r="O86" s="10" t="n">
        <v>0.609463471243705</v>
      </c>
      <c r="P86" s="10" t="n">
        <v>-0.0376606597887031</v>
      </c>
      <c r="Q86" s="13" t="n">
        <v>1.44749945003212</v>
      </c>
      <c r="R86" s="9" t="n">
        <v>0</v>
      </c>
    </row>
    <row r="87" customFormat="false" ht="15" hidden="false" customHeight="false" outlineLevel="0" collapsed="false">
      <c r="A87" s="15" t="s">
        <v>386</v>
      </c>
      <c r="B87" s="15" t="s">
        <v>387</v>
      </c>
      <c r="C87" s="15" t="s">
        <v>72</v>
      </c>
      <c r="D87" s="15" t="s">
        <v>57</v>
      </c>
      <c r="E87" s="15"/>
      <c r="F87" s="15"/>
      <c r="G87" s="19" t="s">
        <v>109</v>
      </c>
      <c r="H87" s="9" t="n">
        <v>9995.44</v>
      </c>
      <c r="I87" s="11" t="n">
        <v>21.774642528</v>
      </c>
      <c r="J87" s="10" t="n">
        <v>0.0261295710336</v>
      </c>
      <c r="K87" s="10" t="n">
        <v>0.0130647855168</v>
      </c>
      <c r="L87" s="11" t="n">
        <v>6.88874684427609</v>
      </c>
      <c r="M87" s="10" t="n">
        <v>-0.06</v>
      </c>
      <c r="N87" s="10" t="n">
        <v>0.065679675387919</v>
      </c>
      <c r="O87" s="10" t="n">
        <v>-0.217508215395613</v>
      </c>
      <c r="P87" s="10" t="n">
        <v>-0.37504704192897</v>
      </c>
      <c r="Q87" s="13" t="n">
        <v>0.438373230011399</v>
      </c>
      <c r="R87" s="9" t="n">
        <v>0</v>
      </c>
    </row>
    <row r="88" customFormat="false" ht="15" hidden="false" customHeight="false" outlineLevel="0" collapsed="false">
      <c r="A88" s="15" t="s">
        <v>388</v>
      </c>
      <c r="B88" s="19" t="s">
        <v>389</v>
      </c>
      <c r="C88" s="15" t="s">
        <v>73</v>
      </c>
      <c r="D88" s="15" t="s">
        <v>57</v>
      </c>
      <c r="E88" s="15"/>
      <c r="F88" s="15"/>
      <c r="G88" s="19" t="s">
        <v>351</v>
      </c>
      <c r="H88" s="9" t="n">
        <v>6373.620208</v>
      </c>
      <c r="I88" s="11" t="n">
        <v>40.95473745</v>
      </c>
      <c r="J88" s="10" t="n">
        <v>0.04914568494</v>
      </c>
      <c r="K88" s="10" t="n">
        <v>0.02457284247</v>
      </c>
      <c r="L88" s="11" t="n">
        <v>3.66257994409387</v>
      </c>
      <c r="M88" s="10" t="n">
        <v>-0.06</v>
      </c>
      <c r="N88" s="10" t="n">
        <v>-0.204528753004342</v>
      </c>
      <c r="O88" s="10" t="n">
        <v>-0.555724743785064</v>
      </c>
      <c r="P88" s="10" t="n">
        <v>-0.627710171316234</v>
      </c>
      <c r="Q88" s="13" t="n">
        <v>0.665363066451437</v>
      </c>
      <c r="R88" s="9" t="n">
        <v>0</v>
      </c>
    </row>
    <row r="89" customFormat="false" ht="15" hidden="false" customHeight="false" outlineLevel="0" collapsed="false">
      <c r="A89" s="15" t="s">
        <v>390</v>
      </c>
      <c r="B89" s="19" t="s">
        <v>391</v>
      </c>
      <c r="C89" s="15" t="s">
        <v>73</v>
      </c>
      <c r="D89" s="15" t="s">
        <v>58</v>
      </c>
      <c r="E89" s="15"/>
      <c r="F89" s="15"/>
      <c r="G89" s="19" t="s">
        <v>172</v>
      </c>
      <c r="H89" s="9" t="n">
        <v>7769.281424</v>
      </c>
      <c r="I89" s="11" t="n">
        <v>179.7178906</v>
      </c>
      <c r="J89" s="10" t="n">
        <v>0.06</v>
      </c>
      <c r="K89" s="10" t="n">
        <v>0.057613296194</v>
      </c>
      <c r="L89" s="11" t="n">
        <v>1.56213940089359</v>
      </c>
      <c r="M89" s="10" t="n">
        <v>-0.04</v>
      </c>
      <c r="N89" s="10" t="n">
        <v>0.313167285890091</v>
      </c>
      <c r="O89" s="10" t="n">
        <v>-0.124653132632964</v>
      </c>
      <c r="P89" s="10" t="n">
        <v>-0.349500387819801</v>
      </c>
      <c r="Q89" s="13" t="n">
        <v>1.52422325925559</v>
      </c>
      <c r="R89" s="9" t="n">
        <v>3</v>
      </c>
    </row>
    <row r="90" customFormat="false" ht="15" hidden="false" customHeight="false" outlineLevel="0" collapsed="false">
      <c r="A90" s="15" t="s">
        <v>392</v>
      </c>
      <c r="B90" s="19" t="s">
        <v>393</v>
      </c>
      <c r="C90" s="15" t="s">
        <v>73</v>
      </c>
      <c r="D90" s="15" t="s">
        <v>58</v>
      </c>
      <c r="E90" s="15"/>
      <c r="F90" s="15"/>
      <c r="G90" s="15" t="s">
        <v>394</v>
      </c>
      <c r="H90" s="9" t="n">
        <v>7357.3226221</v>
      </c>
      <c r="I90" s="11" t="n">
        <v>122.3381348925</v>
      </c>
      <c r="J90" s="10" t="n">
        <v>0.06</v>
      </c>
      <c r="K90" s="10" t="n">
        <v>0.0425030527656</v>
      </c>
      <c r="L90" s="11" t="n">
        <v>2.11749495962892</v>
      </c>
      <c r="M90" s="10" t="n">
        <v>-0.04</v>
      </c>
      <c r="N90" s="10" t="n">
        <v>0.593756413383475</v>
      </c>
      <c r="O90" s="10" t="n">
        <v>0.605757140444479</v>
      </c>
      <c r="P90" s="10" t="n">
        <v>-0.523990384218013</v>
      </c>
      <c r="Q90" s="13" t="n">
        <v>0.490910573789914</v>
      </c>
      <c r="R90" s="9" t="n">
        <v>2</v>
      </c>
    </row>
    <row r="91" customFormat="false" ht="15" hidden="false" customHeight="false" outlineLevel="0" collapsed="false">
      <c r="A91" s="15" t="s">
        <v>395</v>
      </c>
      <c r="B91" s="19" t="s">
        <v>396</v>
      </c>
      <c r="C91" s="15" t="s">
        <v>73</v>
      </c>
      <c r="D91" s="15" t="s">
        <v>58</v>
      </c>
      <c r="E91" s="15"/>
      <c r="F91" s="15"/>
      <c r="G91" s="15" t="s">
        <v>397</v>
      </c>
      <c r="H91" s="9" t="n">
        <v>6260.020767</v>
      </c>
      <c r="I91" s="11" t="n">
        <v>48.7738998375</v>
      </c>
      <c r="J91" s="10" t="n">
        <v>0.048642762325</v>
      </c>
      <c r="K91" s="10" t="n">
        <v>0.0243213811625</v>
      </c>
      <c r="L91" s="11" t="n">
        <v>3.70044774179054</v>
      </c>
      <c r="M91" s="10" t="n">
        <v>-0.04</v>
      </c>
      <c r="N91" s="10" t="n">
        <v>0.56463598171029</v>
      </c>
      <c r="O91" s="10" t="n">
        <v>0.392389235078917</v>
      </c>
      <c r="P91" s="10" t="n">
        <v>-0.318607018784196</v>
      </c>
      <c r="Q91" s="13" t="n">
        <v>0.590901567255411</v>
      </c>
      <c r="R91" s="9" t="n">
        <v>2</v>
      </c>
    </row>
    <row r="92" customFormat="false" ht="15" hidden="false" customHeight="false" outlineLevel="0" collapsed="false">
      <c r="A92" s="15" t="s">
        <v>398</v>
      </c>
      <c r="B92" s="15" t="s">
        <v>399</v>
      </c>
      <c r="C92" s="15" t="s">
        <v>73</v>
      </c>
      <c r="D92" s="15" t="s">
        <v>58</v>
      </c>
      <c r="E92" s="15"/>
      <c r="F92" s="15"/>
      <c r="G92" s="19" t="s">
        <v>172</v>
      </c>
      <c r="H92" s="9" t="n">
        <v>6080.227582</v>
      </c>
      <c r="I92" s="11" t="n">
        <v>178.0366498</v>
      </c>
      <c r="J92" s="10" t="n">
        <v>0.06</v>
      </c>
      <c r="K92" s="10" t="n">
        <v>0.06</v>
      </c>
      <c r="L92" s="11" t="n">
        <v>1.20545346821943</v>
      </c>
      <c r="M92" s="10" t="n">
        <v>-0.04</v>
      </c>
      <c r="N92" s="10" t="n">
        <v>0.00143059450035055</v>
      </c>
      <c r="O92" s="10" t="n">
        <v>2.00059966434671</v>
      </c>
      <c r="P92" s="10" t="n">
        <v>-0.431465510361242</v>
      </c>
      <c r="Q92" s="13" t="n">
        <v>0.814239568453484</v>
      </c>
      <c r="R92" s="9" t="n">
        <v>4</v>
      </c>
    </row>
    <row r="93" customFormat="false" ht="15" hidden="false" customHeight="false" outlineLevel="0" collapsed="false">
      <c r="A93" s="15" t="s">
        <v>400</v>
      </c>
      <c r="B93" s="19" t="s">
        <v>401</v>
      </c>
      <c r="C93" s="15" t="s">
        <v>73</v>
      </c>
      <c r="D93" s="15" t="s">
        <v>58</v>
      </c>
      <c r="E93" s="15"/>
      <c r="F93" s="15"/>
      <c r="G93" s="19" t="s">
        <v>370</v>
      </c>
      <c r="H93" s="9" t="n">
        <v>5969.963934</v>
      </c>
      <c r="I93" s="11" t="n">
        <v>59.5803057</v>
      </c>
      <c r="J93" s="10" t="n">
        <v>0.06</v>
      </c>
      <c r="K93" s="10" t="n">
        <v>0.03574818342</v>
      </c>
      <c r="L93" s="11" t="n">
        <v>2.51761044589605</v>
      </c>
      <c r="M93" s="10" t="n">
        <v>-0.04</v>
      </c>
      <c r="N93" s="10" t="n">
        <v>-0.0259118574376102</v>
      </c>
      <c r="O93" s="10" t="n">
        <v>-0.463996847056164</v>
      </c>
      <c r="P93" s="10" t="n">
        <v>-0.697818219576149</v>
      </c>
      <c r="Q93" s="13" t="n">
        <v>0.265415580175544</v>
      </c>
      <c r="R93" s="9" t="n">
        <v>2</v>
      </c>
    </row>
    <row r="94" customFormat="false" ht="15" hidden="false" customHeight="false" outlineLevel="0" collapsed="false">
      <c r="A94" s="15" t="s">
        <v>402</v>
      </c>
      <c r="B94" s="19" t="s">
        <v>403</v>
      </c>
      <c r="C94" s="15" t="s">
        <v>72</v>
      </c>
      <c r="D94" s="15" t="s">
        <v>58</v>
      </c>
      <c r="E94" s="15"/>
      <c r="F94" s="15"/>
      <c r="G94" s="19" t="s">
        <v>404</v>
      </c>
      <c r="H94" s="9" t="n">
        <v>5922.0133455</v>
      </c>
      <c r="I94" s="11" t="n">
        <v>28.97005365625</v>
      </c>
      <c r="J94" s="10" t="n">
        <v>0.0243860767202791</v>
      </c>
      <c r="K94" s="10" t="n">
        <v>0.0121930383601395</v>
      </c>
      <c r="L94" s="11" t="n">
        <v>7.38126112144619</v>
      </c>
      <c r="M94" s="10" t="n">
        <v>-0.06</v>
      </c>
      <c r="N94" s="10" t="n">
        <v>0.370162874864129</v>
      </c>
      <c r="O94" s="10" t="n">
        <v>0.0932530846948945</v>
      </c>
      <c r="P94" s="10" t="n">
        <v>-0.285801902784159</v>
      </c>
      <c r="Q94" s="13" t="n">
        <v>1.01837234229696</v>
      </c>
      <c r="R94" s="9" t="n">
        <v>1</v>
      </c>
    </row>
    <row r="95" customFormat="false" ht="15" hidden="false" customHeight="false" outlineLevel="0" collapsed="false">
      <c r="A95" s="15" t="s">
        <v>405</v>
      </c>
      <c r="B95" s="15" t="s">
        <v>406</v>
      </c>
      <c r="C95" s="15" t="s">
        <v>72</v>
      </c>
      <c r="D95" s="15" t="s">
        <v>58</v>
      </c>
      <c r="E95" s="15"/>
      <c r="F95" s="15"/>
      <c r="G95" s="19" t="s">
        <v>351</v>
      </c>
      <c r="H95" s="9" t="n">
        <v>5551.08204</v>
      </c>
      <c r="I95" s="11" t="n">
        <v>264.3120509965</v>
      </c>
      <c r="J95" s="10" t="n">
        <v>0.06</v>
      </c>
      <c r="K95" s="10" t="n">
        <v>0.06</v>
      </c>
      <c r="L95" s="11" t="n">
        <v>1.06163226093944</v>
      </c>
      <c r="M95" s="10" t="n">
        <v>-0.06</v>
      </c>
      <c r="N95" s="10" t="n">
        <v>0.0762961442339052</v>
      </c>
      <c r="O95" s="10" t="n">
        <v>0.863895704992366</v>
      </c>
      <c r="P95" s="10" t="n">
        <v>-0.574679835332815</v>
      </c>
      <c r="Q95" s="13" t="n">
        <v>0.316006329602252</v>
      </c>
      <c r="R95" s="9" t="n">
        <v>1</v>
      </c>
    </row>
    <row r="96" customFormat="false" ht="15" hidden="false" customHeight="false" outlineLevel="0" collapsed="false">
      <c r="A96" s="15" t="s">
        <v>407</v>
      </c>
      <c r="B96" s="19" t="s">
        <v>408</v>
      </c>
      <c r="C96" s="15" t="s">
        <v>73</v>
      </c>
      <c r="D96" s="15" t="s">
        <v>58</v>
      </c>
      <c r="E96" s="15"/>
      <c r="F96" s="15"/>
      <c r="G96" s="19" t="s">
        <v>317</v>
      </c>
      <c r="H96" s="9" t="n">
        <v>5254.25346</v>
      </c>
      <c r="I96" s="11" t="n">
        <v>396.454343836</v>
      </c>
      <c r="J96" s="10" t="n">
        <v>0.06</v>
      </c>
      <c r="K96" s="10" t="n">
        <v>0.06</v>
      </c>
      <c r="L96" s="11" t="n">
        <v>0.972963891682482</v>
      </c>
      <c r="M96" s="10" t="n">
        <v>-0.06</v>
      </c>
      <c r="N96" s="10" t="n">
        <v>0.398963743220463</v>
      </c>
      <c r="O96" s="10" t="n">
        <v>-0.308045452930013</v>
      </c>
      <c r="P96" s="10" t="n">
        <v>-0.478998784827452</v>
      </c>
      <c r="Q96" s="13" t="n">
        <v>3.35989614966446</v>
      </c>
      <c r="R96" s="9" t="n">
        <v>1</v>
      </c>
    </row>
    <row r="97" customFormat="false" ht="15" hidden="false" customHeight="false" outlineLevel="0" collapsed="false">
      <c r="A97" s="15" t="s">
        <v>409</v>
      </c>
      <c r="B97" s="15" t="s">
        <v>410</v>
      </c>
      <c r="C97" s="15" t="s">
        <v>73</v>
      </c>
      <c r="D97" s="15" t="s">
        <v>58</v>
      </c>
      <c r="E97" s="15"/>
      <c r="F97" s="15"/>
      <c r="G97" s="19" t="s">
        <v>172</v>
      </c>
      <c r="H97" s="9" t="n">
        <v>5042.4627872</v>
      </c>
      <c r="I97" s="11" t="n">
        <v>25.216381435</v>
      </c>
      <c r="J97" s="10" t="n">
        <v>0.030259657722</v>
      </c>
      <c r="K97" s="10" t="n">
        <v>0.015129828861</v>
      </c>
      <c r="L97" s="11" t="n">
        <v>5.94851407949445</v>
      </c>
      <c r="M97" s="10" t="n">
        <v>-0.04</v>
      </c>
      <c r="N97" s="10" t="n">
        <v>0.456749522318742</v>
      </c>
      <c r="O97" s="10" t="n">
        <v>0.591698407723885</v>
      </c>
      <c r="P97" s="10" t="n">
        <v>-0.410687180196233</v>
      </c>
      <c r="Q97" s="13" t="n">
        <v>0.361848106123625</v>
      </c>
      <c r="R97" s="9" t="n">
        <v>2</v>
      </c>
    </row>
    <row r="98" customFormat="false" ht="15" hidden="false" customHeight="false" outlineLevel="0" collapsed="false">
      <c r="A98" s="15" t="s">
        <v>411</v>
      </c>
      <c r="B98" s="19" t="s">
        <v>412</v>
      </c>
      <c r="C98" s="15" t="s">
        <v>73</v>
      </c>
      <c r="D98" s="15" t="s">
        <v>58</v>
      </c>
      <c r="E98" s="15"/>
      <c r="F98" s="15"/>
      <c r="G98" s="19" t="s">
        <v>413</v>
      </c>
      <c r="H98" s="9" t="n">
        <v>4796.4</v>
      </c>
      <c r="I98" s="11" t="n">
        <v>402.4285515535</v>
      </c>
      <c r="J98" s="10" t="n">
        <v>0.06</v>
      </c>
      <c r="K98" s="10" t="n">
        <v>0.06</v>
      </c>
      <c r="L98" s="11" t="n">
        <v>0.994736456035951</v>
      </c>
      <c r="M98" s="10" t="n">
        <v>-0.04</v>
      </c>
      <c r="N98" s="10" t="n">
        <v>0.232139563192748</v>
      </c>
      <c r="O98" s="10" t="n">
        <v>-0.223671923623956</v>
      </c>
      <c r="P98" s="10" t="n">
        <v>-0.530165187312584</v>
      </c>
      <c r="Q98" s="13" t="n">
        <v>3.69851072246999</v>
      </c>
      <c r="R98" s="9" t="n">
        <v>2</v>
      </c>
    </row>
    <row r="99" customFormat="false" ht="15" hidden="false" customHeight="false" outlineLevel="0" collapsed="false">
      <c r="A99" s="15" t="s">
        <v>414</v>
      </c>
      <c r="B99" s="19" t="s">
        <v>415</v>
      </c>
      <c r="C99" s="15" t="s">
        <v>72</v>
      </c>
      <c r="D99" s="15" t="s">
        <v>58</v>
      </c>
      <c r="E99" s="15"/>
      <c r="F99" s="15"/>
      <c r="G99" s="19" t="s">
        <v>370</v>
      </c>
      <c r="H99" s="9" t="n">
        <v>4745.38176</v>
      </c>
      <c r="I99" s="11" t="n">
        <v>31.4042759975</v>
      </c>
      <c r="J99" s="10" t="n">
        <v>0.031345544269</v>
      </c>
      <c r="K99" s="10" t="n">
        <v>0.0156727721345</v>
      </c>
      <c r="L99" s="11" t="n">
        <v>5.74244295952506</v>
      </c>
      <c r="M99" s="10" t="n">
        <v>-0.04</v>
      </c>
      <c r="N99" s="10" t="n">
        <v>0.0106398699271297</v>
      </c>
      <c r="O99" s="10" t="n">
        <v>-0.636843575096891</v>
      </c>
      <c r="P99" s="10" t="n">
        <v>-0.766853611747961</v>
      </c>
      <c r="Q99" s="13" t="n">
        <v>1.0920917283666</v>
      </c>
      <c r="R99" s="9" t="n">
        <v>2</v>
      </c>
    </row>
    <row r="100" customFormat="false" ht="15" hidden="false" customHeight="false" outlineLevel="0" collapsed="false">
      <c r="A100" s="15" t="s">
        <v>416</v>
      </c>
      <c r="B100" s="19" t="s">
        <v>417</v>
      </c>
      <c r="C100" s="15" t="s">
        <v>73</v>
      </c>
      <c r="D100" s="15" t="s">
        <v>58</v>
      </c>
      <c r="E100" s="15"/>
      <c r="F100" s="15"/>
      <c r="G100" s="19" t="s">
        <v>124</v>
      </c>
      <c r="H100" s="9" t="n">
        <v>4708.54516</v>
      </c>
      <c r="I100" s="11" t="n">
        <v>30.8697805</v>
      </c>
      <c r="J100" s="10" t="n">
        <v>0.03597423128</v>
      </c>
      <c r="K100" s="10" t="n">
        <v>0.01798711564</v>
      </c>
      <c r="L100" s="11" t="n">
        <v>5.00358155255625</v>
      </c>
      <c r="M100" s="10" t="n">
        <v>-0.06</v>
      </c>
      <c r="N100" s="10" t="n">
        <v>-0.117434919043908</v>
      </c>
      <c r="O100" s="10" t="n">
        <v>0.17975091894241</v>
      </c>
      <c r="P100" s="10" t="n">
        <v>-0.125357241133946</v>
      </c>
      <c r="Q100" s="13" t="n">
        <v>0.899107208827579</v>
      </c>
      <c r="R100" s="9" t="n">
        <v>0</v>
      </c>
    </row>
    <row r="101" customFormat="false" ht="15" hidden="false" customHeight="false" outlineLevel="0" collapsed="false">
      <c r="A101" s="15" t="s">
        <v>418</v>
      </c>
      <c r="B101" s="19" t="s">
        <v>419</v>
      </c>
      <c r="C101" s="15" t="s">
        <v>73</v>
      </c>
      <c r="D101" s="15" t="s">
        <v>58</v>
      </c>
      <c r="E101" s="15"/>
      <c r="F101" s="15"/>
      <c r="G101" s="15" t="s">
        <v>379</v>
      </c>
      <c r="H101" s="9" t="n">
        <v>4621.6077414</v>
      </c>
      <c r="I101" s="11" t="n">
        <v>71.449324935</v>
      </c>
      <c r="J101" s="10" t="n">
        <v>0.06</v>
      </c>
      <c r="K101" s="10" t="n">
        <v>0.042869594961</v>
      </c>
      <c r="L101" s="11" t="n">
        <v>2.09939002413893</v>
      </c>
      <c r="M101" s="10" t="n">
        <v>-0.06</v>
      </c>
      <c r="N101" s="10" t="n">
        <v>-0.368455500085874</v>
      </c>
      <c r="O101" s="10" t="n">
        <v>-0.694458030710858</v>
      </c>
      <c r="P101" s="10" t="n">
        <v>-0.771251493611643</v>
      </c>
      <c r="Q101" s="13" t="n">
        <v>0.517562359737295</v>
      </c>
      <c r="R101" s="9" t="n">
        <v>1</v>
      </c>
    </row>
    <row r="102" customFormat="false" ht="15" hidden="false" customHeight="false" outlineLevel="0" collapsed="false">
      <c r="A102" s="15" t="s">
        <v>420</v>
      </c>
      <c r="B102" s="19" t="s">
        <v>421</v>
      </c>
      <c r="C102" s="15" t="s">
        <v>72</v>
      </c>
      <c r="D102" s="15" t="s">
        <v>58</v>
      </c>
      <c r="E102" s="15"/>
      <c r="F102" s="15"/>
      <c r="G102" s="19" t="s">
        <v>172</v>
      </c>
      <c r="H102" s="9" t="n">
        <v>4509.8724633</v>
      </c>
      <c r="I102" s="11" t="n">
        <v>61.986909115</v>
      </c>
      <c r="J102" s="10" t="n">
        <v>0.06</v>
      </c>
      <c r="K102" s="10" t="n">
        <v>0.037192145469</v>
      </c>
      <c r="L102" s="11" t="n">
        <v>2.41986577717104</v>
      </c>
      <c r="M102" s="10" t="n">
        <v>-0.04</v>
      </c>
      <c r="N102" s="10" t="n">
        <v>0.098528797844563</v>
      </c>
      <c r="O102" s="10" t="n">
        <v>0.529620758263034</v>
      </c>
      <c r="P102" s="10" t="n">
        <v>-0.45074565104815</v>
      </c>
      <c r="Q102" s="13" t="n">
        <v>0.369379821492695</v>
      </c>
      <c r="R102" s="9" t="n">
        <v>3</v>
      </c>
    </row>
    <row r="103" customFormat="false" ht="15" hidden="false" customHeight="false" outlineLevel="0" collapsed="false">
      <c r="A103" s="15" t="s">
        <v>422</v>
      </c>
      <c r="B103" s="19" t="s">
        <v>423</v>
      </c>
      <c r="C103" s="15" t="s">
        <v>72</v>
      </c>
      <c r="D103" s="15" t="s">
        <v>58</v>
      </c>
      <c r="E103" s="15"/>
      <c r="F103" s="15"/>
      <c r="G103" s="19" t="s">
        <v>282</v>
      </c>
      <c r="H103" s="9" t="n">
        <v>4359.155248</v>
      </c>
      <c r="I103" s="11" t="n">
        <v>178.7922482525</v>
      </c>
      <c r="J103" s="10" t="n">
        <v>0.06</v>
      </c>
      <c r="K103" s="10" t="n">
        <v>0.0558471386506</v>
      </c>
      <c r="L103" s="11" t="n">
        <v>1.61154182961947</v>
      </c>
      <c r="M103" s="10" t="n">
        <v>-0.04</v>
      </c>
      <c r="N103" s="10" t="n">
        <v>0.492385926950599</v>
      </c>
      <c r="O103" s="10" t="n">
        <v>1.55411061031666</v>
      </c>
      <c r="P103" s="10" t="n">
        <v>-0.02856745792</v>
      </c>
      <c r="Q103" s="13" t="n">
        <v>3.55352096354595</v>
      </c>
      <c r="R103" s="9" t="n">
        <v>2</v>
      </c>
    </row>
    <row r="104" customFormat="false" ht="15" hidden="false" customHeight="false" outlineLevel="0" collapsed="false">
      <c r="A104" s="15" t="s">
        <v>424</v>
      </c>
      <c r="B104" s="19" t="s">
        <v>425</v>
      </c>
      <c r="C104" s="15" t="s">
        <v>73</v>
      </c>
      <c r="D104" s="15" t="s">
        <v>58</v>
      </c>
      <c r="E104" s="15"/>
      <c r="F104" s="15"/>
      <c r="G104" s="19" t="s">
        <v>426</v>
      </c>
      <c r="H104" s="9" t="n">
        <v>4074.711912</v>
      </c>
      <c r="I104" s="11" t="n">
        <v>537.9455125125</v>
      </c>
      <c r="J104" s="10" t="n">
        <v>0.06</v>
      </c>
      <c r="K104" s="10" t="n">
        <v>0.06</v>
      </c>
      <c r="L104" s="11" t="n">
        <v>0.278838649102988</v>
      </c>
      <c r="M104" s="10" t="n">
        <v>-0.04</v>
      </c>
      <c r="N104" s="10" t="n">
        <v>-0.229904445743866</v>
      </c>
      <c r="O104" s="10"/>
      <c r="P104" s="10" t="n">
        <v>-0.705753573496228</v>
      </c>
      <c r="Q104" s="13" t="n">
        <v>0.750751412426665</v>
      </c>
      <c r="R104" s="9" t="n">
        <v>4</v>
      </c>
    </row>
    <row r="105" customFormat="false" ht="15" hidden="false" customHeight="false" outlineLevel="0" collapsed="false">
      <c r="A105" s="15" t="s">
        <v>427</v>
      </c>
      <c r="B105" s="19" t="s">
        <v>428</v>
      </c>
      <c r="C105" s="15" t="s">
        <v>73</v>
      </c>
      <c r="D105" s="15" t="s">
        <v>58</v>
      </c>
      <c r="E105" s="15"/>
      <c r="F105" s="15"/>
      <c r="G105" s="19" t="s">
        <v>429</v>
      </c>
      <c r="H105" s="9" t="n">
        <v>3975.201685</v>
      </c>
      <c r="I105" s="11" t="n">
        <v>319.999438685</v>
      </c>
      <c r="J105" s="10" t="n">
        <v>0.06</v>
      </c>
      <c r="K105" s="10" t="n">
        <v>0.06</v>
      </c>
      <c r="L105" s="11" t="n">
        <v>0.468750822240212</v>
      </c>
      <c r="M105" s="10" t="n">
        <v>-0.04</v>
      </c>
      <c r="N105" s="10" t="n">
        <v>-0.355202797021727</v>
      </c>
      <c r="O105" s="10"/>
      <c r="P105" s="10" t="n">
        <v>-0.781988900799453</v>
      </c>
      <c r="Q105" s="13" t="n">
        <v>0.189999424156246</v>
      </c>
      <c r="R105" s="9" t="n">
        <v>4</v>
      </c>
    </row>
    <row r="106" customFormat="false" ht="15" hidden="false" customHeight="false" outlineLevel="0" collapsed="false">
      <c r="A106" s="15" t="s">
        <v>430</v>
      </c>
      <c r="B106" s="19" t="s">
        <v>431</v>
      </c>
      <c r="C106" s="15" t="s">
        <v>74</v>
      </c>
      <c r="D106" s="15" t="s">
        <v>58</v>
      </c>
      <c r="E106" s="15"/>
      <c r="F106" s="15"/>
      <c r="G106" s="19" t="s">
        <v>317</v>
      </c>
      <c r="H106" s="9" t="n">
        <v>3947.8136945</v>
      </c>
      <c r="I106" s="11" t="n">
        <v>60.6858233875</v>
      </c>
      <c r="J106" s="10" t="n">
        <v>0.034743306415</v>
      </c>
      <c r="K106" s="10" t="n">
        <v>0.0173716532075</v>
      </c>
      <c r="L106" s="11" t="n">
        <v>5.18085405717998</v>
      </c>
      <c r="M106" s="10" t="n">
        <v>-0.06</v>
      </c>
      <c r="N106" s="10" t="n">
        <v>0.0549320616043614</v>
      </c>
      <c r="O106" s="10" t="n">
        <v>0.123735768810714</v>
      </c>
      <c r="P106" s="10" t="n">
        <v>-0.200932840094607</v>
      </c>
      <c r="Q106" s="13" t="n">
        <v>2.56342468974226</v>
      </c>
      <c r="R106" s="9" t="n">
        <v>0</v>
      </c>
    </row>
    <row r="107" customFormat="false" ht="15" hidden="false" customHeight="false" outlineLevel="0" collapsed="false">
      <c r="A107" s="15" t="s">
        <v>432</v>
      </c>
      <c r="B107" s="19" t="s">
        <v>433</v>
      </c>
      <c r="C107" s="15" t="s">
        <v>73</v>
      </c>
      <c r="D107" s="15" t="s">
        <v>58</v>
      </c>
      <c r="E107" s="15"/>
      <c r="F107" s="15"/>
      <c r="G107" s="19" t="s">
        <v>351</v>
      </c>
      <c r="H107" s="9" t="n">
        <v>3745.34784</v>
      </c>
      <c r="I107" s="11" t="n">
        <v>80.83312075</v>
      </c>
      <c r="J107" s="10" t="n">
        <v>0.06</v>
      </c>
      <c r="K107" s="10" t="n">
        <v>0.041712829355</v>
      </c>
      <c r="L107" s="11" t="n">
        <v>2.15760957459991</v>
      </c>
      <c r="M107" s="10" t="n">
        <v>-0.06</v>
      </c>
      <c r="N107" s="10" t="n">
        <v>-0.255875079191414</v>
      </c>
      <c r="O107" s="10" t="n">
        <v>-0.234319851330823</v>
      </c>
      <c r="P107" s="10" t="n">
        <v>-0.793030049288075</v>
      </c>
      <c r="Q107" s="13" t="n">
        <v>0.444629504121018</v>
      </c>
      <c r="R107" s="9" t="n">
        <v>0</v>
      </c>
    </row>
    <row r="108" customFormat="false" ht="15" hidden="false" customHeight="false" outlineLevel="0" collapsed="false">
      <c r="A108" s="15" t="s">
        <v>434</v>
      </c>
      <c r="B108" s="19" t="s">
        <v>435</v>
      </c>
      <c r="C108" s="15" t="s">
        <v>72</v>
      </c>
      <c r="D108" s="15" t="s">
        <v>58</v>
      </c>
      <c r="E108" s="15"/>
      <c r="F108" s="15"/>
      <c r="G108" s="19" t="s">
        <v>351</v>
      </c>
      <c r="H108" s="9" t="n">
        <v>3224.6217016</v>
      </c>
      <c r="I108" s="11" t="n">
        <v>26.46068309</v>
      </c>
      <c r="J108" s="10" t="n">
        <v>0.031752819708</v>
      </c>
      <c r="K108" s="10" t="n">
        <v>0.015876409854</v>
      </c>
      <c r="L108" s="11" t="n">
        <v>5.66878789522588</v>
      </c>
      <c r="M108" s="10" t="n">
        <v>-0.06</v>
      </c>
      <c r="N108" s="10" t="n">
        <v>-0.0483679324183706</v>
      </c>
      <c r="O108" s="10" t="n">
        <v>-0.000441465338102742</v>
      </c>
      <c r="P108" s="10" t="n">
        <v>-0.630074241002872</v>
      </c>
      <c r="Q108" s="13" t="n">
        <v>0.0399739269404276</v>
      </c>
      <c r="R108" s="9" t="n">
        <v>1</v>
      </c>
    </row>
    <row r="109" customFormat="false" ht="15" hidden="false" customHeight="false" outlineLevel="0" collapsed="false">
      <c r="A109" s="15" t="s">
        <v>436</v>
      </c>
      <c r="B109" s="19" t="s">
        <v>437</v>
      </c>
      <c r="C109" s="15" t="s">
        <v>73</v>
      </c>
      <c r="D109" s="15" t="s">
        <v>58</v>
      </c>
      <c r="E109" s="15"/>
      <c r="F109" s="15"/>
      <c r="G109" s="19" t="s">
        <v>370</v>
      </c>
      <c r="H109" s="9" t="n">
        <v>2997.6044602</v>
      </c>
      <c r="I109" s="11" t="n">
        <v>318.798298417</v>
      </c>
      <c r="J109" s="10" t="n">
        <v>0.06</v>
      </c>
      <c r="K109" s="10" t="n">
        <v>0.06</v>
      </c>
      <c r="L109" s="11" t="n">
        <v>0.514725547099822</v>
      </c>
      <c r="M109" s="10" t="n">
        <v>-0.04</v>
      </c>
      <c r="N109" s="10" t="n">
        <v>-0.0796203060932575</v>
      </c>
      <c r="O109" s="10" t="n">
        <v>3.49584731930733</v>
      </c>
      <c r="P109" s="10" t="n">
        <v>-0.619525352654307</v>
      </c>
      <c r="Q109" s="13" t="n">
        <v>0.459470250785911</v>
      </c>
      <c r="R109" s="9" t="n">
        <v>2</v>
      </c>
    </row>
    <row r="110" customFormat="false" ht="15" hidden="false" customHeight="false" outlineLevel="0" collapsed="false">
      <c r="A110" s="15" t="s">
        <v>438</v>
      </c>
      <c r="B110" s="19" t="s">
        <v>439</v>
      </c>
      <c r="C110" s="15" t="s">
        <v>73</v>
      </c>
      <c r="D110" s="15" t="s">
        <v>58</v>
      </c>
      <c r="E110" s="15"/>
      <c r="F110" s="15"/>
      <c r="G110" s="15" t="s">
        <v>394</v>
      </c>
      <c r="H110" s="9" t="n">
        <v>2766.9151635</v>
      </c>
      <c r="I110" s="11" t="n">
        <v>56.201184775</v>
      </c>
      <c r="J110" s="10" t="n">
        <v>0.06</v>
      </c>
      <c r="K110" s="10" t="n">
        <v>0.033720710865</v>
      </c>
      <c r="L110" s="11" t="n">
        <v>2.66898287999659</v>
      </c>
      <c r="M110" s="10" t="n">
        <v>-0.04</v>
      </c>
      <c r="N110" s="10" t="n">
        <v>-0.301150999374686</v>
      </c>
      <c r="O110" s="10" t="n">
        <v>0.0404603198925515</v>
      </c>
      <c r="P110" s="10" t="n">
        <v>-0.731699626174425</v>
      </c>
      <c r="Q110" s="13" t="n">
        <v>0.375313044125796</v>
      </c>
      <c r="R110" s="9" t="n">
        <v>6</v>
      </c>
    </row>
  </sheetData>
  <autoFilter ref="A3:R1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8"/>
    <col collapsed="false" customWidth="true" hidden="false" outlineLevel="0" max="3" min="3" style="0" width="90"/>
  </cols>
  <sheetData>
    <row r="1" customFormat="false" ht="17.15" hidden="false" customHeight="false" outlineLevel="0" collapsed="false">
      <c r="A1" s="5" t="s">
        <v>440</v>
      </c>
    </row>
    <row r="3" customFormat="false" ht="15" hidden="false" customHeight="false" outlineLevel="0" collapsed="false">
      <c r="A3" s="7" t="s">
        <v>441</v>
      </c>
      <c r="B3" s="7" t="s">
        <v>442</v>
      </c>
      <c r="C3" s="7" t="s">
        <v>443</v>
      </c>
    </row>
    <row r="4" customFormat="false" ht="15" hidden="false" customHeight="false" outlineLevel="0" collapsed="false">
      <c r="A4" s="8" t="s">
        <v>444</v>
      </c>
      <c r="B4" s="20" t="n">
        <v>500</v>
      </c>
      <c r="C4" s="8" t="s">
        <v>445</v>
      </c>
    </row>
    <row r="5" customFormat="false" ht="15" hidden="false" customHeight="false" outlineLevel="0" collapsed="false">
      <c r="A5" s="8" t="s">
        <v>446</v>
      </c>
      <c r="B5" s="20" t="n">
        <v>1000</v>
      </c>
      <c r="C5" s="6" t="s">
        <v>447</v>
      </c>
    </row>
    <row r="6" customFormat="false" ht="15" hidden="false" customHeight="false" outlineLevel="0" collapsed="false">
      <c r="A6" s="8" t="s">
        <v>448</v>
      </c>
      <c r="B6" s="21" t="n">
        <v>0.2</v>
      </c>
      <c r="C6" s="6" t="s">
        <v>449</v>
      </c>
    </row>
    <row r="7" customFormat="false" ht="15" hidden="false" customHeight="false" outlineLevel="0" collapsed="false">
      <c r="A7" s="8" t="s">
        <v>450</v>
      </c>
      <c r="B7" s="20" t="n">
        <v>3</v>
      </c>
      <c r="C7" s="8" t="s">
        <v>451</v>
      </c>
    </row>
    <row r="8" customFormat="false" ht="15" hidden="false" customHeight="false" outlineLevel="0" collapsed="false">
      <c r="A8" s="8" t="s">
        <v>452</v>
      </c>
      <c r="B8" s="21" t="n">
        <v>0.5</v>
      </c>
      <c r="C8" s="6" t="s">
        <v>453</v>
      </c>
    </row>
    <row r="9" customFormat="false" ht="15" hidden="false" customHeight="false" outlineLevel="0" collapsed="false">
      <c r="A9" s="8" t="s">
        <v>454</v>
      </c>
      <c r="B9" s="21" t="n">
        <v>0.06</v>
      </c>
      <c r="C9" s="8" t="s">
        <v>455</v>
      </c>
    </row>
    <row r="10" customFormat="false" ht="15" hidden="false" customHeight="false" outlineLevel="0" collapsed="false">
      <c r="A10" s="8" t="s">
        <v>456</v>
      </c>
      <c r="B10" s="21" t="n">
        <v>0.1</v>
      </c>
      <c r="C10" s="8" t="s">
        <v>457</v>
      </c>
    </row>
    <row r="11" customFormat="false" ht="15" hidden="false" customHeight="false" outlineLevel="0" collapsed="false">
      <c r="A11" s="8" t="s">
        <v>458</v>
      </c>
      <c r="B11" s="21" t="n">
        <v>0.07</v>
      </c>
      <c r="C11" s="8" t="s">
        <v>459</v>
      </c>
    </row>
    <row r="12" customFormat="false" ht="15" hidden="false" customHeight="false" outlineLevel="0" collapsed="false">
      <c r="A12" s="8" t="s">
        <v>460</v>
      </c>
      <c r="B12" s="21" t="n">
        <v>0.25</v>
      </c>
      <c r="C12" s="8" t="s">
        <v>461</v>
      </c>
    </row>
    <row r="13" customFormat="false" ht="15" hidden="false" customHeight="false" outlineLevel="0" collapsed="false">
      <c r="A13" s="8" t="s">
        <v>462</v>
      </c>
      <c r="B13" s="20" t="n">
        <v>3000</v>
      </c>
      <c r="C13" s="8" t="s">
        <v>463</v>
      </c>
    </row>
    <row r="14" customFormat="false" ht="15" hidden="false" customHeight="false" outlineLevel="0" collapsed="false">
      <c r="A14" s="8" t="s">
        <v>464</v>
      </c>
      <c r="B14" s="20" t="n">
        <v>7000</v>
      </c>
      <c r="C14" s="8" t="s">
        <v>465</v>
      </c>
    </row>
    <row r="15" customFormat="false" ht="15" hidden="false" customHeight="false" outlineLevel="0" collapsed="false">
      <c r="A15" s="8" t="s">
        <v>466</v>
      </c>
      <c r="B15" s="21" t="n">
        <v>0.02</v>
      </c>
      <c r="C15" s="6" t="s">
        <v>467</v>
      </c>
    </row>
    <row r="16" customFormat="false" ht="15" hidden="false" customHeight="false" outlineLevel="0" collapsed="false">
      <c r="A16" s="8" t="s">
        <v>468</v>
      </c>
      <c r="B16" s="22" t="s">
        <v>469</v>
      </c>
      <c r="C16" s="8" t="s">
        <v>470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4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5" min="4" style="0" width="1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14"/>
    <col collapsed="false" customWidth="true" hidden="false" outlineLevel="0" max="9" min="9" style="0" width="7"/>
    <col collapsed="false" customWidth="true" hidden="false" outlineLevel="0" max="10" min="10" style="0" width="12"/>
    <col collapsed="false" customWidth="true" hidden="false" outlineLevel="0" max="11" min="11" style="0" width="40"/>
    <col collapsed="false" customWidth="true" hidden="false" outlineLevel="0" max="12" min="12" style="0" width="34"/>
    <col collapsed="false" customWidth="true" hidden="false" outlineLevel="0" max="29" min="13" style="0" width="10"/>
    <col collapsed="false" customWidth="true" hidden="false" outlineLevel="0" max="37" min="30" style="0" width="11"/>
    <col collapsed="false" customWidth="true" hidden="false" outlineLevel="0" max="47" min="38" style="0" width="10"/>
  </cols>
  <sheetData>
    <row r="1" customFormat="false" ht="15" hidden="false" customHeight="false" outlineLevel="0" collapsed="false">
      <c r="A1" s="14" t="s">
        <v>471</v>
      </c>
    </row>
    <row r="3" customFormat="false" ht="42" hidden="false" customHeight="true" outlineLevel="0" collapsed="false">
      <c r="A3" s="7" t="s">
        <v>87</v>
      </c>
      <c r="B3" s="7" t="s">
        <v>88</v>
      </c>
      <c r="C3" s="7" t="s">
        <v>71</v>
      </c>
      <c r="D3" s="7" t="s">
        <v>472</v>
      </c>
      <c r="E3" s="7" t="s">
        <v>473</v>
      </c>
      <c r="F3" s="7" t="s">
        <v>474</v>
      </c>
      <c r="G3" s="7" t="s">
        <v>35</v>
      </c>
      <c r="H3" s="7" t="s">
        <v>475</v>
      </c>
      <c r="I3" s="7" t="s">
        <v>476</v>
      </c>
      <c r="J3" s="7" t="s">
        <v>89</v>
      </c>
      <c r="K3" s="7" t="s">
        <v>90</v>
      </c>
      <c r="L3" s="7" t="s">
        <v>91</v>
      </c>
      <c r="M3" s="7" t="s">
        <v>477</v>
      </c>
      <c r="N3" s="7" t="s">
        <v>92</v>
      </c>
      <c r="O3" s="7" t="s">
        <v>478</v>
      </c>
      <c r="P3" s="7" t="s">
        <v>93</v>
      </c>
      <c r="Q3" s="7" t="s">
        <v>479</v>
      </c>
      <c r="R3" s="7" t="s">
        <v>480</v>
      </c>
      <c r="S3" s="7" t="s">
        <v>481</v>
      </c>
      <c r="T3" s="7" t="s">
        <v>482</v>
      </c>
      <c r="U3" s="7" t="s">
        <v>102</v>
      </c>
      <c r="V3" s="7" t="s">
        <v>97</v>
      </c>
      <c r="W3" s="7" t="s">
        <v>98</v>
      </c>
      <c r="X3" s="7" t="s">
        <v>483</v>
      </c>
      <c r="Y3" s="7" t="s">
        <v>484</v>
      </c>
      <c r="Z3" s="7" t="s">
        <v>99</v>
      </c>
      <c r="AA3" s="7" t="s">
        <v>485</v>
      </c>
      <c r="AB3" s="7" t="s">
        <v>100</v>
      </c>
      <c r="AC3" s="7" t="s">
        <v>486</v>
      </c>
      <c r="AD3" s="7" t="s">
        <v>487</v>
      </c>
      <c r="AE3" s="7" t="s">
        <v>488</v>
      </c>
      <c r="AF3" s="7" t="s">
        <v>489</v>
      </c>
      <c r="AG3" s="7" t="s">
        <v>490</v>
      </c>
      <c r="AH3" s="7" t="s">
        <v>491</v>
      </c>
      <c r="AI3" s="7" t="s">
        <v>492</v>
      </c>
      <c r="AJ3" s="7" t="s">
        <v>493</v>
      </c>
      <c r="AK3" s="7" t="s">
        <v>494</v>
      </c>
      <c r="AL3" s="7" t="s">
        <v>495</v>
      </c>
      <c r="AM3" s="7" t="s">
        <v>496</v>
      </c>
      <c r="AN3" s="7" t="s">
        <v>497</v>
      </c>
      <c r="AO3" s="7" t="s">
        <v>498</v>
      </c>
      <c r="AP3" s="7" t="s">
        <v>499</v>
      </c>
      <c r="AQ3" s="7" t="s">
        <v>500</v>
      </c>
      <c r="AR3" s="7" t="s">
        <v>501</v>
      </c>
      <c r="AS3" s="7" t="s">
        <v>502</v>
      </c>
      <c r="AT3" s="7" t="s">
        <v>503</v>
      </c>
      <c r="AU3" s="7" t="s">
        <v>504</v>
      </c>
    </row>
    <row r="4" customFormat="false" ht="15" hidden="false" customHeight="false" outlineLevel="0" collapsed="false">
      <c r="A4" s="8" t="s">
        <v>103</v>
      </c>
      <c r="B4" s="6" t="s">
        <v>104</v>
      </c>
      <c r="C4" s="8" t="s">
        <v>72</v>
      </c>
      <c r="D4" s="8" t="s">
        <v>505</v>
      </c>
      <c r="E4" s="8" t="s">
        <v>506</v>
      </c>
      <c r="F4" s="6" t="s">
        <v>507</v>
      </c>
      <c r="G4" s="8" t="s">
        <v>55</v>
      </c>
      <c r="H4" s="8" t="s">
        <v>66</v>
      </c>
      <c r="I4" s="8" t="s">
        <v>508</v>
      </c>
      <c r="J4" s="6" t="s">
        <v>105</v>
      </c>
      <c r="K4" s="8" t="s">
        <v>106</v>
      </c>
      <c r="L4" s="8"/>
      <c r="M4" s="23" t="n">
        <v>250000</v>
      </c>
      <c r="N4" s="23" t="n">
        <v>14615696.52</v>
      </c>
      <c r="O4" s="23" t="n">
        <v>14959165.38822</v>
      </c>
      <c r="P4" s="24" t="n">
        <v>56440.60708501</v>
      </c>
      <c r="Q4" s="24" t="n">
        <v>79543.1554982973</v>
      </c>
      <c r="R4" s="24" t="n">
        <v>56440.60708501</v>
      </c>
      <c r="S4" s="25" t="n">
        <v>0.00386164333720101</v>
      </c>
      <c r="T4" s="26" t="n">
        <v>1.04725841947083</v>
      </c>
      <c r="U4" s="23" t="n">
        <v>1</v>
      </c>
      <c r="V4" s="26" t="n">
        <v>-0.06</v>
      </c>
      <c r="W4" s="26" t="n">
        <v>0.016286106292154</v>
      </c>
      <c r="X4" s="26" t="n">
        <v>-0.223489879647288</v>
      </c>
      <c r="Y4" s="26" t="n">
        <v>0.316185113475856</v>
      </c>
      <c r="Z4" s="26" t="n">
        <v>1.08654553369197</v>
      </c>
      <c r="AA4" s="26" t="n">
        <v>2.49754316683425</v>
      </c>
      <c r="AB4" s="26" t="n">
        <v>-0.310232710895607</v>
      </c>
      <c r="AC4" s="27" t="n">
        <v>0.746432179453135</v>
      </c>
      <c r="AD4" s="28" t="n">
        <f aca="false">Params!$B$6*Params!$B$7*$R4</f>
        <v>33864.364251006</v>
      </c>
      <c r="AE4" s="29" t="n">
        <f aca="false">MIN(Params!$B$9,AD4/Params!$B$4)</f>
        <v>0.06</v>
      </c>
      <c r="AF4" s="29" t="n">
        <f aca="false">MIN(Params!$B$9,AD4/Params!$B$5)</f>
        <v>0.06</v>
      </c>
      <c r="AG4" s="28" t="n">
        <f aca="false">IF($R4&gt;0,Params!$B$9*Params!$B$4/(Params!$B$6*$R4),"n/a")</f>
        <v>0.00265766099528434</v>
      </c>
      <c r="AH4" s="28" t="n">
        <f aca="false">IF($R4&gt;0,Params!$B$9*Params!$B$5/(Params!$B$6*$R4),"n/a")</f>
        <v>0.00531532199056868</v>
      </c>
      <c r="AI4" s="28" t="n">
        <f aca="false">IF($R4&gt;0,Params!$B$15*Params!$B$4/(Params!$B$6*$R4),"n/a")</f>
        <v>0.000885886998428113</v>
      </c>
      <c r="AJ4" s="29" t="n">
        <f aca="false">MIN(Params!$B$9,AD4*Params!$B$8/Params!$B$4)</f>
        <v>0.06</v>
      </c>
      <c r="AK4" s="28" t="n">
        <f aca="false">IF($R4&gt;0,Params!$B$9*Params!$B$4/(Params!$B$6*$R4*Params!$B$8),"n/a")</f>
        <v>0.00531532199056868</v>
      </c>
      <c r="AL4" s="27" t="str">
        <f aca="false">IFERROR(ciq($D4,"IQ_PE_EXCL"),"")</f>
        <v/>
      </c>
      <c r="AM4" s="27" t="str">
        <f aca="false">IFERROR(ciq($D4,"IQ_PE_EXCL_FWD_CIQ"),"")</f>
        <v/>
      </c>
      <c r="AN4" s="27" t="str">
        <f aca="false">IFERROR(ciq($D4,"IQ_PBV"),"")</f>
        <v/>
      </c>
      <c r="AO4" s="27" t="str">
        <f aca="false">IFERROR(ciq($D4,"IQ_TEV_EBITDA"),"")</f>
        <v/>
      </c>
      <c r="AP4" s="24" t="str">
        <f aca="false">IFERROR(ciq($D4,"IQ_RETURN_EQUITY"),"")</f>
        <v/>
      </c>
      <c r="AQ4" s="24" t="str">
        <f aca="false">IFERROR(ciq($D4,"IQ_RETURN_CAPITAL"),"")</f>
        <v/>
      </c>
      <c r="AR4" s="24" t="str">
        <f aca="false">IFERROR(ciq($D4,"IQ_TOTAL_REV_1YR_ANN_GROWTH"),"")</f>
        <v/>
      </c>
      <c r="AS4" s="24" t="str">
        <f aca="false">IFERROR(ciq($D4,"IQ_EPS_1YR_ANN_GROWTH"),"")</f>
        <v/>
      </c>
      <c r="AT4" s="24" t="str">
        <f aca="false">IFERROR(ciq($D4,"IQ_DIVIDEND_YIELD"),"")</f>
        <v/>
      </c>
      <c r="AU4" s="24" t="str">
        <f aca="false">IFERROR(ciq($D4,"IQ_NET_DEBT"),"")</f>
        <v/>
      </c>
    </row>
    <row r="5" customFormat="false" ht="15" hidden="false" customHeight="false" outlineLevel="0" collapsed="false">
      <c r="A5" s="8" t="s">
        <v>509</v>
      </c>
      <c r="B5" s="8" t="s">
        <v>510</v>
      </c>
      <c r="C5" s="8" t="s">
        <v>72</v>
      </c>
      <c r="D5" s="8" t="s">
        <v>511</v>
      </c>
      <c r="E5" s="8" t="s">
        <v>512</v>
      </c>
      <c r="F5" s="6" t="s">
        <v>513</v>
      </c>
      <c r="G5" s="8" t="s">
        <v>55</v>
      </c>
      <c r="H5" s="8" t="s">
        <v>66</v>
      </c>
      <c r="I5" s="8"/>
      <c r="J5" s="8"/>
      <c r="K5" s="8"/>
      <c r="L5" s="8" t="s">
        <v>514</v>
      </c>
      <c r="M5" s="23" t="n">
        <v>1596000</v>
      </c>
      <c r="N5" s="23" t="n">
        <v>11658658.1454</v>
      </c>
      <c r="O5" s="23" t="n">
        <v>11718193.2731475</v>
      </c>
      <c r="P5" s="24" t="n">
        <v>64451.1430617425</v>
      </c>
      <c r="Q5" s="24" t="n">
        <v>109446.506495112</v>
      </c>
      <c r="R5" s="24" t="n">
        <v>64451.1430617425</v>
      </c>
      <c r="S5" s="25" t="n">
        <v>0.00552817847971399</v>
      </c>
      <c r="T5" s="26" t="n">
        <v>1.23532996669318</v>
      </c>
      <c r="U5" s="23" t="n">
        <v>2</v>
      </c>
      <c r="V5" s="26" t="n">
        <v>-0.04</v>
      </c>
      <c r="W5" s="26" t="n">
        <v>-0.0431259302264776</v>
      </c>
      <c r="X5" s="26" t="n">
        <v>-0.279377685260717</v>
      </c>
      <c r="Y5" s="26" t="n">
        <v>0.671655467092972</v>
      </c>
      <c r="Z5" s="26" t="n">
        <v>1.45238862857729</v>
      </c>
      <c r="AA5" s="26" t="n">
        <v>5.15181860631986</v>
      </c>
      <c r="AB5" s="26" t="n">
        <v>-0.453235020813022</v>
      </c>
      <c r="AC5" s="27" t="n">
        <v>0.70726673734249</v>
      </c>
      <c r="AD5" s="28" t="n">
        <f aca="false">Params!$B$6*Params!$B$7*$R5</f>
        <v>38670.6858370455</v>
      </c>
      <c r="AE5" s="29" t="n">
        <f aca="false">MIN(Params!$B$9,AD5/Params!$B$4)</f>
        <v>0.06</v>
      </c>
      <c r="AF5" s="29" t="n">
        <f aca="false">MIN(Params!$B$9,AD5/Params!$B$5)</f>
        <v>0.06</v>
      </c>
      <c r="AG5" s="28" t="n">
        <f aca="false">IF($R5&gt;0,Params!$B$9*Params!$B$4/(Params!$B$6*$R5),"n/a")</f>
        <v>0.00232734429327815</v>
      </c>
      <c r="AH5" s="28" t="n">
        <f aca="false">IF($R5&gt;0,Params!$B$9*Params!$B$5/(Params!$B$6*$R5),"n/a")</f>
        <v>0.0046546885865563</v>
      </c>
      <c r="AI5" s="28" t="n">
        <f aca="false">IF($R5&gt;0,Params!$B$15*Params!$B$4/(Params!$B$6*$R5),"n/a")</f>
        <v>0.000775781431092716</v>
      </c>
      <c r="AJ5" s="29" t="n">
        <f aca="false">MIN(Params!$B$9,AD5*Params!$B$8/Params!$B$4)</f>
        <v>0.06</v>
      </c>
      <c r="AK5" s="28" t="n">
        <f aca="false">IF($R5&gt;0,Params!$B$9*Params!$B$4/(Params!$B$6*$R5*Params!$B$8),"n/a")</f>
        <v>0.0046546885865563</v>
      </c>
      <c r="AL5" s="27" t="str">
        <f aca="false">IFERROR(ciq($D5,"IQ_PE_EXCL"),"")</f>
        <v/>
      </c>
      <c r="AM5" s="27" t="str">
        <f aca="false">IFERROR(ciq($D5,"IQ_PE_EXCL_FWD_CIQ"),"")</f>
        <v/>
      </c>
      <c r="AN5" s="27" t="str">
        <f aca="false">IFERROR(ciq($D5,"IQ_PBV"),"")</f>
        <v/>
      </c>
      <c r="AO5" s="27" t="str">
        <f aca="false">IFERROR(ciq($D5,"IQ_TEV_EBITDA"),"")</f>
        <v/>
      </c>
      <c r="AP5" s="24" t="str">
        <f aca="false">IFERROR(ciq($D5,"IQ_RETURN_EQUITY"),"")</f>
        <v/>
      </c>
      <c r="AQ5" s="24" t="str">
        <f aca="false">IFERROR(ciq($D5,"IQ_RETURN_CAPITAL"),"")</f>
        <v/>
      </c>
      <c r="AR5" s="24" t="str">
        <f aca="false">IFERROR(ciq($D5,"IQ_TOTAL_REV_1YR_ANN_GROWTH"),"")</f>
        <v/>
      </c>
      <c r="AS5" s="24" t="str">
        <f aca="false">IFERROR(ciq($D5,"IQ_EPS_1YR_ANN_GROWTH"),"")</f>
        <v/>
      </c>
      <c r="AT5" s="24" t="str">
        <f aca="false">IFERROR(ciq($D5,"IQ_DIVIDEND_YIELD"),"")</f>
        <v/>
      </c>
      <c r="AU5" s="24" t="str">
        <f aca="false">IFERROR(ciq($D5,"IQ_NET_DEBT"),"")</f>
        <v/>
      </c>
    </row>
    <row r="6" customFormat="false" ht="15" hidden="false" customHeight="false" outlineLevel="0" collapsed="false">
      <c r="A6" s="8" t="s">
        <v>107</v>
      </c>
      <c r="B6" s="6" t="s">
        <v>108</v>
      </c>
      <c r="C6" s="8" t="s">
        <v>72</v>
      </c>
      <c r="D6" s="8" t="s">
        <v>515</v>
      </c>
      <c r="E6" s="8" t="s">
        <v>516</v>
      </c>
      <c r="F6" s="8"/>
      <c r="G6" s="8" t="s">
        <v>55</v>
      </c>
      <c r="H6" s="8" t="s">
        <v>66</v>
      </c>
      <c r="I6" s="8" t="s">
        <v>508</v>
      </c>
      <c r="J6" s="6" t="s">
        <v>109</v>
      </c>
      <c r="K6" s="6" t="s">
        <v>110</v>
      </c>
      <c r="L6" s="6" t="s">
        <v>109</v>
      </c>
      <c r="M6" s="23" t="n">
        <v>184100</v>
      </c>
      <c r="N6" s="23" t="n">
        <v>1477165.384723</v>
      </c>
      <c r="O6" s="23" t="n">
        <v>1497304.9019183</v>
      </c>
      <c r="P6" s="24" t="n">
        <v>7627.759418075</v>
      </c>
      <c r="Q6" s="24" t="n">
        <v>8265.97896706667</v>
      </c>
      <c r="R6" s="24" t="n">
        <v>7627.759418075</v>
      </c>
      <c r="S6" s="25" t="n">
        <v>0.00516378158936169</v>
      </c>
      <c r="T6" s="26" t="n">
        <v>1.0151619757374</v>
      </c>
      <c r="U6" s="23" t="n">
        <v>1</v>
      </c>
      <c r="V6" s="26" t="n">
        <v>-0.06</v>
      </c>
      <c r="W6" s="26" t="n">
        <v>0.00112038408851833</v>
      </c>
      <c r="X6" s="26" t="n">
        <v>-0.0955618735493399</v>
      </c>
      <c r="Y6" s="26" t="n">
        <v>0.325033227733919</v>
      </c>
      <c r="Z6" s="26" t="n">
        <v>1.06258417205977</v>
      </c>
      <c r="AA6" s="26" t="n">
        <v>2.14412060143543</v>
      </c>
      <c r="AB6" s="26" t="n">
        <v>-0.216751292285029</v>
      </c>
      <c r="AC6" s="27" t="n">
        <v>0.91864561576159</v>
      </c>
      <c r="AD6" s="28" t="n">
        <f aca="false">Params!$B$6*Params!$B$7*$R6</f>
        <v>4576.655650845</v>
      </c>
      <c r="AE6" s="29" t="n">
        <f aca="false">MIN(Params!$B$9,AD6/Params!$B$4)</f>
        <v>0.06</v>
      </c>
      <c r="AF6" s="29" t="n">
        <f aca="false">MIN(Params!$B$9,AD6/Params!$B$5)</f>
        <v>0.06</v>
      </c>
      <c r="AG6" s="28" t="n">
        <f aca="false">IF($R6&gt;0,Params!$B$9*Params!$B$4/(Params!$B$6*$R6),"n/a")</f>
        <v>0.0196650145578209</v>
      </c>
      <c r="AH6" s="28" t="n">
        <f aca="false">IF($R6&gt;0,Params!$B$9*Params!$B$5/(Params!$B$6*$R6),"n/a")</f>
        <v>0.0393300291156417</v>
      </c>
      <c r="AI6" s="28" t="n">
        <f aca="false">IF($R6&gt;0,Params!$B$15*Params!$B$4/(Params!$B$6*$R6),"n/a")</f>
        <v>0.00655500485260695</v>
      </c>
      <c r="AJ6" s="29" t="n">
        <f aca="false">MIN(Params!$B$9,AD6*Params!$B$8/Params!$B$4)</f>
        <v>0.06</v>
      </c>
      <c r="AK6" s="28" t="n">
        <f aca="false">IF($R6&gt;0,Params!$B$9*Params!$B$4/(Params!$B$6*$R6*Params!$B$8),"n/a")</f>
        <v>0.0393300291156417</v>
      </c>
      <c r="AL6" s="27" t="str">
        <f aca="false">IFERROR(ciq($D6,"IQ_PE_EXCL"),"")</f>
        <v/>
      </c>
      <c r="AM6" s="27" t="str">
        <f aca="false">IFERROR(ciq($D6,"IQ_PE_EXCL_FWD_CIQ"),"")</f>
        <v/>
      </c>
      <c r="AN6" s="27" t="str">
        <f aca="false">IFERROR(ciq($D6,"IQ_PBV"),"")</f>
        <v/>
      </c>
      <c r="AO6" s="27" t="str">
        <f aca="false">IFERROR(ciq($D6,"IQ_TEV_EBITDA"),"")</f>
        <v/>
      </c>
      <c r="AP6" s="24" t="str">
        <f aca="false">IFERROR(ciq($D6,"IQ_RETURN_EQUITY"),"")</f>
        <v/>
      </c>
      <c r="AQ6" s="24" t="str">
        <f aca="false">IFERROR(ciq($D6,"IQ_RETURN_CAPITAL"),"")</f>
        <v/>
      </c>
      <c r="AR6" s="24" t="str">
        <f aca="false">IFERROR(ciq($D6,"IQ_TOTAL_REV_1YR_ANN_GROWTH"),"")</f>
        <v/>
      </c>
      <c r="AS6" s="24" t="str">
        <f aca="false">IFERROR(ciq($D6,"IQ_EPS_1YR_ANN_GROWTH"),"")</f>
        <v/>
      </c>
      <c r="AT6" s="24" t="str">
        <f aca="false">IFERROR(ciq($D6,"IQ_DIVIDEND_YIELD"),"")</f>
        <v/>
      </c>
      <c r="AU6" s="24" t="str">
        <f aca="false">IFERROR(ciq($D6,"IQ_NET_DEBT"),"")</f>
        <v/>
      </c>
    </row>
    <row r="7" customFormat="false" ht="15" hidden="false" customHeight="false" outlineLevel="0" collapsed="false">
      <c r="A7" s="8" t="s">
        <v>111</v>
      </c>
      <c r="B7" s="8" t="s">
        <v>112</v>
      </c>
      <c r="C7" s="8" t="s">
        <v>72</v>
      </c>
      <c r="D7" s="8" t="s">
        <v>517</v>
      </c>
      <c r="E7" s="8" t="s">
        <v>518</v>
      </c>
      <c r="F7" s="8"/>
      <c r="G7" s="8" t="s">
        <v>55</v>
      </c>
      <c r="H7" s="8" t="s">
        <v>66</v>
      </c>
      <c r="I7" s="8" t="s">
        <v>508</v>
      </c>
      <c r="J7" s="6" t="s">
        <v>113</v>
      </c>
      <c r="K7" s="8" t="s">
        <v>114</v>
      </c>
      <c r="L7" s="8" t="s">
        <v>115</v>
      </c>
      <c r="M7" s="23" t="n">
        <v>981000</v>
      </c>
      <c r="N7" s="23" t="n">
        <v>1294174.42038</v>
      </c>
      <c r="O7" s="23" t="n">
        <v>1374789.617362</v>
      </c>
      <c r="P7" s="24" t="n">
        <v>6162.884383801</v>
      </c>
      <c r="Q7" s="24" t="n">
        <v>13212.8822251308</v>
      </c>
      <c r="R7" s="24" t="n">
        <v>6162.884383801</v>
      </c>
      <c r="S7" s="25" t="n">
        <v>0.00476201993081538</v>
      </c>
      <c r="T7" s="26" t="n">
        <v>1.30104167027679</v>
      </c>
      <c r="U7" s="23" t="n">
        <v>4</v>
      </c>
      <c r="V7" s="26" t="n">
        <v>-0.04</v>
      </c>
      <c r="W7" s="26" t="n">
        <v>-0.12359493659501</v>
      </c>
      <c r="X7" s="26" t="n">
        <v>-0.227071370607417</v>
      </c>
      <c r="Y7" s="26" t="n">
        <v>0.736183250575784</v>
      </c>
      <c r="Z7" s="26" t="n">
        <v>1.66511069633698</v>
      </c>
      <c r="AA7" s="26" t="n">
        <v>5.77046905904421</v>
      </c>
      <c r="AB7" s="26" t="n">
        <v>-0.502122183134718</v>
      </c>
      <c r="AC7" s="27" t="n">
        <v>0.611516727353366</v>
      </c>
      <c r="AD7" s="28" t="n">
        <f aca="false">Params!$B$6*Params!$B$7*$R7</f>
        <v>3697.7306302806</v>
      </c>
      <c r="AE7" s="29" t="n">
        <f aca="false">MIN(Params!$B$9,AD7/Params!$B$4)</f>
        <v>0.06</v>
      </c>
      <c r="AF7" s="29" t="n">
        <f aca="false">MIN(Params!$B$9,AD7/Params!$B$5)</f>
        <v>0.06</v>
      </c>
      <c r="AG7" s="28" t="n">
        <f aca="false">IF($R7&gt;0,Params!$B$9*Params!$B$4/(Params!$B$6*$R7),"n/a")</f>
        <v>0.02433925263863</v>
      </c>
      <c r="AH7" s="28" t="n">
        <f aca="false">IF($R7&gt;0,Params!$B$9*Params!$B$5/(Params!$B$6*$R7),"n/a")</f>
        <v>0.04867850527726</v>
      </c>
      <c r="AI7" s="28" t="n">
        <f aca="false">IF($R7&gt;0,Params!$B$15*Params!$B$4/(Params!$B$6*$R7),"n/a")</f>
        <v>0.00811308421287666</v>
      </c>
      <c r="AJ7" s="29" t="n">
        <f aca="false">MIN(Params!$B$9,AD7*Params!$B$8/Params!$B$4)</f>
        <v>0.06</v>
      </c>
      <c r="AK7" s="28" t="n">
        <f aca="false">IF($R7&gt;0,Params!$B$9*Params!$B$4/(Params!$B$6*$R7*Params!$B$8),"n/a")</f>
        <v>0.04867850527726</v>
      </c>
      <c r="AL7" s="27" t="str">
        <f aca="false">IFERROR(ciq($D7,"IQ_PE_EXCL"),"")</f>
        <v/>
      </c>
      <c r="AM7" s="27" t="str">
        <f aca="false">IFERROR(ciq($D7,"IQ_PE_EXCL_FWD_CIQ"),"")</f>
        <v/>
      </c>
      <c r="AN7" s="27" t="str">
        <f aca="false">IFERROR(ciq($D7,"IQ_PBV"),"")</f>
        <v/>
      </c>
      <c r="AO7" s="27" t="str">
        <f aca="false">IFERROR(ciq($D7,"IQ_TEV_EBITDA"),"")</f>
        <v/>
      </c>
      <c r="AP7" s="24" t="str">
        <f aca="false">IFERROR(ciq($D7,"IQ_RETURN_EQUITY"),"")</f>
        <v/>
      </c>
      <c r="AQ7" s="24" t="str">
        <f aca="false">IFERROR(ciq($D7,"IQ_RETURN_CAPITAL"),"")</f>
        <v/>
      </c>
      <c r="AR7" s="24" t="str">
        <f aca="false">IFERROR(ciq($D7,"IQ_TOTAL_REV_1YR_ANN_GROWTH"),"")</f>
        <v/>
      </c>
      <c r="AS7" s="24" t="str">
        <f aca="false">IFERROR(ciq($D7,"IQ_EPS_1YR_ANN_GROWTH"),"")</f>
        <v/>
      </c>
      <c r="AT7" s="24" t="str">
        <f aca="false">IFERROR(ciq($D7,"IQ_DIVIDEND_YIELD"),"")</f>
        <v/>
      </c>
      <c r="AU7" s="24" t="str">
        <f aca="false">IFERROR(ciq($D7,"IQ_NET_DEBT"),"")</f>
        <v/>
      </c>
    </row>
    <row r="8" customFormat="false" ht="15" hidden="false" customHeight="false" outlineLevel="0" collapsed="false">
      <c r="A8" s="8" t="s">
        <v>519</v>
      </c>
      <c r="B8" s="6" t="s">
        <v>520</v>
      </c>
      <c r="C8" s="8" t="s">
        <v>72</v>
      </c>
      <c r="D8" s="8" t="s">
        <v>521</v>
      </c>
      <c r="E8" s="8" t="s">
        <v>522</v>
      </c>
      <c r="F8" s="6" t="s">
        <v>523</v>
      </c>
      <c r="G8" s="8" t="s">
        <v>55</v>
      </c>
      <c r="H8" s="8" t="s">
        <v>66</v>
      </c>
      <c r="I8" s="8"/>
      <c r="J8" s="8"/>
      <c r="K8" s="8"/>
      <c r="L8" s="8" t="s">
        <v>514</v>
      </c>
      <c r="M8" s="23" t="n">
        <v>1348000</v>
      </c>
      <c r="N8" s="23" t="n">
        <v>1006871.02208</v>
      </c>
      <c r="O8" s="23" t="n">
        <v>1024424.04064</v>
      </c>
      <c r="P8" s="24" t="n">
        <v>10329.3195705805</v>
      </c>
      <c r="Q8" s="24" t="n">
        <v>15406.1975179935</v>
      </c>
      <c r="R8" s="24" t="n">
        <v>10329.3195705805</v>
      </c>
      <c r="S8" s="25" t="n">
        <v>0.0102588309168359</v>
      </c>
      <c r="T8" s="26" t="n">
        <v>1.30154276717274</v>
      </c>
      <c r="U8" s="23" t="n">
        <v>3</v>
      </c>
      <c r="V8" s="26" t="n">
        <v>-0.04</v>
      </c>
      <c r="W8" s="26" t="n">
        <v>-0.00584410597109875</v>
      </c>
      <c r="X8" s="26" t="n">
        <v>-0.315562951684492</v>
      </c>
      <c r="Y8" s="26" t="n">
        <v>2.32107534523989</v>
      </c>
      <c r="Z8" s="26" t="n">
        <v>4.2866643619316</v>
      </c>
      <c r="AA8" s="26" t="n">
        <v>7.55526801837431</v>
      </c>
      <c r="AB8" s="26" t="n">
        <v>-0.4060123779434</v>
      </c>
      <c r="AC8" s="27" t="n">
        <v>0.79117589759494</v>
      </c>
      <c r="AD8" s="28" t="n">
        <f aca="false">Params!$B$6*Params!$B$7*$R8</f>
        <v>6197.5917423483</v>
      </c>
      <c r="AE8" s="29" t="n">
        <f aca="false">MIN(Params!$B$9,AD8/Params!$B$4)</f>
        <v>0.06</v>
      </c>
      <c r="AF8" s="29" t="n">
        <f aca="false">MIN(Params!$B$9,AD8/Params!$B$5)</f>
        <v>0.06</v>
      </c>
      <c r="AG8" s="28" t="n">
        <f aca="false">IF($R8&gt;0,Params!$B$9*Params!$B$4/(Params!$B$6*$R8),"n/a")</f>
        <v>0.0145217697037105</v>
      </c>
      <c r="AH8" s="28" t="n">
        <f aca="false">IF($R8&gt;0,Params!$B$9*Params!$B$5/(Params!$B$6*$R8),"n/a")</f>
        <v>0.029043539407421</v>
      </c>
      <c r="AI8" s="28" t="n">
        <f aca="false">IF($R8&gt;0,Params!$B$15*Params!$B$4/(Params!$B$6*$R8),"n/a")</f>
        <v>0.00484058990123684</v>
      </c>
      <c r="AJ8" s="29" t="n">
        <f aca="false">MIN(Params!$B$9,AD8*Params!$B$8/Params!$B$4)</f>
        <v>0.06</v>
      </c>
      <c r="AK8" s="28" t="n">
        <f aca="false">IF($R8&gt;0,Params!$B$9*Params!$B$4/(Params!$B$6*$R8*Params!$B$8),"n/a")</f>
        <v>0.029043539407421</v>
      </c>
      <c r="AL8" s="27" t="str">
        <f aca="false">IFERROR(ciq($D8,"IQ_PE_EXCL"),"")</f>
        <v/>
      </c>
      <c r="AM8" s="27" t="str">
        <f aca="false">IFERROR(ciq($D8,"IQ_PE_EXCL_FWD_CIQ"),"")</f>
        <v/>
      </c>
      <c r="AN8" s="27" t="str">
        <f aca="false">IFERROR(ciq($D8,"IQ_PBV"),"")</f>
        <v/>
      </c>
      <c r="AO8" s="27" t="str">
        <f aca="false">IFERROR(ciq($D8,"IQ_TEV_EBITDA"),"")</f>
        <v/>
      </c>
      <c r="AP8" s="24" t="str">
        <f aca="false">IFERROR(ciq($D8,"IQ_RETURN_EQUITY"),"")</f>
        <v/>
      </c>
      <c r="AQ8" s="24" t="str">
        <f aca="false">IFERROR(ciq($D8,"IQ_RETURN_CAPITAL"),"")</f>
        <v/>
      </c>
      <c r="AR8" s="24" t="str">
        <f aca="false">IFERROR(ciq($D8,"IQ_TOTAL_REV_1YR_ANN_GROWTH"),"")</f>
        <v/>
      </c>
      <c r="AS8" s="24" t="str">
        <f aca="false">IFERROR(ciq($D8,"IQ_EPS_1YR_ANN_GROWTH"),"")</f>
        <v/>
      </c>
      <c r="AT8" s="24" t="str">
        <f aca="false">IFERROR(ciq($D8,"IQ_DIVIDEND_YIELD"),"")</f>
        <v/>
      </c>
      <c r="AU8" s="24" t="str">
        <f aca="false">IFERROR(ciq($D8,"IQ_NET_DEBT"),"")</f>
        <v/>
      </c>
    </row>
    <row r="9" customFormat="false" ht="15" hidden="false" customHeight="false" outlineLevel="0" collapsed="false">
      <c r="A9" s="8" t="s">
        <v>524</v>
      </c>
      <c r="B9" s="8" t="s">
        <v>525</v>
      </c>
      <c r="C9" s="8" t="s">
        <v>72</v>
      </c>
      <c r="D9" s="8" t="s">
        <v>526</v>
      </c>
      <c r="E9" s="8" t="s">
        <v>527</v>
      </c>
      <c r="F9" s="8"/>
      <c r="G9" s="8" t="s">
        <v>55</v>
      </c>
      <c r="H9" s="8" t="s">
        <v>66</v>
      </c>
      <c r="I9" s="8"/>
      <c r="J9" s="8"/>
      <c r="K9" s="8"/>
      <c r="L9" s="8"/>
      <c r="M9" s="23" t="n">
        <v>365500</v>
      </c>
      <c r="N9" s="23" t="n">
        <v>855270</v>
      </c>
      <c r="O9" s="23" t="n">
        <v>841405.5</v>
      </c>
      <c r="P9" s="24" t="n">
        <v>1107.880757125</v>
      </c>
      <c r="Q9" s="24" t="n">
        <v>1279.54355220833</v>
      </c>
      <c r="R9" s="24" t="n">
        <v>1107.880757125</v>
      </c>
      <c r="S9" s="25" t="n">
        <v>0.00129535790700598</v>
      </c>
      <c r="T9" s="26" t="n">
        <v>0.754347015861389</v>
      </c>
      <c r="U9" s="23" t="n">
        <v>0</v>
      </c>
      <c r="V9" s="26" t="n">
        <v>-0.06</v>
      </c>
      <c r="W9" s="26" t="n">
        <v>0.0894551955027911</v>
      </c>
      <c r="X9" s="26" t="n">
        <v>-0.0782403084566272</v>
      </c>
      <c r="Y9" s="26" t="n">
        <v>-0.0111476409683406</v>
      </c>
      <c r="Z9" s="26" t="n">
        <v>-0.00834204324650456</v>
      </c>
      <c r="AA9" s="26" t="n">
        <v>-0.0384283868836626</v>
      </c>
      <c r="AB9" s="26" t="n">
        <v>-0.289053260031621</v>
      </c>
      <c r="AC9" s="27" t="n">
        <v>0.64937783194545</v>
      </c>
      <c r="AD9" s="28" t="n">
        <f aca="false">Params!$B$6*Params!$B$7*$R9</f>
        <v>664.728454275</v>
      </c>
      <c r="AE9" s="29" t="n">
        <f aca="false">MIN(Params!$B$9,AD9/Params!$B$4)</f>
        <v>0.06</v>
      </c>
      <c r="AF9" s="29" t="n">
        <f aca="false">MIN(Params!$B$9,AD9/Params!$B$5)</f>
        <v>0.06</v>
      </c>
      <c r="AG9" s="28" t="n">
        <f aca="false">IF($R9&gt;0,Params!$B$9*Params!$B$4/(Params!$B$6*$R9),"n/a")</f>
        <v>0.135393632424176</v>
      </c>
      <c r="AH9" s="28" t="n">
        <f aca="false">IF($R9&gt;0,Params!$B$9*Params!$B$5/(Params!$B$6*$R9),"n/a")</f>
        <v>0.270787264848352</v>
      </c>
      <c r="AI9" s="28" t="n">
        <f aca="false">IF($R9&gt;0,Params!$B$15*Params!$B$4/(Params!$B$6*$R9),"n/a")</f>
        <v>0.0451312108080586</v>
      </c>
      <c r="AJ9" s="29" t="n">
        <f aca="false">MIN(Params!$B$9,AD9*Params!$B$8/Params!$B$4)</f>
        <v>0.06</v>
      </c>
      <c r="AK9" s="28" t="n">
        <f aca="false">IF($R9&gt;0,Params!$B$9*Params!$B$4/(Params!$B$6*$R9*Params!$B$8),"n/a")</f>
        <v>0.270787264848352</v>
      </c>
      <c r="AL9" s="27" t="str">
        <f aca="false">IFERROR(ciq($D9,"IQ_PE_EXCL"),"")</f>
        <v/>
      </c>
      <c r="AM9" s="27" t="str">
        <f aca="false">IFERROR(ciq($D9,"IQ_PE_EXCL_FWD_CIQ"),"")</f>
        <v/>
      </c>
      <c r="AN9" s="27" t="str">
        <f aca="false">IFERROR(ciq($D9,"IQ_PBV"),"")</f>
        <v/>
      </c>
      <c r="AO9" s="27" t="str">
        <f aca="false">IFERROR(ciq($D9,"IQ_TEV_EBITDA"),"")</f>
        <v/>
      </c>
      <c r="AP9" s="24" t="str">
        <f aca="false">IFERROR(ciq($D9,"IQ_RETURN_EQUITY"),"")</f>
        <v/>
      </c>
      <c r="AQ9" s="24" t="str">
        <f aca="false">IFERROR(ciq($D9,"IQ_RETURN_CAPITAL"),"")</f>
        <v/>
      </c>
      <c r="AR9" s="24" t="str">
        <f aca="false">IFERROR(ciq($D9,"IQ_TOTAL_REV_1YR_ANN_GROWTH"),"")</f>
        <v/>
      </c>
      <c r="AS9" s="24" t="str">
        <f aca="false">IFERROR(ciq($D9,"IQ_EPS_1YR_ANN_GROWTH"),"")</f>
        <v/>
      </c>
      <c r="AT9" s="24" t="str">
        <f aca="false">IFERROR(ciq($D9,"IQ_DIVIDEND_YIELD"),"")</f>
        <v/>
      </c>
      <c r="AU9" s="24" t="str">
        <f aca="false">IFERROR(ciq($D9,"IQ_NET_DEBT"),"")</f>
        <v/>
      </c>
    </row>
    <row r="10" customFormat="false" ht="15" hidden="false" customHeight="false" outlineLevel="0" collapsed="false">
      <c r="A10" s="8" t="s">
        <v>116</v>
      </c>
      <c r="B10" s="6" t="s">
        <v>117</v>
      </c>
      <c r="C10" s="8" t="s">
        <v>72</v>
      </c>
      <c r="D10" s="8" t="s">
        <v>528</v>
      </c>
      <c r="E10" s="8" t="s">
        <v>529</v>
      </c>
      <c r="F10" s="6" t="s">
        <v>530</v>
      </c>
      <c r="G10" s="8" t="s">
        <v>55</v>
      </c>
      <c r="H10" s="8" t="s">
        <v>66</v>
      </c>
      <c r="I10" s="8" t="s">
        <v>508</v>
      </c>
      <c r="J10" s="6" t="s">
        <v>118</v>
      </c>
      <c r="K10" s="8" t="s">
        <v>119</v>
      </c>
      <c r="L10" s="8"/>
      <c r="M10" s="23" t="n">
        <v>383500</v>
      </c>
      <c r="N10" s="23" t="n">
        <v>785246.03261</v>
      </c>
      <c r="O10" s="23" t="n">
        <v>836947.368525</v>
      </c>
      <c r="P10" s="24" t="n">
        <v>2447.330505425</v>
      </c>
      <c r="Q10" s="24" t="n">
        <v>4279.1354684575</v>
      </c>
      <c r="R10" s="24" t="n">
        <v>2447.330505425</v>
      </c>
      <c r="S10" s="25" t="n">
        <v>0.00311664166871441</v>
      </c>
      <c r="T10" s="26" t="n">
        <v>0.623145127259388</v>
      </c>
      <c r="U10" s="23" t="n">
        <v>0</v>
      </c>
      <c r="V10" s="26" t="n">
        <v>-0.06</v>
      </c>
      <c r="W10" s="26" t="n">
        <v>-0.0519179236593126</v>
      </c>
      <c r="X10" s="26" t="n">
        <v>-0.39992768481345</v>
      </c>
      <c r="Y10" s="26" t="n">
        <v>-0.276620906919592</v>
      </c>
      <c r="Z10" s="26" t="n">
        <v>0.292870812036822</v>
      </c>
      <c r="AA10" s="26" t="n">
        <v>0.726625365595544</v>
      </c>
      <c r="AB10" s="26" t="n">
        <v>-0.488724756362365</v>
      </c>
      <c r="AC10" s="27" t="n">
        <v>0.355159147609411</v>
      </c>
      <c r="AD10" s="28" t="n">
        <f aca="false">Params!$B$6*Params!$B$7*$R10</f>
        <v>1468.398303255</v>
      </c>
      <c r="AE10" s="29" t="n">
        <f aca="false">MIN(Params!$B$9,AD10/Params!$B$4)</f>
        <v>0.06</v>
      </c>
      <c r="AF10" s="29" t="n">
        <f aca="false">MIN(Params!$B$9,AD10/Params!$B$5)</f>
        <v>0.06</v>
      </c>
      <c r="AG10" s="28" t="n">
        <f aca="false">IF($R10&gt;0,Params!$B$9*Params!$B$4/(Params!$B$6*$R10),"n/a")</f>
        <v>0.0612912721299779</v>
      </c>
      <c r="AH10" s="28" t="n">
        <f aca="false">IF($R10&gt;0,Params!$B$9*Params!$B$5/(Params!$B$6*$R10),"n/a")</f>
        <v>0.122582544259956</v>
      </c>
      <c r="AI10" s="28" t="n">
        <f aca="false">IF($R10&gt;0,Params!$B$15*Params!$B$4/(Params!$B$6*$R10),"n/a")</f>
        <v>0.020430424043326</v>
      </c>
      <c r="AJ10" s="29" t="n">
        <f aca="false">MIN(Params!$B$9,AD10*Params!$B$8/Params!$B$4)</f>
        <v>0.06</v>
      </c>
      <c r="AK10" s="28" t="n">
        <f aca="false">IF($R10&gt;0,Params!$B$9*Params!$B$4/(Params!$B$6*$R10*Params!$B$8),"n/a")</f>
        <v>0.122582544259956</v>
      </c>
      <c r="AL10" s="27" t="str">
        <f aca="false">IFERROR(ciq($D10,"IQ_PE_EXCL"),"")</f>
        <v/>
      </c>
      <c r="AM10" s="27" t="str">
        <f aca="false">IFERROR(ciq($D10,"IQ_PE_EXCL_FWD_CIQ"),"")</f>
        <v/>
      </c>
      <c r="AN10" s="27" t="str">
        <f aca="false">IFERROR(ciq($D10,"IQ_PBV"),"")</f>
        <v/>
      </c>
      <c r="AO10" s="27" t="str">
        <f aca="false">IFERROR(ciq($D10,"IQ_TEV_EBITDA"),"")</f>
        <v/>
      </c>
      <c r="AP10" s="24" t="str">
        <f aca="false">IFERROR(ciq($D10,"IQ_RETURN_EQUITY"),"")</f>
        <v/>
      </c>
      <c r="AQ10" s="24" t="str">
        <f aca="false">IFERROR(ciq($D10,"IQ_RETURN_CAPITAL"),"")</f>
        <v/>
      </c>
      <c r="AR10" s="24" t="str">
        <f aca="false">IFERROR(ciq($D10,"IQ_TOTAL_REV_1YR_ANN_GROWTH"),"")</f>
        <v/>
      </c>
      <c r="AS10" s="24" t="str">
        <f aca="false">IFERROR(ciq($D10,"IQ_EPS_1YR_ANN_GROWTH"),"")</f>
        <v/>
      </c>
      <c r="AT10" s="24" t="str">
        <f aca="false">IFERROR(ciq($D10,"IQ_DIVIDEND_YIELD"),"")</f>
        <v/>
      </c>
      <c r="AU10" s="24" t="str">
        <f aca="false">IFERROR(ciq($D10,"IQ_NET_DEBT"),"")</f>
        <v/>
      </c>
    </row>
    <row r="11" customFormat="false" ht="15" hidden="false" customHeight="false" outlineLevel="0" collapsed="false">
      <c r="A11" s="8" t="s">
        <v>120</v>
      </c>
      <c r="B11" s="6" t="s">
        <v>121</v>
      </c>
      <c r="C11" s="8" t="s">
        <v>72</v>
      </c>
      <c r="D11" s="8" t="s">
        <v>531</v>
      </c>
      <c r="E11" s="8" t="s">
        <v>532</v>
      </c>
      <c r="F11" s="6" t="s">
        <v>533</v>
      </c>
      <c r="G11" s="8" t="s">
        <v>55</v>
      </c>
      <c r="H11" s="8" t="s">
        <v>66</v>
      </c>
      <c r="I11" s="8" t="s">
        <v>508</v>
      </c>
      <c r="J11" s="6" t="s">
        <v>122</v>
      </c>
      <c r="K11" s="8" t="s">
        <v>123</v>
      </c>
      <c r="L11" s="6" t="s">
        <v>124</v>
      </c>
      <c r="M11" s="23" t="n">
        <v>1477000</v>
      </c>
      <c r="N11" s="23" t="n">
        <v>683717.34627</v>
      </c>
      <c r="O11" s="23" t="n">
        <v>716630.212431</v>
      </c>
      <c r="P11" s="24" t="n">
        <v>759.5921325645</v>
      </c>
      <c r="Q11" s="24" t="n">
        <v>874.693600925</v>
      </c>
      <c r="R11" s="24" t="n">
        <v>759.5921325645</v>
      </c>
      <c r="S11" s="25" t="n">
        <v>0.0011109739086019</v>
      </c>
      <c r="T11" s="26" t="n">
        <v>0.513403470734969</v>
      </c>
      <c r="U11" s="23" t="n">
        <v>0</v>
      </c>
      <c r="V11" s="26" t="n">
        <v>-0.06</v>
      </c>
      <c r="W11" s="26" t="n">
        <v>-0.00952276264435681</v>
      </c>
      <c r="X11" s="26" t="n">
        <v>0.139622989068936</v>
      </c>
      <c r="Y11" s="26" t="n">
        <v>-0.108778940953915</v>
      </c>
      <c r="Z11" s="26" t="n">
        <v>-0.128772623582442</v>
      </c>
      <c r="AA11" s="26" t="n">
        <v>-0.025737274387111</v>
      </c>
      <c r="AB11" s="26" t="n">
        <v>-0.248535110163099</v>
      </c>
      <c r="AC11" s="27" t="n">
        <v>0.893020811956964</v>
      </c>
      <c r="AD11" s="28" t="n">
        <f aca="false">Params!$B$6*Params!$B$7*$R11</f>
        <v>455.7552795387</v>
      </c>
      <c r="AE11" s="29" t="n">
        <f aca="false">MIN(Params!$B$9,AD11/Params!$B$4)</f>
        <v>0.06</v>
      </c>
      <c r="AF11" s="29" t="n">
        <f aca="false">MIN(Params!$B$9,AD11/Params!$B$5)</f>
        <v>0.06</v>
      </c>
      <c r="AG11" s="28" t="n">
        <f aca="false">IF($R11&gt;0,Params!$B$9*Params!$B$4/(Params!$B$6*$R11),"n/a")</f>
        <v>0.197474399179961</v>
      </c>
      <c r="AH11" s="28" t="n">
        <f aca="false">IF($R11&gt;0,Params!$B$9*Params!$B$5/(Params!$B$6*$R11),"n/a")</f>
        <v>0.394948798359922</v>
      </c>
      <c r="AI11" s="28" t="n">
        <f aca="false">IF($R11&gt;0,Params!$B$15*Params!$B$4/(Params!$B$6*$R11),"n/a")</f>
        <v>0.0658247997266537</v>
      </c>
      <c r="AJ11" s="29" t="n">
        <f aca="false">MIN(Params!$B$9,AD11*Params!$B$8/Params!$B$4)</f>
        <v>0.06</v>
      </c>
      <c r="AK11" s="28" t="n">
        <f aca="false">IF($R11&gt;0,Params!$B$9*Params!$B$4/(Params!$B$6*$R11*Params!$B$8),"n/a")</f>
        <v>0.394948798359922</v>
      </c>
      <c r="AL11" s="27" t="str">
        <f aca="false">IFERROR(ciq($D11,"IQ_PE_EXCL"),"")</f>
        <v/>
      </c>
      <c r="AM11" s="27" t="str">
        <f aca="false">IFERROR(ciq($D11,"IQ_PE_EXCL_FWD_CIQ"),"")</f>
        <v/>
      </c>
      <c r="AN11" s="27" t="str">
        <f aca="false">IFERROR(ciq($D11,"IQ_PBV"),"")</f>
        <v/>
      </c>
      <c r="AO11" s="27" t="str">
        <f aca="false">IFERROR(ciq($D11,"IQ_TEV_EBITDA"),"")</f>
        <v/>
      </c>
      <c r="AP11" s="24" t="str">
        <f aca="false">IFERROR(ciq($D11,"IQ_RETURN_EQUITY"),"")</f>
        <v/>
      </c>
      <c r="AQ11" s="24" t="str">
        <f aca="false">IFERROR(ciq($D11,"IQ_RETURN_CAPITAL"),"")</f>
        <v/>
      </c>
      <c r="AR11" s="24" t="str">
        <f aca="false">IFERROR(ciq($D11,"IQ_TOTAL_REV_1YR_ANN_GROWTH"),"")</f>
        <v/>
      </c>
      <c r="AS11" s="24" t="str">
        <f aca="false">IFERROR(ciq($D11,"IQ_EPS_1YR_ANN_GROWTH"),"")</f>
        <v/>
      </c>
      <c r="AT11" s="24" t="str">
        <f aca="false">IFERROR(ciq($D11,"IQ_DIVIDEND_YIELD"),"")</f>
        <v/>
      </c>
      <c r="AU11" s="24" t="str">
        <f aca="false">IFERROR(ciq($D11,"IQ_NET_DEBT"),"")</f>
        <v/>
      </c>
    </row>
    <row r="12" customFormat="false" ht="15" hidden="false" customHeight="false" outlineLevel="0" collapsed="false">
      <c r="A12" s="8" t="s">
        <v>125</v>
      </c>
      <c r="B12" s="8" t="s">
        <v>126</v>
      </c>
      <c r="C12" s="8" t="s">
        <v>72</v>
      </c>
      <c r="D12" s="8" t="s">
        <v>534</v>
      </c>
      <c r="E12" s="8" t="s">
        <v>535</v>
      </c>
      <c r="F12" s="6" t="s">
        <v>536</v>
      </c>
      <c r="G12" s="8" t="s">
        <v>55</v>
      </c>
      <c r="H12" s="8" t="s">
        <v>66</v>
      </c>
      <c r="I12" s="8" t="s">
        <v>508</v>
      </c>
      <c r="J12" s="6" t="s">
        <v>118</v>
      </c>
      <c r="K12" s="6" t="s">
        <v>127</v>
      </c>
      <c r="L12" s="8"/>
      <c r="M12" s="23" t="n">
        <v>177900</v>
      </c>
      <c r="N12" s="23" t="n">
        <v>630989.478786</v>
      </c>
      <c r="O12" s="23" t="n">
        <v>598482.3479649</v>
      </c>
      <c r="P12" s="24" t="n">
        <v>1875.9523024075</v>
      </c>
      <c r="Q12" s="24" t="n">
        <v>2298.1971722865</v>
      </c>
      <c r="R12" s="24" t="n">
        <v>1875.9523024075</v>
      </c>
      <c r="S12" s="25" t="n">
        <v>0.00297303261857355</v>
      </c>
      <c r="T12" s="26" t="n">
        <v>0.429632871221347</v>
      </c>
      <c r="U12" s="23" t="n">
        <v>0</v>
      </c>
      <c r="V12" s="26" t="n">
        <v>-0.06</v>
      </c>
      <c r="W12" s="26" t="n">
        <v>0.042145000165619</v>
      </c>
      <c r="X12" s="26" t="n">
        <v>0.14941143308311</v>
      </c>
      <c r="Y12" s="26" t="n">
        <v>0.176331641000556</v>
      </c>
      <c r="Z12" s="26" t="n">
        <v>0.427488775580797</v>
      </c>
      <c r="AA12" s="26" t="n">
        <v>0.613612426180962</v>
      </c>
      <c r="AB12" s="26" t="n">
        <v>-0.0445804154651082</v>
      </c>
      <c r="AC12" s="27" t="n">
        <v>0.879239705409264</v>
      </c>
      <c r="AD12" s="28" t="n">
        <f aca="false">Params!$B$6*Params!$B$7*$R12</f>
        <v>1125.5713814445</v>
      </c>
      <c r="AE12" s="29" t="n">
        <f aca="false">MIN(Params!$B$9,AD12/Params!$B$4)</f>
        <v>0.06</v>
      </c>
      <c r="AF12" s="29" t="n">
        <f aca="false">MIN(Params!$B$9,AD12/Params!$B$5)</f>
        <v>0.06</v>
      </c>
      <c r="AG12" s="28" t="n">
        <f aca="false">IF($R12&gt;0,Params!$B$9*Params!$B$4/(Params!$B$6*$R12),"n/a")</f>
        <v>0.0799593890566929</v>
      </c>
      <c r="AH12" s="28" t="n">
        <f aca="false">IF($R12&gt;0,Params!$B$9*Params!$B$5/(Params!$B$6*$R12),"n/a")</f>
        <v>0.159918778113386</v>
      </c>
      <c r="AI12" s="28" t="n">
        <f aca="false">IF($R12&gt;0,Params!$B$15*Params!$B$4/(Params!$B$6*$R12),"n/a")</f>
        <v>0.0266531296855643</v>
      </c>
      <c r="AJ12" s="29" t="n">
        <f aca="false">MIN(Params!$B$9,AD12*Params!$B$8/Params!$B$4)</f>
        <v>0.06</v>
      </c>
      <c r="AK12" s="28" t="n">
        <f aca="false">IF($R12&gt;0,Params!$B$9*Params!$B$4/(Params!$B$6*$R12*Params!$B$8),"n/a")</f>
        <v>0.159918778113386</v>
      </c>
      <c r="AL12" s="27" t="str">
        <f aca="false">IFERROR(ciq($D12,"IQ_PE_EXCL"),"")</f>
        <v/>
      </c>
      <c r="AM12" s="27" t="str">
        <f aca="false">IFERROR(ciq($D12,"IQ_PE_EXCL_FWD_CIQ"),"")</f>
        <v/>
      </c>
      <c r="AN12" s="27" t="str">
        <f aca="false">IFERROR(ciq($D12,"IQ_PBV"),"")</f>
        <v/>
      </c>
      <c r="AO12" s="27" t="str">
        <f aca="false">IFERROR(ciq($D12,"IQ_TEV_EBITDA"),"")</f>
        <v/>
      </c>
      <c r="AP12" s="24" t="str">
        <f aca="false">IFERROR(ciq($D12,"IQ_RETURN_EQUITY"),"")</f>
        <v/>
      </c>
      <c r="AQ12" s="24" t="str">
        <f aca="false">IFERROR(ciq($D12,"IQ_RETURN_CAPITAL"),"")</f>
        <v/>
      </c>
      <c r="AR12" s="24" t="str">
        <f aca="false">IFERROR(ciq($D12,"IQ_TOTAL_REV_1YR_ANN_GROWTH"),"")</f>
        <v/>
      </c>
      <c r="AS12" s="24" t="str">
        <f aca="false">IFERROR(ciq($D12,"IQ_EPS_1YR_ANN_GROWTH"),"")</f>
        <v/>
      </c>
      <c r="AT12" s="24" t="str">
        <f aca="false">IFERROR(ciq($D12,"IQ_DIVIDEND_YIELD"),"")</f>
        <v/>
      </c>
      <c r="AU12" s="24" t="str">
        <f aca="false">IFERROR(ciq($D12,"IQ_NET_DEBT"),"")</f>
        <v/>
      </c>
    </row>
    <row r="13" customFormat="false" ht="15" hidden="false" customHeight="false" outlineLevel="0" collapsed="false">
      <c r="A13" s="8" t="s">
        <v>128</v>
      </c>
      <c r="B13" s="6" t="s">
        <v>129</v>
      </c>
      <c r="C13" s="8" t="s">
        <v>72</v>
      </c>
      <c r="D13" s="8" t="s">
        <v>537</v>
      </c>
      <c r="E13" s="8" t="s">
        <v>538</v>
      </c>
      <c r="F13" s="6" t="s">
        <v>539</v>
      </c>
      <c r="G13" s="8" t="s">
        <v>55</v>
      </c>
      <c r="H13" s="8" t="s">
        <v>66</v>
      </c>
      <c r="I13" s="8" t="s">
        <v>508</v>
      </c>
      <c r="J13" s="6" t="s">
        <v>130</v>
      </c>
      <c r="K13" s="6" t="s">
        <v>131</v>
      </c>
      <c r="L13" s="8"/>
      <c r="M13" s="23" t="n">
        <v>303000</v>
      </c>
      <c r="N13" s="23" t="n">
        <v>606000</v>
      </c>
      <c r="O13" s="23" t="n">
        <v>594950</v>
      </c>
      <c r="P13" s="24" t="n">
        <v>1398.4613741755</v>
      </c>
      <c r="Q13" s="24" t="n">
        <v>1700.02488399667</v>
      </c>
      <c r="R13" s="24" t="n">
        <v>1398.4613741755</v>
      </c>
      <c r="S13" s="25" t="n">
        <v>0.00230769203659323</v>
      </c>
      <c r="T13" s="26" t="n">
        <v>0.928455352175349</v>
      </c>
      <c r="U13" s="23" t="n">
        <v>1</v>
      </c>
      <c r="V13" s="26" t="n">
        <v>-0.06</v>
      </c>
      <c r="W13" s="26" t="n">
        <v>0.0306129108229298</v>
      </c>
      <c r="X13" s="26" t="n">
        <v>-0.22884671888978</v>
      </c>
      <c r="Y13" s="26" t="n">
        <v>0.337913452889767</v>
      </c>
      <c r="Z13" s="26" t="n">
        <v>0.922038244226751</v>
      </c>
      <c r="AA13" s="26" t="n">
        <v>1.14843967248462</v>
      </c>
      <c r="AB13" s="26" t="n">
        <v>-0.390196031042686</v>
      </c>
      <c r="AC13" s="27" t="n">
        <v>0.930135783465947</v>
      </c>
      <c r="AD13" s="28" t="n">
        <f aca="false">Params!$B$6*Params!$B$7*$R13</f>
        <v>839.0768245053</v>
      </c>
      <c r="AE13" s="29" t="n">
        <f aca="false">MIN(Params!$B$9,AD13/Params!$B$4)</f>
        <v>0.06</v>
      </c>
      <c r="AF13" s="29" t="n">
        <f aca="false">MIN(Params!$B$9,AD13/Params!$B$5)</f>
        <v>0.06</v>
      </c>
      <c r="AG13" s="28" t="n">
        <f aca="false">IF($R13&gt;0,Params!$B$9*Params!$B$4/(Params!$B$6*$R13),"n/a")</f>
        <v>0.107260738673198</v>
      </c>
      <c r="AH13" s="28" t="n">
        <f aca="false">IF($R13&gt;0,Params!$B$9*Params!$B$5/(Params!$B$6*$R13),"n/a")</f>
        <v>0.214521477346396</v>
      </c>
      <c r="AI13" s="28" t="n">
        <f aca="false">IF($R13&gt;0,Params!$B$15*Params!$B$4/(Params!$B$6*$R13),"n/a")</f>
        <v>0.0357535795577327</v>
      </c>
      <c r="AJ13" s="29" t="n">
        <f aca="false">MIN(Params!$B$9,AD13*Params!$B$8/Params!$B$4)</f>
        <v>0.06</v>
      </c>
      <c r="AK13" s="28" t="n">
        <f aca="false">IF($R13&gt;0,Params!$B$9*Params!$B$4/(Params!$B$6*$R13*Params!$B$8),"n/a")</f>
        <v>0.214521477346396</v>
      </c>
      <c r="AL13" s="27" t="str">
        <f aca="false">IFERROR(ciq($D13,"IQ_PE_EXCL"),"")</f>
        <v/>
      </c>
      <c r="AM13" s="27" t="str">
        <f aca="false">IFERROR(ciq($D13,"IQ_PE_EXCL_FWD_CIQ"),"")</f>
        <v/>
      </c>
      <c r="AN13" s="27" t="str">
        <f aca="false">IFERROR(ciq($D13,"IQ_PBV"),"")</f>
        <v/>
      </c>
      <c r="AO13" s="27" t="str">
        <f aca="false">IFERROR(ciq($D13,"IQ_TEV_EBITDA"),"")</f>
        <v/>
      </c>
      <c r="AP13" s="24" t="str">
        <f aca="false">IFERROR(ciq($D13,"IQ_RETURN_EQUITY"),"")</f>
        <v/>
      </c>
      <c r="AQ13" s="24" t="str">
        <f aca="false">IFERROR(ciq($D13,"IQ_RETURN_CAPITAL"),"")</f>
        <v/>
      </c>
      <c r="AR13" s="24" t="str">
        <f aca="false">IFERROR(ciq($D13,"IQ_TOTAL_REV_1YR_ANN_GROWTH"),"")</f>
        <v/>
      </c>
      <c r="AS13" s="24" t="str">
        <f aca="false">IFERROR(ciq($D13,"IQ_EPS_1YR_ANN_GROWTH"),"")</f>
        <v/>
      </c>
      <c r="AT13" s="24" t="str">
        <f aca="false">IFERROR(ciq($D13,"IQ_DIVIDEND_YIELD"),"")</f>
        <v/>
      </c>
      <c r="AU13" s="24" t="str">
        <f aca="false">IFERROR(ciq($D13,"IQ_NET_DEBT"),"")</f>
        <v/>
      </c>
    </row>
    <row r="14" customFormat="false" ht="15" hidden="false" customHeight="false" outlineLevel="0" collapsed="false">
      <c r="A14" s="8" t="s">
        <v>132</v>
      </c>
      <c r="B14" s="6" t="s">
        <v>133</v>
      </c>
      <c r="C14" s="8" t="s">
        <v>72</v>
      </c>
      <c r="D14" s="8" t="s">
        <v>540</v>
      </c>
      <c r="E14" s="8" t="s">
        <v>541</v>
      </c>
      <c r="F14" s="6" t="s">
        <v>542</v>
      </c>
      <c r="G14" s="8" t="s">
        <v>55</v>
      </c>
      <c r="H14" s="8" t="s">
        <v>66</v>
      </c>
      <c r="I14" s="8" t="s">
        <v>508</v>
      </c>
      <c r="J14" s="6" t="s">
        <v>113</v>
      </c>
      <c r="K14" s="6" t="s">
        <v>134</v>
      </c>
      <c r="L14" s="8"/>
      <c r="M14" s="23" t="n">
        <v>372000</v>
      </c>
      <c r="N14" s="23" t="n">
        <v>603263.40132</v>
      </c>
      <c r="O14" s="23" t="n">
        <v>592681.96665975</v>
      </c>
      <c r="P14" s="24" t="n">
        <v>1345.576650153</v>
      </c>
      <c r="Q14" s="24" t="n">
        <v>2330.56082339217</v>
      </c>
      <c r="R14" s="24" t="n">
        <v>1345.576650153</v>
      </c>
      <c r="S14" s="25" t="n">
        <v>0.0022304960771841</v>
      </c>
      <c r="T14" s="26" t="n">
        <v>0.945501329920459</v>
      </c>
      <c r="U14" s="23" t="n">
        <v>1</v>
      </c>
      <c r="V14" s="26" t="n">
        <v>-0.06</v>
      </c>
      <c r="W14" s="26" t="n">
        <v>0.0706918852300917</v>
      </c>
      <c r="X14" s="26" t="n">
        <v>-0.13277987485213</v>
      </c>
      <c r="Y14" s="26" t="n">
        <v>0.312034526324924</v>
      </c>
      <c r="Z14" s="26" t="n">
        <v>0.55297753359309</v>
      </c>
      <c r="AA14" s="26" t="n">
        <v>1.23255041590621</v>
      </c>
      <c r="AB14" s="26" t="n">
        <v>-0.304614318608072</v>
      </c>
      <c r="AC14" s="27" t="n">
        <v>0.610342061119079</v>
      </c>
      <c r="AD14" s="28" t="n">
        <f aca="false">Params!$B$6*Params!$B$7*$R14</f>
        <v>807.3459900918</v>
      </c>
      <c r="AE14" s="29" t="n">
        <f aca="false">MIN(Params!$B$9,AD14/Params!$B$4)</f>
        <v>0.06</v>
      </c>
      <c r="AF14" s="29" t="n">
        <f aca="false">MIN(Params!$B$9,AD14/Params!$B$5)</f>
        <v>0.06</v>
      </c>
      <c r="AG14" s="28" t="n">
        <f aca="false">IF($R14&gt;0,Params!$B$9*Params!$B$4/(Params!$B$6*$R14),"n/a")</f>
        <v>0.111476369616658</v>
      </c>
      <c r="AH14" s="28" t="n">
        <f aca="false">IF($R14&gt;0,Params!$B$9*Params!$B$5/(Params!$B$6*$R14),"n/a")</f>
        <v>0.222952739233316</v>
      </c>
      <c r="AI14" s="28" t="n">
        <f aca="false">IF($R14&gt;0,Params!$B$15*Params!$B$4/(Params!$B$6*$R14),"n/a")</f>
        <v>0.0371587898722193</v>
      </c>
      <c r="AJ14" s="29" t="n">
        <f aca="false">MIN(Params!$B$9,AD14*Params!$B$8/Params!$B$4)</f>
        <v>0.06</v>
      </c>
      <c r="AK14" s="28" t="n">
        <f aca="false">IF($R14&gt;0,Params!$B$9*Params!$B$4/(Params!$B$6*$R14*Params!$B$8),"n/a")</f>
        <v>0.222952739233316</v>
      </c>
      <c r="AL14" s="27" t="str">
        <f aca="false">IFERROR(ciq($D14,"IQ_PE_EXCL"),"")</f>
        <v/>
      </c>
      <c r="AM14" s="27" t="str">
        <f aca="false">IFERROR(ciq($D14,"IQ_PE_EXCL_FWD_CIQ"),"")</f>
        <v/>
      </c>
      <c r="AN14" s="27" t="str">
        <f aca="false">IFERROR(ciq($D14,"IQ_PBV"),"")</f>
        <v/>
      </c>
      <c r="AO14" s="27" t="str">
        <f aca="false">IFERROR(ciq($D14,"IQ_TEV_EBITDA"),"")</f>
        <v/>
      </c>
      <c r="AP14" s="24" t="str">
        <f aca="false">IFERROR(ciq($D14,"IQ_RETURN_EQUITY"),"")</f>
        <v/>
      </c>
      <c r="AQ14" s="24" t="str">
        <f aca="false">IFERROR(ciq($D14,"IQ_RETURN_CAPITAL"),"")</f>
        <v/>
      </c>
      <c r="AR14" s="24" t="str">
        <f aca="false">IFERROR(ciq($D14,"IQ_TOTAL_REV_1YR_ANN_GROWTH"),"")</f>
        <v/>
      </c>
      <c r="AS14" s="24" t="str">
        <f aca="false">IFERROR(ciq($D14,"IQ_EPS_1YR_ANN_GROWTH"),"")</f>
        <v/>
      </c>
      <c r="AT14" s="24" t="str">
        <f aca="false">IFERROR(ciq($D14,"IQ_DIVIDEND_YIELD"),"")</f>
        <v/>
      </c>
      <c r="AU14" s="24" t="str">
        <f aca="false">IFERROR(ciq($D14,"IQ_NET_DEBT"),"")</f>
        <v/>
      </c>
    </row>
    <row r="15" customFormat="false" ht="15" hidden="false" customHeight="false" outlineLevel="0" collapsed="false">
      <c r="A15" s="8" t="s">
        <v>135</v>
      </c>
      <c r="B15" s="6" t="s">
        <v>136</v>
      </c>
      <c r="C15" s="8" t="s">
        <v>72</v>
      </c>
      <c r="D15" s="8" t="s">
        <v>543</v>
      </c>
      <c r="E15" s="8" t="s">
        <v>544</v>
      </c>
      <c r="F15" s="6" t="s">
        <v>545</v>
      </c>
      <c r="G15" s="8" t="s">
        <v>55</v>
      </c>
      <c r="H15" s="8" t="s">
        <v>66</v>
      </c>
      <c r="I15" s="8" t="s">
        <v>508</v>
      </c>
      <c r="J15" s="6" t="s">
        <v>137</v>
      </c>
      <c r="K15" s="6" t="s">
        <v>138</v>
      </c>
      <c r="L15" s="8"/>
      <c r="M15" s="23" t="n">
        <v>1047000</v>
      </c>
      <c r="N15" s="23" t="n">
        <v>539868.80847</v>
      </c>
      <c r="O15" s="23" t="n">
        <v>575189.738155</v>
      </c>
      <c r="P15" s="24" t="n">
        <v>2055.6321409225</v>
      </c>
      <c r="Q15" s="24" t="n">
        <v>2277.668076328</v>
      </c>
      <c r="R15" s="24" t="n">
        <v>2055.6321409225</v>
      </c>
      <c r="S15" s="25" t="n">
        <v>0.00380765124539832</v>
      </c>
      <c r="T15" s="26" t="n">
        <v>0.746791504835798</v>
      </c>
      <c r="U15" s="23" t="n">
        <v>0</v>
      </c>
      <c r="V15" s="26" t="n">
        <v>-0.06</v>
      </c>
      <c r="W15" s="26" t="n">
        <v>0.0397965767703368</v>
      </c>
      <c r="X15" s="26" t="n">
        <v>0.030777507123404</v>
      </c>
      <c r="Y15" s="26" t="n">
        <v>-0.257171295587177</v>
      </c>
      <c r="Z15" s="26" t="n">
        <v>0.113000064291558</v>
      </c>
      <c r="AA15" s="26" t="n">
        <v>0.160722947890436</v>
      </c>
      <c r="AB15" s="26" t="n">
        <v>-0.318648106450066</v>
      </c>
      <c r="AC15" s="27" t="n">
        <v>0.77900327202712</v>
      </c>
      <c r="AD15" s="28" t="n">
        <f aca="false">Params!$B$6*Params!$B$7*$R15</f>
        <v>1233.3792845535</v>
      </c>
      <c r="AE15" s="29" t="n">
        <f aca="false">MIN(Params!$B$9,AD15/Params!$B$4)</f>
        <v>0.06</v>
      </c>
      <c r="AF15" s="29" t="n">
        <f aca="false">MIN(Params!$B$9,AD15/Params!$B$5)</f>
        <v>0.06</v>
      </c>
      <c r="AG15" s="28" t="n">
        <f aca="false">IF($R15&gt;0,Params!$B$9*Params!$B$4/(Params!$B$6*$R15),"n/a")</f>
        <v>0.0729702542657681</v>
      </c>
      <c r="AH15" s="28" t="n">
        <f aca="false">IF($R15&gt;0,Params!$B$9*Params!$B$5/(Params!$B$6*$R15),"n/a")</f>
        <v>0.145940508531536</v>
      </c>
      <c r="AI15" s="28" t="n">
        <f aca="false">IF($R15&gt;0,Params!$B$15*Params!$B$4/(Params!$B$6*$R15),"n/a")</f>
        <v>0.0243234180885894</v>
      </c>
      <c r="AJ15" s="29" t="n">
        <f aca="false">MIN(Params!$B$9,AD15*Params!$B$8/Params!$B$4)</f>
        <v>0.06</v>
      </c>
      <c r="AK15" s="28" t="n">
        <f aca="false">IF($R15&gt;0,Params!$B$9*Params!$B$4/(Params!$B$6*$R15*Params!$B$8),"n/a")</f>
        <v>0.145940508531536</v>
      </c>
      <c r="AL15" s="27" t="str">
        <f aca="false">IFERROR(ciq($D15,"IQ_PE_EXCL"),"")</f>
        <v/>
      </c>
      <c r="AM15" s="27" t="str">
        <f aca="false">IFERROR(ciq($D15,"IQ_PE_EXCL_FWD_CIQ"),"")</f>
        <v/>
      </c>
      <c r="AN15" s="27" t="str">
        <f aca="false">IFERROR(ciq($D15,"IQ_PBV"),"")</f>
        <v/>
      </c>
      <c r="AO15" s="27" t="str">
        <f aca="false">IFERROR(ciq($D15,"IQ_TEV_EBITDA"),"")</f>
        <v/>
      </c>
      <c r="AP15" s="24" t="str">
        <f aca="false">IFERROR(ciq($D15,"IQ_RETURN_EQUITY"),"")</f>
        <v/>
      </c>
      <c r="AQ15" s="24" t="str">
        <f aca="false">IFERROR(ciq($D15,"IQ_RETURN_CAPITAL"),"")</f>
        <v/>
      </c>
      <c r="AR15" s="24" t="str">
        <f aca="false">IFERROR(ciq($D15,"IQ_TOTAL_REV_1YR_ANN_GROWTH"),"")</f>
        <v/>
      </c>
      <c r="AS15" s="24" t="str">
        <f aca="false">IFERROR(ciq($D15,"IQ_EPS_1YR_ANN_GROWTH"),"")</f>
        <v/>
      </c>
      <c r="AT15" s="24" t="str">
        <f aca="false">IFERROR(ciq($D15,"IQ_DIVIDEND_YIELD"),"")</f>
        <v/>
      </c>
      <c r="AU15" s="24" t="str">
        <f aca="false">IFERROR(ciq($D15,"IQ_NET_DEBT"),"")</f>
        <v/>
      </c>
    </row>
    <row r="16" customFormat="false" ht="15" hidden="false" customHeight="false" outlineLevel="0" collapsed="false">
      <c r="A16" s="8" t="s">
        <v>139</v>
      </c>
      <c r="B16" s="6" t="s">
        <v>140</v>
      </c>
      <c r="C16" s="8" t="s">
        <v>72</v>
      </c>
      <c r="D16" s="8" t="s">
        <v>546</v>
      </c>
      <c r="E16" s="8" t="s">
        <v>547</v>
      </c>
      <c r="F16" s="6" t="s">
        <v>536</v>
      </c>
      <c r="G16" s="8" t="s">
        <v>55</v>
      </c>
      <c r="H16" s="8" t="s">
        <v>66</v>
      </c>
      <c r="I16" s="8" t="s">
        <v>508</v>
      </c>
      <c r="J16" s="6" t="s">
        <v>118</v>
      </c>
      <c r="K16" s="6" t="s">
        <v>141</v>
      </c>
      <c r="L16" s="8"/>
      <c r="M16" s="23" t="n">
        <v>114500</v>
      </c>
      <c r="N16" s="23" t="n">
        <v>537520.523655</v>
      </c>
      <c r="O16" s="23" t="n">
        <v>503133.29364825</v>
      </c>
      <c r="P16" s="24" t="n">
        <v>1240.1158612815</v>
      </c>
      <c r="Q16" s="24" t="n">
        <v>1383.07458318733</v>
      </c>
      <c r="R16" s="24" t="n">
        <v>1240.1158612815</v>
      </c>
      <c r="S16" s="25" t="n">
        <v>0.00230710420664319</v>
      </c>
      <c r="T16" s="26" t="n">
        <v>0.405843712759531</v>
      </c>
      <c r="U16" s="23" t="n">
        <v>0</v>
      </c>
      <c r="V16" s="26" t="n">
        <v>-0.06</v>
      </c>
      <c r="W16" s="26" t="n">
        <v>0.105310110312677</v>
      </c>
      <c r="X16" s="26" t="n">
        <v>0.131903893771905</v>
      </c>
      <c r="Y16" s="26" t="n">
        <v>0.257658991821262</v>
      </c>
      <c r="Z16" s="26" t="n">
        <v>0.489640873555066</v>
      </c>
      <c r="AA16" s="26" t="n">
        <v>0.718356195173998</v>
      </c>
      <c r="AB16" s="26" t="n">
        <v>0</v>
      </c>
      <c r="AC16" s="27" t="n">
        <v>0.909999688355819</v>
      </c>
      <c r="AD16" s="28" t="n">
        <f aca="false">Params!$B$6*Params!$B$7*$R16</f>
        <v>744.0695167689</v>
      </c>
      <c r="AE16" s="29" t="n">
        <f aca="false">MIN(Params!$B$9,AD16/Params!$B$4)</f>
        <v>0.06</v>
      </c>
      <c r="AF16" s="29" t="n">
        <f aca="false">MIN(Params!$B$9,AD16/Params!$B$5)</f>
        <v>0.06</v>
      </c>
      <c r="AG16" s="28" t="n">
        <f aca="false">IF($R16&gt;0,Params!$B$9*Params!$B$4/(Params!$B$6*$R16),"n/a")</f>
        <v>0.120956440186963</v>
      </c>
      <c r="AH16" s="28" t="n">
        <f aca="false">IF($R16&gt;0,Params!$B$9*Params!$B$5/(Params!$B$6*$R16),"n/a")</f>
        <v>0.241912880373926</v>
      </c>
      <c r="AI16" s="28" t="n">
        <f aca="false">IF($R16&gt;0,Params!$B$15*Params!$B$4/(Params!$B$6*$R16),"n/a")</f>
        <v>0.0403188133956544</v>
      </c>
      <c r="AJ16" s="29" t="n">
        <f aca="false">MIN(Params!$B$9,AD16*Params!$B$8/Params!$B$4)</f>
        <v>0.06</v>
      </c>
      <c r="AK16" s="28" t="n">
        <f aca="false">IF($R16&gt;0,Params!$B$9*Params!$B$4/(Params!$B$6*$R16*Params!$B$8),"n/a")</f>
        <v>0.241912880373926</v>
      </c>
      <c r="AL16" s="27" t="str">
        <f aca="false">IFERROR(ciq($D16,"IQ_PE_EXCL"),"")</f>
        <v/>
      </c>
      <c r="AM16" s="27" t="str">
        <f aca="false">IFERROR(ciq($D16,"IQ_PE_EXCL_FWD_CIQ"),"")</f>
        <v/>
      </c>
      <c r="AN16" s="27" t="str">
        <f aca="false">IFERROR(ciq($D16,"IQ_PBV"),"")</f>
        <v/>
      </c>
      <c r="AO16" s="27" t="str">
        <f aca="false">IFERROR(ciq($D16,"IQ_TEV_EBITDA"),"")</f>
        <v/>
      </c>
      <c r="AP16" s="24" t="str">
        <f aca="false">IFERROR(ciq($D16,"IQ_RETURN_EQUITY"),"")</f>
        <v/>
      </c>
      <c r="AQ16" s="24" t="str">
        <f aca="false">IFERROR(ciq($D16,"IQ_RETURN_CAPITAL"),"")</f>
        <v/>
      </c>
      <c r="AR16" s="24" t="str">
        <f aca="false">IFERROR(ciq($D16,"IQ_TOTAL_REV_1YR_ANN_GROWTH"),"")</f>
        <v/>
      </c>
      <c r="AS16" s="24" t="str">
        <f aca="false">IFERROR(ciq($D16,"IQ_EPS_1YR_ANN_GROWTH"),"")</f>
        <v/>
      </c>
      <c r="AT16" s="24" t="str">
        <f aca="false">IFERROR(ciq($D16,"IQ_DIVIDEND_YIELD"),"")</f>
        <v/>
      </c>
      <c r="AU16" s="24" t="str">
        <f aca="false">IFERROR(ciq($D16,"IQ_NET_DEBT"),"")</f>
        <v/>
      </c>
    </row>
    <row r="17" customFormat="false" ht="15" hidden="false" customHeight="false" outlineLevel="0" collapsed="false">
      <c r="A17" s="8" t="s">
        <v>142</v>
      </c>
      <c r="B17" s="6" t="s">
        <v>143</v>
      </c>
      <c r="C17" s="8" t="s">
        <v>72</v>
      </c>
      <c r="D17" s="8" t="s">
        <v>548</v>
      </c>
      <c r="E17" s="8" t="s">
        <v>549</v>
      </c>
      <c r="F17" s="6" t="s">
        <v>550</v>
      </c>
      <c r="G17" s="8" t="s">
        <v>55</v>
      </c>
      <c r="H17" s="8" t="s">
        <v>66</v>
      </c>
      <c r="I17" s="8" t="s">
        <v>508</v>
      </c>
      <c r="J17" s="6" t="s">
        <v>144</v>
      </c>
      <c r="K17" s="6" t="s">
        <v>145</v>
      </c>
      <c r="L17" s="8"/>
      <c r="M17" s="23" t="n">
        <v>79200</v>
      </c>
      <c r="N17" s="23" t="n">
        <v>507324.427632</v>
      </c>
      <c r="O17" s="23" t="n">
        <v>509790.5880441</v>
      </c>
      <c r="P17" s="24" t="n">
        <v>2090.215022125</v>
      </c>
      <c r="Q17" s="24" t="n">
        <v>2293.199108645</v>
      </c>
      <c r="R17" s="24" t="n">
        <v>2090.215022125</v>
      </c>
      <c r="S17" s="25" t="n">
        <v>0.00412007565234211</v>
      </c>
      <c r="T17" s="26" t="n">
        <v>0.752151357626682</v>
      </c>
      <c r="U17" s="23" t="n">
        <v>0</v>
      </c>
      <c r="V17" s="26" t="n">
        <v>-0.06</v>
      </c>
      <c r="W17" s="26" t="n">
        <v>0.0287009969020824</v>
      </c>
      <c r="X17" s="26" t="n">
        <v>-0.141601352706037</v>
      </c>
      <c r="Y17" s="26" t="n">
        <v>-0.215722078845642</v>
      </c>
      <c r="Z17" s="26" t="n">
        <v>0.0520688536690253</v>
      </c>
      <c r="AA17" s="26" t="n">
        <v>0.201663163279726</v>
      </c>
      <c r="AB17" s="26" t="n">
        <v>-0.419109803564526</v>
      </c>
      <c r="AC17" s="27" t="n">
        <v>0.603664996270666</v>
      </c>
      <c r="AD17" s="28" t="n">
        <f aca="false">Params!$B$6*Params!$B$7*$R17</f>
        <v>1254.129013275</v>
      </c>
      <c r="AE17" s="29" t="n">
        <f aca="false">MIN(Params!$B$9,AD17/Params!$B$4)</f>
        <v>0.06</v>
      </c>
      <c r="AF17" s="29" t="n">
        <f aca="false">MIN(Params!$B$9,AD17/Params!$B$5)</f>
        <v>0.06</v>
      </c>
      <c r="AG17" s="28" t="n">
        <f aca="false">IF($R17&gt;0,Params!$B$9*Params!$B$4/(Params!$B$6*$R17),"n/a")</f>
        <v>0.071762951855309</v>
      </c>
      <c r="AH17" s="28" t="n">
        <f aca="false">IF($R17&gt;0,Params!$B$9*Params!$B$5/(Params!$B$6*$R17),"n/a")</f>
        <v>0.143525903710618</v>
      </c>
      <c r="AI17" s="28" t="n">
        <f aca="false">IF($R17&gt;0,Params!$B$15*Params!$B$4/(Params!$B$6*$R17),"n/a")</f>
        <v>0.0239209839517697</v>
      </c>
      <c r="AJ17" s="29" t="n">
        <f aca="false">MIN(Params!$B$9,AD17*Params!$B$8/Params!$B$4)</f>
        <v>0.06</v>
      </c>
      <c r="AK17" s="28" t="n">
        <f aca="false">IF($R17&gt;0,Params!$B$9*Params!$B$4/(Params!$B$6*$R17*Params!$B$8),"n/a")</f>
        <v>0.143525903710618</v>
      </c>
      <c r="AL17" s="27" t="str">
        <f aca="false">IFERROR(ciq($D17,"IQ_PE_EXCL"),"")</f>
        <v/>
      </c>
      <c r="AM17" s="27" t="str">
        <f aca="false">IFERROR(ciq($D17,"IQ_PE_EXCL_FWD_CIQ"),"")</f>
        <v/>
      </c>
      <c r="AN17" s="27" t="str">
        <f aca="false">IFERROR(ciq($D17,"IQ_PBV"),"")</f>
        <v/>
      </c>
      <c r="AO17" s="27" t="str">
        <f aca="false">IFERROR(ciq($D17,"IQ_TEV_EBITDA"),"")</f>
        <v/>
      </c>
      <c r="AP17" s="24" t="str">
        <f aca="false">IFERROR(ciq($D17,"IQ_RETURN_EQUITY"),"")</f>
        <v/>
      </c>
      <c r="AQ17" s="24" t="str">
        <f aca="false">IFERROR(ciq($D17,"IQ_RETURN_CAPITAL"),"")</f>
        <v/>
      </c>
      <c r="AR17" s="24" t="str">
        <f aca="false">IFERROR(ciq($D17,"IQ_TOTAL_REV_1YR_ANN_GROWTH"),"")</f>
        <v/>
      </c>
      <c r="AS17" s="24" t="str">
        <f aca="false">IFERROR(ciq($D17,"IQ_EPS_1YR_ANN_GROWTH"),"")</f>
        <v/>
      </c>
      <c r="AT17" s="24" t="str">
        <f aca="false">IFERROR(ciq($D17,"IQ_DIVIDEND_YIELD"),"")</f>
        <v/>
      </c>
      <c r="AU17" s="24" t="str">
        <f aca="false">IFERROR(ciq($D17,"IQ_NET_DEBT"),"")</f>
        <v/>
      </c>
    </row>
    <row r="18" customFormat="false" ht="15" hidden="false" customHeight="false" outlineLevel="0" collapsed="false">
      <c r="A18" s="8" t="s">
        <v>551</v>
      </c>
      <c r="B18" s="6" t="s">
        <v>552</v>
      </c>
      <c r="C18" s="8" t="s">
        <v>72</v>
      </c>
      <c r="D18" s="8" t="s">
        <v>553</v>
      </c>
      <c r="E18" s="8" t="s">
        <v>554</v>
      </c>
      <c r="F18" s="6" t="s">
        <v>530</v>
      </c>
      <c r="G18" s="8" t="s">
        <v>55</v>
      </c>
      <c r="H18" s="8" t="s">
        <v>66</v>
      </c>
      <c r="I18" s="8"/>
      <c r="J18" s="8"/>
      <c r="K18" s="8"/>
      <c r="L18" s="8"/>
      <c r="M18" s="23" t="n">
        <v>127400</v>
      </c>
      <c r="N18" s="23" t="n">
        <v>497386.159452</v>
      </c>
      <c r="O18" s="23" t="n">
        <v>517511.9494989</v>
      </c>
      <c r="P18" s="24" t="n">
        <v>1058.839311656</v>
      </c>
      <c r="Q18" s="24" t="n">
        <v>1485.649540008</v>
      </c>
      <c r="R18" s="24" t="n">
        <v>1058.839311656</v>
      </c>
      <c r="S18" s="25" t="n">
        <v>0.00212880734924869</v>
      </c>
      <c r="T18" s="26" t="n">
        <v>0.610372272733644</v>
      </c>
      <c r="U18" s="23" t="n">
        <v>0</v>
      </c>
      <c r="V18" s="26" t="n">
        <v>-0.06</v>
      </c>
      <c r="W18" s="26" t="n">
        <v>-0.0420836927925122</v>
      </c>
      <c r="X18" s="26" t="n">
        <v>-0.224820760801465</v>
      </c>
      <c r="Y18" s="26" t="n">
        <v>-0.214164319819512</v>
      </c>
      <c r="Z18" s="26" t="n">
        <v>0.0453134779140814</v>
      </c>
      <c r="AA18" s="26" t="n">
        <v>0.216721307160738</v>
      </c>
      <c r="AB18" s="26" t="n">
        <v>-0.381991226354544</v>
      </c>
      <c r="AC18" s="27" t="n">
        <v>0.562471919875719</v>
      </c>
      <c r="AD18" s="28" t="n">
        <f aca="false">Params!$B$6*Params!$B$7*$R18</f>
        <v>635.3035869936</v>
      </c>
      <c r="AE18" s="29" t="n">
        <f aca="false">MIN(Params!$B$9,AD18/Params!$B$4)</f>
        <v>0.06</v>
      </c>
      <c r="AF18" s="29" t="n">
        <f aca="false">MIN(Params!$B$9,AD18/Params!$B$5)</f>
        <v>0.06</v>
      </c>
      <c r="AG18" s="28" t="n">
        <f aca="false">IF($R18&gt;0,Params!$B$9*Params!$B$4/(Params!$B$6*$R18),"n/a")</f>
        <v>0.141664555092315</v>
      </c>
      <c r="AH18" s="28" t="n">
        <f aca="false">IF($R18&gt;0,Params!$B$9*Params!$B$5/(Params!$B$6*$R18),"n/a")</f>
        <v>0.283329110184629</v>
      </c>
      <c r="AI18" s="28" t="n">
        <f aca="false">IF($R18&gt;0,Params!$B$15*Params!$B$4/(Params!$B$6*$R18),"n/a")</f>
        <v>0.0472215183641049</v>
      </c>
      <c r="AJ18" s="29" t="n">
        <f aca="false">MIN(Params!$B$9,AD18*Params!$B$8/Params!$B$4)</f>
        <v>0.06</v>
      </c>
      <c r="AK18" s="28" t="n">
        <f aca="false">IF($R18&gt;0,Params!$B$9*Params!$B$4/(Params!$B$6*$R18*Params!$B$8),"n/a")</f>
        <v>0.283329110184629</v>
      </c>
      <c r="AL18" s="27" t="str">
        <f aca="false">IFERROR(ciq($D18,"IQ_PE_EXCL"),"")</f>
        <v/>
      </c>
      <c r="AM18" s="27" t="str">
        <f aca="false">IFERROR(ciq($D18,"IQ_PE_EXCL_FWD_CIQ"),"")</f>
        <v/>
      </c>
      <c r="AN18" s="27" t="str">
        <f aca="false">IFERROR(ciq($D18,"IQ_PBV"),"")</f>
        <v/>
      </c>
      <c r="AO18" s="27" t="str">
        <f aca="false">IFERROR(ciq($D18,"IQ_TEV_EBITDA"),"")</f>
        <v/>
      </c>
      <c r="AP18" s="24" t="str">
        <f aca="false">IFERROR(ciq($D18,"IQ_RETURN_EQUITY"),"")</f>
        <v/>
      </c>
      <c r="AQ18" s="24" t="str">
        <f aca="false">IFERROR(ciq($D18,"IQ_RETURN_CAPITAL"),"")</f>
        <v/>
      </c>
      <c r="AR18" s="24" t="str">
        <f aca="false">IFERROR(ciq($D18,"IQ_TOTAL_REV_1YR_ANN_GROWTH"),"")</f>
        <v/>
      </c>
      <c r="AS18" s="24" t="str">
        <f aca="false">IFERROR(ciq($D18,"IQ_EPS_1YR_ANN_GROWTH"),"")</f>
        <v/>
      </c>
      <c r="AT18" s="24" t="str">
        <f aca="false">IFERROR(ciq($D18,"IQ_DIVIDEND_YIELD"),"")</f>
        <v/>
      </c>
      <c r="AU18" s="24" t="str">
        <f aca="false">IFERROR(ciq($D18,"IQ_NET_DEBT"),"")</f>
        <v/>
      </c>
    </row>
    <row r="19" customFormat="false" ht="15" hidden="false" customHeight="false" outlineLevel="0" collapsed="false">
      <c r="A19" s="8" t="s">
        <v>555</v>
      </c>
      <c r="B19" s="8" t="s">
        <v>556</v>
      </c>
      <c r="C19" s="8" t="s">
        <v>72</v>
      </c>
      <c r="D19" s="8" t="s">
        <v>557</v>
      </c>
      <c r="E19" s="8" t="s">
        <v>558</v>
      </c>
      <c r="F19" s="8"/>
      <c r="G19" s="8" t="s">
        <v>55</v>
      </c>
      <c r="H19" s="8" t="s">
        <v>66</v>
      </c>
      <c r="I19" s="8"/>
      <c r="J19" s="8"/>
      <c r="K19" s="8"/>
      <c r="L19" s="8"/>
      <c r="M19" s="23" t="n">
        <v>435000</v>
      </c>
      <c r="N19" s="23" t="n">
        <v>456581.32875</v>
      </c>
      <c r="O19" s="23" t="n">
        <v>499248.0667125</v>
      </c>
      <c r="P19" s="24" t="n">
        <v>1088.395999398</v>
      </c>
      <c r="Q19" s="24" t="n">
        <v>1562.550570804</v>
      </c>
      <c r="R19" s="24" t="n">
        <v>1088.395999398</v>
      </c>
      <c r="S19" s="25" t="n">
        <v>0.00238379436666353</v>
      </c>
      <c r="T19" s="26" t="n">
        <v>0.610795934604033</v>
      </c>
      <c r="U19" s="23" t="n">
        <v>0</v>
      </c>
      <c r="V19" s="26" t="n">
        <v>-0.06</v>
      </c>
      <c r="W19" s="26" t="n">
        <v>-0.145357041154853</v>
      </c>
      <c r="X19" s="26" t="n">
        <v>-0.289016366803592</v>
      </c>
      <c r="Y19" s="26" t="n">
        <v>-0.26250664325708</v>
      </c>
      <c r="Z19" s="26" t="n">
        <v>-0.145166434918537</v>
      </c>
      <c r="AA19" s="26" t="n">
        <v>-0.105334429460506</v>
      </c>
      <c r="AB19" s="26" t="n">
        <v>-0.415967792381082</v>
      </c>
      <c r="AC19" s="27" t="n">
        <v>0.486724882841013</v>
      </c>
      <c r="AD19" s="28" t="n">
        <f aca="false">Params!$B$6*Params!$B$7*$R19</f>
        <v>653.0375996388</v>
      </c>
      <c r="AE19" s="29" t="n">
        <f aca="false">MIN(Params!$B$9,AD19/Params!$B$4)</f>
        <v>0.06</v>
      </c>
      <c r="AF19" s="29" t="n">
        <f aca="false">MIN(Params!$B$9,AD19/Params!$B$5)</f>
        <v>0.06</v>
      </c>
      <c r="AG19" s="28" t="n">
        <f aca="false">IF($R19&gt;0,Params!$B$9*Params!$B$4/(Params!$B$6*$R19),"n/a")</f>
        <v>0.137817485623768</v>
      </c>
      <c r="AH19" s="28" t="n">
        <f aca="false">IF($R19&gt;0,Params!$B$9*Params!$B$5/(Params!$B$6*$R19),"n/a")</f>
        <v>0.275634971247535</v>
      </c>
      <c r="AI19" s="28" t="n">
        <f aca="false">IF($R19&gt;0,Params!$B$15*Params!$B$4/(Params!$B$6*$R19),"n/a")</f>
        <v>0.0459391618745892</v>
      </c>
      <c r="AJ19" s="29" t="n">
        <f aca="false">MIN(Params!$B$9,AD19*Params!$B$8/Params!$B$4)</f>
        <v>0.06</v>
      </c>
      <c r="AK19" s="28" t="n">
        <f aca="false">IF($R19&gt;0,Params!$B$9*Params!$B$4/(Params!$B$6*$R19*Params!$B$8),"n/a")</f>
        <v>0.275634971247535</v>
      </c>
      <c r="AL19" s="27" t="str">
        <f aca="false">IFERROR(ciq($D19,"IQ_PE_EXCL"),"")</f>
        <v/>
      </c>
      <c r="AM19" s="27" t="str">
        <f aca="false">IFERROR(ciq($D19,"IQ_PE_EXCL_FWD_CIQ"),"")</f>
        <v/>
      </c>
      <c r="AN19" s="27" t="str">
        <f aca="false">IFERROR(ciq($D19,"IQ_PBV"),"")</f>
        <v/>
      </c>
      <c r="AO19" s="27" t="str">
        <f aca="false">IFERROR(ciq($D19,"IQ_TEV_EBITDA"),"")</f>
        <v/>
      </c>
      <c r="AP19" s="24" t="str">
        <f aca="false">IFERROR(ciq($D19,"IQ_RETURN_EQUITY"),"")</f>
        <v/>
      </c>
      <c r="AQ19" s="24" t="str">
        <f aca="false">IFERROR(ciq($D19,"IQ_RETURN_CAPITAL"),"")</f>
        <v/>
      </c>
      <c r="AR19" s="24" t="str">
        <f aca="false">IFERROR(ciq($D19,"IQ_TOTAL_REV_1YR_ANN_GROWTH"),"")</f>
        <v/>
      </c>
      <c r="AS19" s="24" t="str">
        <f aca="false">IFERROR(ciq($D19,"IQ_EPS_1YR_ANN_GROWTH"),"")</f>
        <v/>
      </c>
      <c r="AT19" s="24" t="str">
        <f aca="false">IFERROR(ciq($D19,"IQ_DIVIDEND_YIELD"),"")</f>
        <v/>
      </c>
      <c r="AU19" s="24" t="str">
        <f aca="false">IFERROR(ciq($D19,"IQ_NET_DEBT"),"")</f>
        <v/>
      </c>
    </row>
    <row r="20" customFormat="false" ht="15" hidden="false" customHeight="false" outlineLevel="0" collapsed="false">
      <c r="A20" s="8" t="s">
        <v>146</v>
      </c>
      <c r="B20" s="6" t="s">
        <v>147</v>
      </c>
      <c r="C20" s="8" t="s">
        <v>72</v>
      </c>
      <c r="D20" s="8" t="s">
        <v>559</v>
      </c>
      <c r="E20" s="8" t="s">
        <v>560</v>
      </c>
      <c r="F20" s="6" t="s">
        <v>533</v>
      </c>
      <c r="G20" s="8" t="s">
        <v>55</v>
      </c>
      <c r="H20" s="8" t="s">
        <v>66</v>
      </c>
      <c r="I20" s="8" t="s">
        <v>508</v>
      </c>
      <c r="J20" s="6" t="s">
        <v>148</v>
      </c>
      <c r="K20" s="6" t="s">
        <v>149</v>
      </c>
      <c r="L20" s="8"/>
      <c r="M20" s="23" t="n">
        <v>187100</v>
      </c>
      <c r="N20" s="23" t="n">
        <v>435226.736296</v>
      </c>
      <c r="O20" s="23" t="n">
        <v>453117.9071738</v>
      </c>
      <c r="P20" s="24" t="n">
        <v>983.162214275</v>
      </c>
      <c r="Q20" s="24" t="n">
        <v>1133.695703925</v>
      </c>
      <c r="R20" s="24" t="n">
        <v>983.162214275</v>
      </c>
      <c r="S20" s="25" t="n">
        <v>0.00225896557422508</v>
      </c>
      <c r="T20" s="26" t="n">
        <v>0.406002492102229</v>
      </c>
      <c r="U20" s="23" t="n">
        <v>0</v>
      </c>
      <c r="V20" s="26" t="n">
        <v>-0.06</v>
      </c>
      <c r="W20" s="26" t="n">
        <v>-0.0169866917114944</v>
      </c>
      <c r="X20" s="26" t="n">
        <v>0.100438444698939</v>
      </c>
      <c r="Y20" s="26" t="n">
        <v>-0.0606711256627744</v>
      </c>
      <c r="Z20" s="26" t="n">
        <v>0.0845351407837112</v>
      </c>
      <c r="AA20" s="26" t="n">
        <v>0.126157447719401</v>
      </c>
      <c r="AB20" s="26" t="n">
        <v>-0.210037975636624</v>
      </c>
      <c r="AC20" s="27" t="n">
        <v>0.865835589593534</v>
      </c>
      <c r="AD20" s="28" t="n">
        <f aca="false">Params!$B$6*Params!$B$7*$R20</f>
        <v>589.897328565</v>
      </c>
      <c r="AE20" s="29" t="n">
        <f aca="false">MIN(Params!$B$9,AD20/Params!$B$4)</f>
        <v>0.06</v>
      </c>
      <c r="AF20" s="29" t="n">
        <f aca="false">MIN(Params!$B$9,AD20/Params!$B$5)</f>
        <v>0.06</v>
      </c>
      <c r="AG20" s="28" t="n">
        <f aca="false">IF($R20&gt;0,Params!$B$9*Params!$B$4/(Params!$B$6*$R20),"n/a")</f>
        <v>0.152568922830921</v>
      </c>
      <c r="AH20" s="28" t="n">
        <f aca="false">IF($R20&gt;0,Params!$B$9*Params!$B$5/(Params!$B$6*$R20),"n/a")</f>
        <v>0.305137845661842</v>
      </c>
      <c r="AI20" s="28" t="n">
        <f aca="false">IF($R20&gt;0,Params!$B$15*Params!$B$4/(Params!$B$6*$R20),"n/a")</f>
        <v>0.050856307610307</v>
      </c>
      <c r="AJ20" s="29" t="n">
        <f aca="false">MIN(Params!$B$9,AD20*Params!$B$8/Params!$B$4)</f>
        <v>0.06</v>
      </c>
      <c r="AK20" s="28" t="n">
        <f aca="false">IF($R20&gt;0,Params!$B$9*Params!$B$4/(Params!$B$6*$R20*Params!$B$8),"n/a")</f>
        <v>0.305137845661842</v>
      </c>
      <c r="AL20" s="27" t="str">
        <f aca="false">IFERROR(ciq($D20,"IQ_PE_EXCL"),"")</f>
        <v/>
      </c>
      <c r="AM20" s="27" t="str">
        <f aca="false">IFERROR(ciq($D20,"IQ_PE_EXCL_FWD_CIQ"),"")</f>
        <v/>
      </c>
      <c r="AN20" s="27" t="str">
        <f aca="false">IFERROR(ciq($D20,"IQ_PBV"),"")</f>
        <v/>
      </c>
      <c r="AO20" s="27" t="str">
        <f aca="false">IFERROR(ciq($D20,"IQ_TEV_EBITDA"),"")</f>
        <v/>
      </c>
      <c r="AP20" s="24" t="str">
        <f aca="false">IFERROR(ciq($D20,"IQ_RETURN_EQUITY"),"")</f>
        <v/>
      </c>
      <c r="AQ20" s="24" t="str">
        <f aca="false">IFERROR(ciq($D20,"IQ_RETURN_CAPITAL"),"")</f>
        <v/>
      </c>
      <c r="AR20" s="24" t="str">
        <f aca="false">IFERROR(ciq($D20,"IQ_TOTAL_REV_1YR_ANN_GROWTH"),"")</f>
        <v/>
      </c>
      <c r="AS20" s="24" t="str">
        <f aca="false">IFERROR(ciq($D20,"IQ_EPS_1YR_ANN_GROWTH"),"")</f>
        <v/>
      </c>
      <c r="AT20" s="24" t="str">
        <f aca="false">IFERROR(ciq($D20,"IQ_DIVIDEND_YIELD"),"")</f>
        <v/>
      </c>
      <c r="AU20" s="24" t="str">
        <f aca="false">IFERROR(ciq($D20,"IQ_NET_DEBT"),"")</f>
        <v/>
      </c>
    </row>
    <row r="21" customFormat="false" ht="15" hidden="false" customHeight="false" outlineLevel="0" collapsed="false">
      <c r="A21" s="8" t="s">
        <v>561</v>
      </c>
      <c r="B21" s="6" t="s">
        <v>562</v>
      </c>
      <c r="C21" s="8" t="s">
        <v>72</v>
      </c>
      <c r="D21" s="8" t="s">
        <v>563</v>
      </c>
      <c r="E21" s="8" t="s">
        <v>564</v>
      </c>
      <c r="F21" s="6" t="s">
        <v>565</v>
      </c>
      <c r="G21" s="8" t="s">
        <v>55</v>
      </c>
      <c r="H21" s="8" t="s">
        <v>66</v>
      </c>
      <c r="I21" s="8"/>
      <c r="J21" s="8"/>
      <c r="K21" s="8"/>
      <c r="L21" s="8"/>
      <c r="M21" s="23" t="n">
        <v>539000</v>
      </c>
      <c r="N21" s="23" t="n">
        <v>434356.0067</v>
      </c>
      <c r="O21" s="23" t="n">
        <v>410220.640465</v>
      </c>
      <c r="P21" s="24" t="n">
        <v>2474.878236815</v>
      </c>
      <c r="Q21" s="24" t="n">
        <v>2390.24559543833</v>
      </c>
      <c r="R21" s="24" t="n">
        <v>2390.24559543833</v>
      </c>
      <c r="S21" s="25" t="n">
        <v>0.00569781054858151</v>
      </c>
      <c r="T21" s="26" t="n">
        <v>0.87734799448322</v>
      </c>
      <c r="U21" s="23" t="n">
        <v>0</v>
      </c>
      <c r="V21" s="26" t="n">
        <v>-0.06</v>
      </c>
      <c r="W21" s="26" t="n">
        <v>0.256312041073899</v>
      </c>
      <c r="X21" s="26" t="n">
        <v>0.0462365993766929</v>
      </c>
      <c r="Y21" s="26" t="n">
        <v>0.347078827869128</v>
      </c>
      <c r="Z21" s="26" t="n">
        <v>0.999421651732493</v>
      </c>
      <c r="AA21" s="26" t="n">
        <v>1.43180200915123</v>
      </c>
      <c r="AB21" s="26" t="n">
        <v>-0.243228009596806</v>
      </c>
      <c r="AC21" s="27" t="n">
        <v>0.705946672490358</v>
      </c>
      <c r="AD21" s="28" t="n">
        <f aca="false">Params!$B$6*Params!$B$7*$R21</f>
        <v>1434.147357263</v>
      </c>
      <c r="AE21" s="29" t="n">
        <f aca="false">MIN(Params!$B$9,AD21/Params!$B$4)</f>
        <v>0.06</v>
      </c>
      <c r="AF21" s="29" t="n">
        <f aca="false">MIN(Params!$B$9,AD21/Params!$B$5)</f>
        <v>0.06</v>
      </c>
      <c r="AG21" s="28" t="n">
        <f aca="false">IF($R21&gt;0,Params!$B$9*Params!$B$4/(Params!$B$6*$R21),"n/a")</f>
        <v>0.0627550575916833</v>
      </c>
      <c r="AH21" s="28" t="n">
        <f aca="false">IF($R21&gt;0,Params!$B$9*Params!$B$5/(Params!$B$6*$R21),"n/a")</f>
        <v>0.125510115183367</v>
      </c>
      <c r="AI21" s="28" t="n">
        <f aca="false">IF($R21&gt;0,Params!$B$15*Params!$B$4/(Params!$B$6*$R21),"n/a")</f>
        <v>0.0209183525305611</v>
      </c>
      <c r="AJ21" s="29" t="n">
        <f aca="false">MIN(Params!$B$9,AD21*Params!$B$8/Params!$B$4)</f>
        <v>0.06</v>
      </c>
      <c r="AK21" s="28" t="n">
        <f aca="false">IF($R21&gt;0,Params!$B$9*Params!$B$4/(Params!$B$6*$R21*Params!$B$8),"n/a")</f>
        <v>0.125510115183367</v>
      </c>
      <c r="AL21" s="27" t="str">
        <f aca="false">IFERROR(ciq($D21,"IQ_PE_EXCL"),"")</f>
        <v/>
      </c>
      <c r="AM21" s="27" t="str">
        <f aca="false">IFERROR(ciq($D21,"IQ_PE_EXCL_FWD_CIQ"),"")</f>
        <v/>
      </c>
      <c r="AN21" s="27" t="str">
        <f aca="false">IFERROR(ciq($D21,"IQ_PBV"),"")</f>
        <v/>
      </c>
      <c r="AO21" s="27" t="str">
        <f aca="false">IFERROR(ciq($D21,"IQ_TEV_EBITDA"),"")</f>
        <v/>
      </c>
      <c r="AP21" s="24" t="str">
        <f aca="false">IFERROR(ciq($D21,"IQ_RETURN_EQUITY"),"")</f>
        <v/>
      </c>
      <c r="AQ21" s="24" t="str">
        <f aca="false">IFERROR(ciq($D21,"IQ_RETURN_CAPITAL"),"")</f>
        <v/>
      </c>
      <c r="AR21" s="24" t="str">
        <f aca="false">IFERROR(ciq($D21,"IQ_TOTAL_REV_1YR_ANN_GROWTH"),"")</f>
        <v/>
      </c>
      <c r="AS21" s="24" t="str">
        <f aca="false">IFERROR(ciq($D21,"IQ_EPS_1YR_ANN_GROWTH"),"")</f>
        <v/>
      </c>
      <c r="AT21" s="24" t="str">
        <f aca="false">IFERROR(ciq($D21,"IQ_DIVIDEND_YIELD"),"")</f>
        <v/>
      </c>
      <c r="AU21" s="24" t="str">
        <f aca="false">IFERROR(ciq($D21,"IQ_NET_DEBT"),"")</f>
        <v/>
      </c>
    </row>
    <row r="22" customFormat="false" ht="15" hidden="false" customHeight="false" outlineLevel="0" collapsed="false">
      <c r="A22" s="8" t="s">
        <v>150</v>
      </c>
      <c r="B22" s="8" t="s">
        <v>151</v>
      </c>
      <c r="C22" s="8" t="s">
        <v>72</v>
      </c>
      <c r="D22" s="8" t="s">
        <v>566</v>
      </c>
      <c r="E22" s="8" t="s">
        <v>567</v>
      </c>
      <c r="F22" s="6" t="s">
        <v>536</v>
      </c>
      <c r="G22" s="8" t="s">
        <v>55</v>
      </c>
      <c r="H22" s="8" t="s">
        <v>66</v>
      </c>
      <c r="I22" s="8" t="s">
        <v>508</v>
      </c>
      <c r="J22" s="6" t="s">
        <v>152</v>
      </c>
      <c r="K22" s="8" t="s">
        <v>153</v>
      </c>
      <c r="L22" s="8"/>
      <c r="M22" s="23" t="n">
        <v>545000</v>
      </c>
      <c r="N22" s="23" t="n">
        <v>395139.73135</v>
      </c>
      <c r="O22" s="23" t="n">
        <v>399163.6313665</v>
      </c>
      <c r="P22" s="24" t="n">
        <v>831.894247</v>
      </c>
      <c r="Q22" s="24" t="n">
        <v>1646.7146467375</v>
      </c>
      <c r="R22" s="24" t="n">
        <v>831.894247</v>
      </c>
      <c r="S22" s="25" t="n">
        <v>0.0021053166285198</v>
      </c>
      <c r="T22" s="26" t="n">
        <v>1.01819490590298</v>
      </c>
      <c r="U22" s="23" t="n">
        <v>1</v>
      </c>
      <c r="V22" s="26" t="n">
        <v>-0.06</v>
      </c>
      <c r="W22" s="26" t="n">
        <v>-0.0302631426626233</v>
      </c>
      <c r="X22" s="26" t="n">
        <v>-0.0822778770131626</v>
      </c>
      <c r="Y22" s="26" t="n">
        <v>0.516758128950578</v>
      </c>
      <c r="Z22" s="26" t="n">
        <v>1.12580825580346</v>
      </c>
      <c r="AA22" s="26" t="n">
        <v>1.88448959976936</v>
      </c>
      <c r="AB22" s="26" t="n">
        <v>-0.364682367619152</v>
      </c>
      <c r="AC22" s="27" t="n">
        <v>0.611812548565618</v>
      </c>
      <c r="AD22" s="28" t="n">
        <f aca="false">Params!$B$6*Params!$B$7*$R22</f>
        <v>499.1365482</v>
      </c>
      <c r="AE22" s="29" t="n">
        <f aca="false">MIN(Params!$B$9,AD22/Params!$B$4)</f>
        <v>0.06</v>
      </c>
      <c r="AF22" s="29" t="n">
        <f aca="false">MIN(Params!$B$9,AD22/Params!$B$5)</f>
        <v>0.06</v>
      </c>
      <c r="AG22" s="28" t="n">
        <f aca="false">IF($R22&gt;0,Params!$B$9*Params!$B$4/(Params!$B$6*$R22),"n/a")</f>
        <v>0.180311380371885</v>
      </c>
      <c r="AH22" s="28" t="n">
        <f aca="false">IF($R22&gt;0,Params!$B$9*Params!$B$5/(Params!$B$6*$R22),"n/a")</f>
        <v>0.36062276074377</v>
      </c>
      <c r="AI22" s="28" t="n">
        <f aca="false">IF($R22&gt;0,Params!$B$15*Params!$B$4/(Params!$B$6*$R22),"n/a")</f>
        <v>0.0601037934572951</v>
      </c>
      <c r="AJ22" s="29" t="n">
        <f aca="false">MIN(Params!$B$9,AD22*Params!$B$8/Params!$B$4)</f>
        <v>0.06</v>
      </c>
      <c r="AK22" s="28" t="n">
        <f aca="false">IF($R22&gt;0,Params!$B$9*Params!$B$4/(Params!$B$6*$R22*Params!$B$8),"n/a")</f>
        <v>0.36062276074377</v>
      </c>
      <c r="AL22" s="27" t="str">
        <f aca="false">IFERROR(ciq($D22,"IQ_PE_EXCL"),"")</f>
        <v/>
      </c>
      <c r="AM22" s="27" t="str">
        <f aca="false">IFERROR(ciq($D22,"IQ_PE_EXCL_FWD_CIQ"),"")</f>
        <v/>
      </c>
      <c r="AN22" s="27" t="str">
        <f aca="false">IFERROR(ciq($D22,"IQ_PBV"),"")</f>
        <v/>
      </c>
      <c r="AO22" s="27" t="str">
        <f aca="false">IFERROR(ciq($D22,"IQ_TEV_EBITDA"),"")</f>
        <v/>
      </c>
      <c r="AP22" s="24" t="str">
        <f aca="false">IFERROR(ciq($D22,"IQ_RETURN_EQUITY"),"")</f>
        <v/>
      </c>
      <c r="AQ22" s="24" t="str">
        <f aca="false">IFERROR(ciq($D22,"IQ_RETURN_CAPITAL"),"")</f>
        <v/>
      </c>
      <c r="AR22" s="24" t="str">
        <f aca="false">IFERROR(ciq($D22,"IQ_TOTAL_REV_1YR_ANN_GROWTH"),"")</f>
        <v/>
      </c>
      <c r="AS22" s="24" t="str">
        <f aca="false">IFERROR(ciq($D22,"IQ_EPS_1YR_ANN_GROWTH"),"")</f>
        <v/>
      </c>
      <c r="AT22" s="24" t="str">
        <f aca="false">IFERROR(ciq($D22,"IQ_DIVIDEND_YIELD"),"")</f>
        <v/>
      </c>
      <c r="AU22" s="24" t="str">
        <f aca="false">IFERROR(ciq($D22,"IQ_NET_DEBT"),"")</f>
        <v/>
      </c>
    </row>
    <row r="23" customFormat="false" ht="15" hidden="false" customHeight="false" outlineLevel="0" collapsed="false">
      <c r="A23" s="8" t="s">
        <v>154</v>
      </c>
      <c r="B23" s="6" t="s">
        <v>155</v>
      </c>
      <c r="C23" s="8" t="s">
        <v>72</v>
      </c>
      <c r="D23" s="8" t="s">
        <v>568</v>
      </c>
      <c r="E23" s="8" t="s">
        <v>569</v>
      </c>
      <c r="F23" s="6" t="s">
        <v>536</v>
      </c>
      <c r="G23" s="8" t="s">
        <v>55</v>
      </c>
      <c r="H23" s="8" t="s">
        <v>66</v>
      </c>
      <c r="I23" s="8" t="s">
        <v>508</v>
      </c>
      <c r="J23" s="6" t="s">
        <v>118</v>
      </c>
      <c r="K23" s="6" t="s">
        <v>141</v>
      </c>
      <c r="L23" s="8"/>
      <c r="M23" s="23" t="n">
        <v>139500</v>
      </c>
      <c r="N23" s="23" t="n">
        <v>382743.00846</v>
      </c>
      <c r="O23" s="23" t="n">
        <v>362000.8067112</v>
      </c>
      <c r="P23" s="24" t="n">
        <v>990.825008812</v>
      </c>
      <c r="Q23" s="24" t="n">
        <v>1111.229824937</v>
      </c>
      <c r="R23" s="24" t="n">
        <v>990.825008812</v>
      </c>
      <c r="S23" s="25" t="n">
        <v>0.00258874750658065</v>
      </c>
      <c r="T23" s="26" t="n">
        <v>0.421243207499429</v>
      </c>
      <c r="U23" s="23" t="n">
        <v>0</v>
      </c>
      <c r="V23" s="26" t="n">
        <v>-0.06</v>
      </c>
      <c r="W23" s="26" t="n">
        <v>0.084697395370031</v>
      </c>
      <c r="X23" s="26" t="n">
        <v>0.17224045447527</v>
      </c>
      <c r="Y23" s="26" t="n">
        <v>0.230359787102685</v>
      </c>
      <c r="Z23" s="26" t="n">
        <v>0.482312372381668</v>
      </c>
      <c r="AA23" s="26" t="n">
        <v>0.688408158394139</v>
      </c>
      <c r="AB23" s="26" t="n">
        <v>0</v>
      </c>
      <c r="AC23" s="27" t="n">
        <v>0.912191357330363</v>
      </c>
      <c r="AD23" s="28" t="n">
        <f aca="false">Params!$B$6*Params!$B$7*$R23</f>
        <v>594.4950052872</v>
      </c>
      <c r="AE23" s="29" t="n">
        <f aca="false">MIN(Params!$B$9,AD23/Params!$B$4)</f>
        <v>0.06</v>
      </c>
      <c r="AF23" s="29" t="n">
        <f aca="false">MIN(Params!$B$9,AD23/Params!$B$5)</f>
        <v>0.06</v>
      </c>
      <c r="AG23" s="28" t="n">
        <f aca="false">IF($R23&gt;0,Params!$B$9*Params!$B$4/(Params!$B$6*$R23),"n/a")</f>
        <v>0.151388992673742</v>
      </c>
      <c r="AH23" s="28" t="n">
        <f aca="false">IF($R23&gt;0,Params!$B$9*Params!$B$5/(Params!$B$6*$R23),"n/a")</f>
        <v>0.302777985347484</v>
      </c>
      <c r="AI23" s="28" t="n">
        <f aca="false">IF($R23&gt;0,Params!$B$15*Params!$B$4/(Params!$B$6*$R23),"n/a")</f>
        <v>0.0504629975579139</v>
      </c>
      <c r="AJ23" s="29" t="n">
        <f aca="false">MIN(Params!$B$9,AD23*Params!$B$8/Params!$B$4)</f>
        <v>0.06</v>
      </c>
      <c r="AK23" s="28" t="n">
        <f aca="false">IF($R23&gt;0,Params!$B$9*Params!$B$4/(Params!$B$6*$R23*Params!$B$8),"n/a")</f>
        <v>0.302777985347484</v>
      </c>
      <c r="AL23" s="27" t="str">
        <f aca="false">IFERROR(ciq($D23,"IQ_PE_EXCL"),"")</f>
        <v/>
      </c>
      <c r="AM23" s="27" t="str">
        <f aca="false">IFERROR(ciq($D23,"IQ_PE_EXCL_FWD_CIQ"),"")</f>
        <v/>
      </c>
      <c r="AN23" s="27" t="str">
        <f aca="false">IFERROR(ciq($D23,"IQ_PBV"),"")</f>
        <v/>
      </c>
      <c r="AO23" s="27" t="str">
        <f aca="false">IFERROR(ciq($D23,"IQ_TEV_EBITDA"),"")</f>
        <v/>
      </c>
      <c r="AP23" s="24" t="str">
        <f aca="false">IFERROR(ciq($D23,"IQ_RETURN_EQUITY"),"")</f>
        <v/>
      </c>
      <c r="AQ23" s="24" t="str">
        <f aca="false">IFERROR(ciq($D23,"IQ_RETURN_CAPITAL"),"")</f>
        <v/>
      </c>
      <c r="AR23" s="24" t="str">
        <f aca="false">IFERROR(ciq($D23,"IQ_TOTAL_REV_1YR_ANN_GROWTH"),"")</f>
        <v/>
      </c>
      <c r="AS23" s="24" t="str">
        <f aca="false">IFERROR(ciq($D23,"IQ_EPS_1YR_ANN_GROWTH"),"")</f>
        <v/>
      </c>
      <c r="AT23" s="24" t="str">
        <f aca="false">IFERROR(ciq($D23,"IQ_DIVIDEND_YIELD"),"")</f>
        <v/>
      </c>
      <c r="AU23" s="24" t="str">
        <f aca="false">IFERROR(ciq($D23,"IQ_NET_DEBT"),"")</f>
        <v/>
      </c>
    </row>
    <row r="24" customFormat="false" ht="15" hidden="false" customHeight="false" outlineLevel="0" collapsed="false">
      <c r="A24" s="8" t="s">
        <v>156</v>
      </c>
      <c r="B24" s="6" t="s">
        <v>157</v>
      </c>
      <c r="C24" s="8" t="s">
        <v>72</v>
      </c>
      <c r="D24" s="8" t="s">
        <v>570</v>
      </c>
      <c r="E24" s="8" t="s">
        <v>571</v>
      </c>
      <c r="F24" s="6" t="s">
        <v>572</v>
      </c>
      <c r="G24" s="8" t="s">
        <v>55</v>
      </c>
      <c r="H24" s="8" t="s">
        <v>66</v>
      </c>
      <c r="I24" s="8" t="s">
        <v>508</v>
      </c>
      <c r="J24" s="6" t="s">
        <v>158</v>
      </c>
      <c r="K24" s="6" t="s">
        <v>159</v>
      </c>
      <c r="L24" s="8"/>
      <c r="M24" s="23" t="n">
        <v>423500</v>
      </c>
      <c r="N24" s="23" t="n">
        <v>380390.177475</v>
      </c>
      <c r="O24" s="23" t="n">
        <v>438184.855737</v>
      </c>
      <c r="P24" s="24" t="n">
        <v>1524.535122258</v>
      </c>
      <c r="Q24" s="24" t="n">
        <v>2036.37631733767</v>
      </c>
      <c r="R24" s="24" t="n">
        <v>1524.535122258</v>
      </c>
      <c r="S24" s="25" t="n">
        <v>0.00400781937214505</v>
      </c>
      <c r="T24" s="26" t="n">
        <v>0.620573533495086</v>
      </c>
      <c r="U24" s="23" t="n">
        <v>0</v>
      </c>
      <c r="V24" s="26" t="n">
        <v>-0.06</v>
      </c>
      <c r="W24" s="26" t="n">
        <v>-0.157895316329315</v>
      </c>
      <c r="X24" s="26" t="n">
        <v>-0.287917327729808</v>
      </c>
      <c r="Y24" s="26" t="n">
        <v>0.00147959217909599</v>
      </c>
      <c r="Z24" s="26" t="n">
        <v>0.135610595825719</v>
      </c>
      <c r="AA24" s="26" t="n">
        <v>0.416914939573363</v>
      </c>
      <c r="AB24" s="26" t="n">
        <v>-0.448355773146948</v>
      </c>
      <c r="AC24" s="27" t="n">
        <v>0.551643023880467</v>
      </c>
      <c r="AD24" s="28" t="n">
        <f aca="false">Params!$B$6*Params!$B$7*$R24</f>
        <v>914.7210733548</v>
      </c>
      <c r="AE24" s="29" t="n">
        <f aca="false">MIN(Params!$B$9,AD24/Params!$B$4)</f>
        <v>0.06</v>
      </c>
      <c r="AF24" s="29" t="n">
        <f aca="false">MIN(Params!$B$9,AD24/Params!$B$5)</f>
        <v>0.06</v>
      </c>
      <c r="AG24" s="28" t="n">
        <f aca="false">IF($R24&gt;0,Params!$B$9*Params!$B$4/(Params!$B$6*$R24),"n/a")</f>
        <v>0.0983906489329245</v>
      </c>
      <c r="AH24" s="28" t="n">
        <f aca="false">IF($R24&gt;0,Params!$B$9*Params!$B$5/(Params!$B$6*$R24),"n/a")</f>
        <v>0.196781297865849</v>
      </c>
      <c r="AI24" s="28" t="n">
        <f aca="false">IF($R24&gt;0,Params!$B$15*Params!$B$4/(Params!$B$6*$R24),"n/a")</f>
        <v>0.0327968829776415</v>
      </c>
      <c r="AJ24" s="29" t="n">
        <f aca="false">MIN(Params!$B$9,AD24*Params!$B$8/Params!$B$4)</f>
        <v>0.06</v>
      </c>
      <c r="AK24" s="28" t="n">
        <f aca="false">IF($R24&gt;0,Params!$B$9*Params!$B$4/(Params!$B$6*$R24*Params!$B$8),"n/a")</f>
        <v>0.196781297865849</v>
      </c>
      <c r="AL24" s="27" t="str">
        <f aca="false">IFERROR(ciq($D24,"IQ_PE_EXCL"),"")</f>
        <v/>
      </c>
      <c r="AM24" s="27" t="str">
        <f aca="false">IFERROR(ciq($D24,"IQ_PE_EXCL_FWD_CIQ"),"")</f>
        <v/>
      </c>
      <c r="AN24" s="27" t="str">
        <f aca="false">IFERROR(ciq($D24,"IQ_PBV"),"")</f>
        <v/>
      </c>
      <c r="AO24" s="27" t="str">
        <f aca="false">IFERROR(ciq($D24,"IQ_TEV_EBITDA"),"")</f>
        <v/>
      </c>
      <c r="AP24" s="24" t="str">
        <f aca="false">IFERROR(ciq($D24,"IQ_RETURN_EQUITY"),"")</f>
        <v/>
      </c>
      <c r="AQ24" s="24" t="str">
        <f aca="false">IFERROR(ciq($D24,"IQ_RETURN_CAPITAL"),"")</f>
        <v/>
      </c>
      <c r="AR24" s="24" t="str">
        <f aca="false">IFERROR(ciq($D24,"IQ_TOTAL_REV_1YR_ANN_GROWTH"),"")</f>
        <v/>
      </c>
      <c r="AS24" s="24" t="str">
        <f aca="false">IFERROR(ciq($D24,"IQ_EPS_1YR_ANN_GROWTH"),"")</f>
        <v/>
      </c>
      <c r="AT24" s="24" t="str">
        <f aca="false">IFERROR(ciq($D24,"IQ_DIVIDEND_YIELD"),"")</f>
        <v/>
      </c>
      <c r="AU24" s="24" t="str">
        <f aca="false">IFERROR(ciq($D24,"IQ_NET_DEBT"),"")</f>
        <v/>
      </c>
    </row>
    <row r="25" customFormat="false" ht="15" hidden="false" customHeight="false" outlineLevel="0" collapsed="false">
      <c r="A25" s="8" t="s">
        <v>160</v>
      </c>
      <c r="B25" s="8" t="s">
        <v>161</v>
      </c>
      <c r="C25" s="8" t="s">
        <v>72</v>
      </c>
      <c r="D25" s="8" t="s">
        <v>573</v>
      </c>
      <c r="E25" s="8" t="s">
        <v>574</v>
      </c>
      <c r="F25" s="6" t="s">
        <v>507</v>
      </c>
      <c r="G25" s="8" t="s">
        <v>55</v>
      </c>
      <c r="H25" s="8" t="s">
        <v>66</v>
      </c>
      <c r="I25" s="8" t="s">
        <v>508</v>
      </c>
      <c r="J25" s="6" t="s">
        <v>162</v>
      </c>
      <c r="K25" s="6" t="s">
        <v>163</v>
      </c>
      <c r="L25" s="8"/>
      <c r="M25" s="23" t="n">
        <v>199700</v>
      </c>
      <c r="N25" s="23" t="n">
        <v>325280.622086</v>
      </c>
      <c r="O25" s="23" t="n">
        <v>324848.9777953</v>
      </c>
      <c r="P25" s="24" t="n">
        <v>1985.214909084</v>
      </c>
      <c r="Q25" s="24" t="n">
        <v>3011.361919303</v>
      </c>
      <c r="R25" s="24" t="n">
        <v>1985.214909084</v>
      </c>
      <c r="S25" s="25" t="n">
        <v>0.00610308384296909</v>
      </c>
      <c r="T25" s="26" t="n">
        <v>0.803264002425865</v>
      </c>
      <c r="U25" s="23" t="n">
        <v>0</v>
      </c>
      <c r="V25" s="26" t="n">
        <v>-0.06</v>
      </c>
      <c r="W25" s="26" t="n">
        <v>0.112083500144671</v>
      </c>
      <c r="X25" s="26" t="n">
        <v>-0.195174539755249</v>
      </c>
      <c r="Y25" s="26" t="n">
        <v>0.693054457703932</v>
      </c>
      <c r="Z25" s="26" t="n">
        <v>1.17200102073944</v>
      </c>
      <c r="AA25" s="26" t="n">
        <v>1.63002974105436</v>
      </c>
      <c r="AB25" s="26" t="n">
        <v>-0.491422199652145</v>
      </c>
      <c r="AC25" s="27" t="n">
        <v>0.47760081866524</v>
      </c>
      <c r="AD25" s="28" t="n">
        <f aca="false">Params!$B$6*Params!$B$7*$R25</f>
        <v>1191.1289454504</v>
      </c>
      <c r="AE25" s="29" t="n">
        <f aca="false">MIN(Params!$B$9,AD25/Params!$B$4)</f>
        <v>0.06</v>
      </c>
      <c r="AF25" s="29" t="n">
        <f aca="false">MIN(Params!$B$9,AD25/Params!$B$5)</f>
        <v>0.06</v>
      </c>
      <c r="AG25" s="28" t="n">
        <f aca="false">IF($R25&gt;0,Params!$B$9*Params!$B$4/(Params!$B$6*$R25),"n/a")</f>
        <v>0.0755585701646839</v>
      </c>
      <c r="AH25" s="28" t="n">
        <f aca="false">IF($R25&gt;0,Params!$B$9*Params!$B$5/(Params!$B$6*$R25),"n/a")</f>
        <v>0.151117140329368</v>
      </c>
      <c r="AI25" s="28" t="n">
        <f aca="false">IF($R25&gt;0,Params!$B$15*Params!$B$4/(Params!$B$6*$R25),"n/a")</f>
        <v>0.0251861900548946</v>
      </c>
      <c r="AJ25" s="29" t="n">
        <f aca="false">MIN(Params!$B$9,AD25*Params!$B$8/Params!$B$4)</f>
        <v>0.06</v>
      </c>
      <c r="AK25" s="28" t="n">
        <f aca="false">IF($R25&gt;0,Params!$B$9*Params!$B$4/(Params!$B$6*$R25*Params!$B$8),"n/a")</f>
        <v>0.151117140329368</v>
      </c>
      <c r="AL25" s="27" t="str">
        <f aca="false">IFERROR(ciq($D25,"IQ_PE_EXCL"),"")</f>
        <v/>
      </c>
      <c r="AM25" s="27" t="str">
        <f aca="false">IFERROR(ciq($D25,"IQ_PE_EXCL_FWD_CIQ"),"")</f>
        <v/>
      </c>
      <c r="AN25" s="27" t="str">
        <f aca="false">IFERROR(ciq($D25,"IQ_PBV"),"")</f>
        <v/>
      </c>
      <c r="AO25" s="27" t="str">
        <f aca="false">IFERROR(ciq($D25,"IQ_TEV_EBITDA"),"")</f>
        <v/>
      </c>
      <c r="AP25" s="24" t="str">
        <f aca="false">IFERROR(ciq($D25,"IQ_RETURN_EQUITY"),"")</f>
        <v/>
      </c>
      <c r="AQ25" s="24" t="str">
        <f aca="false">IFERROR(ciq($D25,"IQ_RETURN_CAPITAL"),"")</f>
        <v/>
      </c>
      <c r="AR25" s="24" t="str">
        <f aca="false">IFERROR(ciq($D25,"IQ_TOTAL_REV_1YR_ANN_GROWTH"),"")</f>
        <v/>
      </c>
      <c r="AS25" s="24" t="str">
        <f aca="false">IFERROR(ciq($D25,"IQ_EPS_1YR_ANN_GROWTH"),"")</f>
        <v/>
      </c>
      <c r="AT25" s="24" t="str">
        <f aca="false">IFERROR(ciq($D25,"IQ_DIVIDEND_YIELD"),"")</f>
        <v/>
      </c>
      <c r="AU25" s="24" t="str">
        <f aca="false">IFERROR(ciq($D25,"IQ_NET_DEBT"),"")</f>
        <v/>
      </c>
    </row>
    <row r="26" customFormat="false" ht="15" hidden="false" customHeight="false" outlineLevel="0" collapsed="false">
      <c r="A26" s="8" t="s">
        <v>164</v>
      </c>
      <c r="B26" s="8" t="s">
        <v>165</v>
      </c>
      <c r="C26" s="8" t="s">
        <v>72</v>
      </c>
      <c r="D26" s="8" t="s">
        <v>575</v>
      </c>
      <c r="E26" s="8" t="s">
        <v>576</v>
      </c>
      <c r="F26" s="6" t="s">
        <v>577</v>
      </c>
      <c r="G26" s="8" t="s">
        <v>55</v>
      </c>
      <c r="H26" s="8" t="s">
        <v>66</v>
      </c>
      <c r="I26" s="8" t="s">
        <v>508</v>
      </c>
      <c r="J26" s="8" t="s">
        <v>166</v>
      </c>
      <c r="K26" s="6" t="s">
        <v>167</v>
      </c>
      <c r="L26" s="8"/>
      <c r="M26" s="23" t="n">
        <v>207500</v>
      </c>
      <c r="N26" s="23" t="n">
        <v>315558.718825</v>
      </c>
      <c r="O26" s="23" t="n">
        <v>336441.889221</v>
      </c>
      <c r="P26" s="24" t="n">
        <v>1972.2952566825</v>
      </c>
      <c r="Q26" s="24" t="n">
        <v>2808.0258270775</v>
      </c>
      <c r="R26" s="24" t="n">
        <v>1972.2952566825</v>
      </c>
      <c r="S26" s="25" t="n">
        <v>0.00625016879275733</v>
      </c>
      <c r="T26" s="26" t="n">
        <v>0.680606565735325</v>
      </c>
      <c r="U26" s="23" t="n">
        <v>0</v>
      </c>
      <c r="V26" s="26" t="n">
        <v>-0.06</v>
      </c>
      <c r="W26" s="26" t="n">
        <v>-0.0939379603362939</v>
      </c>
      <c r="X26" s="26" t="n">
        <v>-0.192591140005756</v>
      </c>
      <c r="Y26" s="26" t="n">
        <v>-0.0656012150972589</v>
      </c>
      <c r="Z26" s="26" t="n">
        <v>-0.14439223517335</v>
      </c>
      <c r="AA26" s="26" t="n">
        <v>-0.0800109435614683</v>
      </c>
      <c r="AB26" s="26" t="n">
        <v>-0.277211943333621</v>
      </c>
      <c r="AC26" s="27" t="n">
        <v>0.589464975373401</v>
      </c>
      <c r="AD26" s="28" t="n">
        <f aca="false">Params!$B$6*Params!$B$7*$R26</f>
        <v>1183.3771540095</v>
      </c>
      <c r="AE26" s="29" t="n">
        <f aca="false">MIN(Params!$B$9,AD26/Params!$B$4)</f>
        <v>0.06</v>
      </c>
      <c r="AF26" s="29" t="n">
        <f aca="false">MIN(Params!$B$9,AD26/Params!$B$5)</f>
        <v>0.06</v>
      </c>
      <c r="AG26" s="28" t="n">
        <f aca="false">IF($R26&gt;0,Params!$B$9*Params!$B$4/(Params!$B$6*$R26),"n/a")</f>
        <v>0.0760535216478224</v>
      </c>
      <c r="AH26" s="28" t="n">
        <f aca="false">IF($R26&gt;0,Params!$B$9*Params!$B$5/(Params!$B$6*$R26),"n/a")</f>
        <v>0.152107043295645</v>
      </c>
      <c r="AI26" s="28" t="n">
        <f aca="false">IF($R26&gt;0,Params!$B$15*Params!$B$4/(Params!$B$6*$R26),"n/a")</f>
        <v>0.0253511738826075</v>
      </c>
      <c r="AJ26" s="29" t="n">
        <f aca="false">MIN(Params!$B$9,AD26*Params!$B$8/Params!$B$4)</f>
        <v>0.06</v>
      </c>
      <c r="AK26" s="28" t="n">
        <f aca="false">IF($R26&gt;0,Params!$B$9*Params!$B$4/(Params!$B$6*$R26*Params!$B$8),"n/a")</f>
        <v>0.152107043295645</v>
      </c>
      <c r="AL26" s="27" t="str">
        <f aca="false">IFERROR(ciq($D26,"IQ_PE_EXCL"),"")</f>
        <v/>
      </c>
      <c r="AM26" s="27" t="str">
        <f aca="false">IFERROR(ciq($D26,"IQ_PE_EXCL_FWD_CIQ"),"")</f>
        <v/>
      </c>
      <c r="AN26" s="27" t="str">
        <f aca="false">IFERROR(ciq($D26,"IQ_PBV"),"")</f>
        <v/>
      </c>
      <c r="AO26" s="27" t="str">
        <f aca="false">IFERROR(ciq($D26,"IQ_TEV_EBITDA"),"")</f>
        <v/>
      </c>
      <c r="AP26" s="24" t="str">
        <f aca="false">IFERROR(ciq($D26,"IQ_RETURN_EQUITY"),"")</f>
        <v/>
      </c>
      <c r="AQ26" s="24" t="str">
        <f aca="false">IFERROR(ciq($D26,"IQ_RETURN_CAPITAL"),"")</f>
        <v/>
      </c>
      <c r="AR26" s="24" t="str">
        <f aca="false">IFERROR(ciq($D26,"IQ_TOTAL_REV_1YR_ANN_GROWTH"),"")</f>
        <v/>
      </c>
      <c r="AS26" s="24" t="str">
        <f aca="false">IFERROR(ciq($D26,"IQ_EPS_1YR_ANN_GROWTH"),"")</f>
        <v/>
      </c>
      <c r="AT26" s="24" t="str">
        <f aca="false">IFERROR(ciq($D26,"IQ_DIVIDEND_YIELD"),"")</f>
        <v/>
      </c>
      <c r="AU26" s="24" t="str">
        <f aca="false">IFERROR(ciq($D26,"IQ_NET_DEBT"),"")</f>
        <v/>
      </c>
    </row>
    <row r="27" customFormat="false" ht="15" hidden="false" customHeight="false" outlineLevel="0" collapsed="false">
      <c r="A27" s="8" t="s">
        <v>578</v>
      </c>
      <c r="B27" s="6" t="s">
        <v>579</v>
      </c>
      <c r="C27" s="8" t="s">
        <v>72</v>
      </c>
      <c r="D27" s="8" t="s">
        <v>580</v>
      </c>
      <c r="E27" s="8" t="s">
        <v>581</v>
      </c>
      <c r="F27" s="6" t="s">
        <v>539</v>
      </c>
      <c r="G27" s="8" t="s">
        <v>55</v>
      </c>
      <c r="H27" s="8" t="s">
        <v>66</v>
      </c>
      <c r="I27" s="8"/>
      <c r="J27" s="8"/>
      <c r="K27" s="8"/>
      <c r="L27" s="8"/>
      <c r="M27" s="23" t="n">
        <v>702000</v>
      </c>
      <c r="N27" s="23" t="n">
        <v>313425.26046</v>
      </c>
      <c r="O27" s="23" t="n">
        <v>289628.157351</v>
      </c>
      <c r="P27" s="24" t="n">
        <v>726.829344654</v>
      </c>
      <c r="Q27" s="24" t="n">
        <v>835.191018137834</v>
      </c>
      <c r="R27" s="24" t="n">
        <v>726.829344654</v>
      </c>
      <c r="S27" s="25" t="n">
        <v>0.0023189877662932</v>
      </c>
      <c r="T27" s="26" t="n">
        <v>0.603633820951585</v>
      </c>
      <c r="U27" s="23" t="n">
        <v>0</v>
      </c>
      <c r="V27" s="26" t="n">
        <v>-0.06</v>
      </c>
      <c r="W27" s="26" t="n">
        <v>0.10202102108087</v>
      </c>
      <c r="X27" s="26" t="n">
        <v>0.0720159871481838</v>
      </c>
      <c r="Y27" s="26" t="n">
        <v>0.411431375080946</v>
      </c>
      <c r="Z27" s="26" t="n">
        <v>0.413106948889517</v>
      </c>
      <c r="AA27" s="26" t="n">
        <v>0.592953670068249</v>
      </c>
      <c r="AB27" s="26" t="n">
        <v>-0.0381174322416716</v>
      </c>
      <c r="AC27" s="27" t="n">
        <v>0.833178802559143</v>
      </c>
      <c r="AD27" s="28" t="n">
        <f aca="false">Params!$B$6*Params!$B$7*$R27</f>
        <v>436.0976067924</v>
      </c>
      <c r="AE27" s="29" t="n">
        <f aca="false">MIN(Params!$B$9,AD27/Params!$B$4)</f>
        <v>0.06</v>
      </c>
      <c r="AF27" s="29" t="n">
        <f aca="false">MIN(Params!$B$9,AD27/Params!$B$5)</f>
        <v>0.06</v>
      </c>
      <c r="AG27" s="28" t="n">
        <f aca="false">IF($R27&gt;0,Params!$B$9*Params!$B$4/(Params!$B$6*$R27),"n/a")</f>
        <v>0.206375817244151</v>
      </c>
      <c r="AH27" s="28" t="n">
        <f aca="false">IF($R27&gt;0,Params!$B$9*Params!$B$5/(Params!$B$6*$R27),"n/a")</f>
        <v>0.412751634488302</v>
      </c>
      <c r="AI27" s="28" t="n">
        <f aca="false">IF($R27&gt;0,Params!$B$15*Params!$B$4/(Params!$B$6*$R27),"n/a")</f>
        <v>0.0687919390813837</v>
      </c>
      <c r="AJ27" s="29" t="n">
        <f aca="false">MIN(Params!$B$9,AD27*Params!$B$8/Params!$B$4)</f>
        <v>0.06</v>
      </c>
      <c r="AK27" s="28" t="n">
        <f aca="false">IF($R27&gt;0,Params!$B$9*Params!$B$4/(Params!$B$6*$R27*Params!$B$8),"n/a")</f>
        <v>0.412751634488302</v>
      </c>
      <c r="AL27" s="27" t="str">
        <f aca="false">IFERROR(ciq($D27,"IQ_PE_EXCL"),"")</f>
        <v/>
      </c>
      <c r="AM27" s="27" t="str">
        <f aca="false">IFERROR(ciq($D27,"IQ_PE_EXCL_FWD_CIQ"),"")</f>
        <v/>
      </c>
      <c r="AN27" s="27" t="str">
        <f aca="false">IFERROR(ciq($D27,"IQ_PBV"),"")</f>
        <v/>
      </c>
      <c r="AO27" s="27" t="str">
        <f aca="false">IFERROR(ciq($D27,"IQ_TEV_EBITDA"),"")</f>
        <v/>
      </c>
      <c r="AP27" s="24" t="str">
        <f aca="false">IFERROR(ciq($D27,"IQ_RETURN_EQUITY"),"")</f>
        <v/>
      </c>
      <c r="AQ27" s="24" t="str">
        <f aca="false">IFERROR(ciq($D27,"IQ_RETURN_CAPITAL"),"")</f>
        <v/>
      </c>
      <c r="AR27" s="24" t="str">
        <f aca="false">IFERROR(ciq($D27,"IQ_TOTAL_REV_1YR_ANN_GROWTH"),"")</f>
        <v/>
      </c>
      <c r="AS27" s="24" t="str">
        <f aca="false">IFERROR(ciq($D27,"IQ_EPS_1YR_ANN_GROWTH"),"")</f>
        <v/>
      </c>
      <c r="AT27" s="24" t="str">
        <f aca="false">IFERROR(ciq($D27,"IQ_DIVIDEND_YIELD"),"")</f>
        <v/>
      </c>
      <c r="AU27" s="24" t="str">
        <f aca="false">IFERROR(ciq($D27,"IQ_NET_DEBT"),"")</f>
        <v/>
      </c>
    </row>
    <row r="28" customFormat="false" ht="15" hidden="false" customHeight="false" outlineLevel="0" collapsed="false">
      <c r="A28" s="8" t="s">
        <v>168</v>
      </c>
      <c r="B28" s="8" t="s">
        <v>169</v>
      </c>
      <c r="C28" s="8" t="s">
        <v>72</v>
      </c>
      <c r="D28" s="8" t="s">
        <v>582</v>
      </c>
      <c r="E28" s="8" t="s">
        <v>583</v>
      </c>
      <c r="F28" s="6" t="s">
        <v>584</v>
      </c>
      <c r="G28" s="8" t="s">
        <v>55</v>
      </c>
      <c r="H28" s="8" t="s">
        <v>66</v>
      </c>
      <c r="I28" s="8" t="s">
        <v>508</v>
      </c>
      <c r="J28" s="6" t="s">
        <v>170</v>
      </c>
      <c r="K28" s="8" t="s">
        <v>171</v>
      </c>
      <c r="L28" s="6" t="s">
        <v>172</v>
      </c>
      <c r="M28" s="23" t="n">
        <v>192100</v>
      </c>
      <c r="N28" s="23" t="n">
        <v>288150</v>
      </c>
      <c r="O28" s="23" t="n">
        <v>304815</v>
      </c>
      <c r="P28" s="24" t="n">
        <v>1170.999389575</v>
      </c>
      <c r="Q28" s="24" t="n">
        <v>2011.92200568333</v>
      </c>
      <c r="R28" s="24" t="n">
        <v>1170.999389575</v>
      </c>
      <c r="S28" s="25" t="n">
        <v>0.00406385351231997</v>
      </c>
      <c r="T28" s="26" t="n">
        <v>1.11011976509179</v>
      </c>
      <c r="U28" s="23" t="n">
        <v>2</v>
      </c>
      <c r="V28" s="26" t="n">
        <v>-0.04</v>
      </c>
      <c r="W28" s="26" t="n">
        <v>-0.0939151076055663</v>
      </c>
      <c r="X28" s="26" t="n">
        <v>-0.125081396310392</v>
      </c>
      <c r="Y28" s="26" t="n">
        <v>0.330082035076406</v>
      </c>
      <c r="Z28" s="26" t="n">
        <v>1.08774636697282</v>
      </c>
      <c r="AA28" s="26" t="n">
        <v>2.35186992956412</v>
      </c>
      <c r="AB28" s="26" t="n">
        <v>-0.396991059602702</v>
      </c>
      <c r="AC28" s="27" t="n">
        <v>0.492890692060583</v>
      </c>
      <c r="AD28" s="28" t="n">
        <f aca="false">Params!$B$6*Params!$B$7*$R28</f>
        <v>702.599633745</v>
      </c>
      <c r="AE28" s="29" t="n">
        <f aca="false">MIN(Params!$B$9,AD28/Params!$B$4)</f>
        <v>0.06</v>
      </c>
      <c r="AF28" s="29" t="n">
        <f aca="false">MIN(Params!$B$9,AD28/Params!$B$5)</f>
        <v>0.06</v>
      </c>
      <c r="AG28" s="28" t="n">
        <f aca="false">IF($R28&gt;0,Params!$B$9*Params!$B$4/(Params!$B$6*$R28),"n/a")</f>
        <v>0.128095711522481</v>
      </c>
      <c r="AH28" s="28" t="n">
        <f aca="false">IF($R28&gt;0,Params!$B$9*Params!$B$5/(Params!$B$6*$R28),"n/a")</f>
        <v>0.256191423044961</v>
      </c>
      <c r="AI28" s="28" t="n">
        <f aca="false">IF($R28&gt;0,Params!$B$15*Params!$B$4/(Params!$B$6*$R28),"n/a")</f>
        <v>0.0426985705074935</v>
      </c>
      <c r="AJ28" s="29" t="n">
        <f aca="false">MIN(Params!$B$9,AD28*Params!$B$8/Params!$B$4)</f>
        <v>0.06</v>
      </c>
      <c r="AK28" s="28" t="n">
        <f aca="false">IF($R28&gt;0,Params!$B$9*Params!$B$4/(Params!$B$6*$R28*Params!$B$8),"n/a")</f>
        <v>0.256191423044961</v>
      </c>
      <c r="AL28" s="27" t="str">
        <f aca="false">IFERROR(ciq($D28,"IQ_PE_EXCL"),"")</f>
        <v/>
      </c>
      <c r="AM28" s="27" t="str">
        <f aca="false">IFERROR(ciq($D28,"IQ_PE_EXCL_FWD_CIQ"),"")</f>
        <v/>
      </c>
      <c r="AN28" s="27" t="str">
        <f aca="false">IFERROR(ciq($D28,"IQ_PBV"),"")</f>
        <v/>
      </c>
      <c r="AO28" s="27" t="str">
        <f aca="false">IFERROR(ciq($D28,"IQ_TEV_EBITDA"),"")</f>
        <v/>
      </c>
      <c r="AP28" s="24" t="str">
        <f aca="false">IFERROR(ciq($D28,"IQ_RETURN_EQUITY"),"")</f>
        <v/>
      </c>
      <c r="AQ28" s="24" t="str">
        <f aca="false">IFERROR(ciq($D28,"IQ_RETURN_CAPITAL"),"")</f>
        <v/>
      </c>
      <c r="AR28" s="24" t="str">
        <f aca="false">IFERROR(ciq($D28,"IQ_TOTAL_REV_1YR_ANN_GROWTH"),"")</f>
        <v/>
      </c>
      <c r="AS28" s="24" t="str">
        <f aca="false">IFERROR(ciq($D28,"IQ_EPS_1YR_ANN_GROWTH"),"")</f>
        <v/>
      </c>
      <c r="AT28" s="24" t="str">
        <f aca="false">IFERROR(ciq($D28,"IQ_DIVIDEND_YIELD"),"")</f>
        <v/>
      </c>
      <c r="AU28" s="24" t="str">
        <f aca="false">IFERROR(ciq($D28,"IQ_NET_DEBT"),"")</f>
        <v/>
      </c>
    </row>
    <row r="29" customFormat="false" ht="15" hidden="false" customHeight="false" outlineLevel="0" collapsed="false">
      <c r="A29" s="8" t="s">
        <v>173</v>
      </c>
      <c r="B29" s="8" t="s">
        <v>174</v>
      </c>
      <c r="C29" s="8" t="s">
        <v>72</v>
      </c>
      <c r="D29" s="8" t="s">
        <v>585</v>
      </c>
      <c r="E29" s="8" t="s">
        <v>586</v>
      </c>
      <c r="F29" s="8" t="s">
        <v>587</v>
      </c>
      <c r="G29" s="8" t="s">
        <v>55</v>
      </c>
      <c r="H29" s="8" t="s">
        <v>66</v>
      </c>
      <c r="I29" s="8" t="s">
        <v>508</v>
      </c>
      <c r="J29" s="6" t="s">
        <v>118</v>
      </c>
      <c r="K29" s="6" t="s">
        <v>175</v>
      </c>
      <c r="L29" s="8"/>
      <c r="M29" s="23" t="n">
        <v>342000</v>
      </c>
      <c r="N29" s="23" t="n">
        <v>271006.02234</v>
      </c>
      <c r="O29" s="23" t="n">
        <v>261061.2107015</v>
      </c>
      <c r="P29" s="24" t="n">
        <v>883.946491125</v>
      </c>
      <c r="Q29" s="24" t="n">
        <v>1066.71803816667</v>
      </c>
      <c r="R29" s="24" t="n">
        <v>883.946491125</v>
      </c>
      <c r="S29" s="25" t="n">
        <v>0.00326172268605904</v>
      </c>
      <c r="T29" s="26" t="n">
        <v>0.530119848265865</v>
      </c>
      <c r="U29" s="23" t="n">
        <v>0</v>
      </c>
      <c r="V29" s="26" t="n">
        <v>-0.06</v>
      </c>
      <c r="W29" s="26" t="n">
        <v>0.078867319872165</v>
      </c>
      <c r="X29" s="26" t="n">
        <v>-0.06160402866156</v>
      </c>
      <c r="Y29" s="26" t="n">
        <v>-0.00874612151524212</v>
      </c>
      <c r="Z29" s="26" t="n">
        <v>0.12128451899732</v>
      </c>
      <c r="AA29" s="26" t="n">
        <v>0.117304324332192</v>
      </c>
      <c r="AB29" s="26" t="n">
        <v>-0.360886153162952</v>
      </c>
      <c r="AC29" s="27" t="n">
        <v>0.561248141896524</v>
      </c>
      <c r="AD29" s="28" t="n">
        <f aca="false">Params!$B$6*Params!$B$7*$R29</f>
        <v>530.367894675</v>
      </c>
      <c r="AE29" s="29" t="n">
        <f aca="false">MIN(Params!$B$9,AD29/Params!$B$4)</f>
        <v>0.06</v>
      </c>
      <c r="AF29" s="29" t="n">
        <f aca="false">MIN(Params!$B$9,AD29/Params!$B$5)</f>
        <v>0.06</v>
      </c>
      <c r="AG29" s="28" t="n">
        <f aca="false">IF($R29&gt;0,Params!$B$9*Params!$B$4/(Params!$B$6*$R29),"n/a")</f>
        <v>0.169693529536041</v>
      </c>
      <c r="AH29" s="28" t="n">
        <f aca="false">IF($R29&gt;0,Params!$B$9*Params!$B$5/(Params!$B$6*$R29),"n/a")</f>
        <v>0.339387059072082</v>
      </c>
      <c r="AI29" s="28" t="n">
        <f aca="false">IF($R29&gt;0,Params!$B$15*Params!$B$4/(Params!$B$6*$R29),"n/a")</f>
        <v>0.056564509845347</v>
      </c>
      <c r="AJ29" s="29" t="n">
        <f aca="false">MIN(Params!$B$9,AD29*Params!$B$8/Params!$B$4)</f>
        <v>0.06</v>
      </c>
      <c r="AK29" s="28" t="n">
        <f aca="false">IF($R29&gt;0,Params!$B$9*Params!$B$4/(Params!$B$6*$R29*Params!$B$8),"n/a")</f>
        <v>0.339387059072082</v>
      </c>
      <c r="AL29" s="27" t="str">
        <f aca="false">IFERROR(ciq($D29,"IQ_PE_EXCL"),"")</f>
        <v/>
      </c>
      <c r="AM29" s="27" t="str">
        <f aca="false">IFERROR(ciq($D29,"IQ_PE_EXCL_FWD_CIQ"),"")</f>
        <v/>
      </c>
      <c r="AN29" s="27" t="str">
        <f aca="false">IFERROR(ciq($D29,"IQ_PBV"),"")</f>
        <v/>
      </c>
      <c r="AO29" s="27" t="str">
        <f aca="false">IFERROR(ciq($D29,"IQ_TEV_EBITDA"),"")</f>
        <v/>
      </c>
      <c r="AP29" s="24" t="str">
        <f aca="false">IFERROR(ciq($D29,"IQ_RETURN_EQUITY"),"")</f>
        <v/>
      </c>
      <c r="AQ29" s="24" t="str">
        <f aca="false">IFERROR(ciq($D29,"IQ_RETURN_CAPITAL"),"")</f>
        <v/>
      </c>
      <c r="AR29" s="24" t="str">
        <f aca="false">IFERROR(ciq($D29,"IQ_TOTAL_REV_1YR_ANN_GROWTH"),"")</f>
        <v/>
      </c>
      <c r="AS29" s="24" t="str">
        <f aca="false">IFERROR(ciq($D29,"IQ_EPS_1YR_ANN_GROWTH"),"")</f>
        <v/>
      </c>
      <c r="AT29" s="24" t="str">
        <f aca="false">IFERROR(ciq($D29,"IQ_DIVIDEND_YIELD"),"")</f>
        <v/>
      </c>
      <c r="AU29" s="24" t="str">
        <f aca="false">IFERROR(ciq($D29,"IQ_NET_DEBT"),"")</f>
        <v/>
      </c>
    </row>
    <row r="30" customFormat="false" ht="15" hidden="false" customHeight="false" outlineLevel="0" collapsed="false">
      <c r="A30" s="8" t="s">
        <v>588</v>
      </c>
      <c r="B30" s="6" t="s">
        <v>589</v>
      </c>
      <c r="C30" s="8" t="s">
        <v>72</v>
      </c>
      <c r="D30" s="8" t="s">
        <v>590</v>
      </c>
      <c r="E30" s="8" t="s">
        <v>591</v>
      </c>
      <c r="F30" s="6" t="s">
        <v>592</v>
      </c>
      <c r="G30" s="8" t="s">
        <v>55</v>
      </c>
      <c r="H30" s="8" t="s">
        <v>66</v>
      </c>
      <c r="I30" s="8"/>
      <c r="J30" s="8"/>
      <c r="K30" s="8"/>
      <c r="L30" s="8"/>
      <c r="M30" s="23" t="n">
        <v>86500</v>
      </c>
      <c r="N30" s="23" t="n">
        <v>265047.58581</v>
      </c>
      <c r="O30" s="23" t="n">
        <v>271420.9844052</v>
      </c>
      <c r="P30" s="24" t="n">
        <v>793.019530675</v>
      </c>
      <c r="Q30" s="24" t="n">
        <v>1723.70356641667</v>
      </c>
      <c r="R30" s="24" t="n">
        <v>793.019530675</v>
      </c>
      <c r="S30" s="25" t="n">
        <v>0.002991989262047</v>
      </c>
      <c r="T30" s="26" t="n">
        <v>0.943210359627414</v>
      </c>
      <c r="U30" s="23" t="n">
        <v>0</v>
      </c>
      <c r="V30" s="26" t="n">
        <v>-0.06</v>
      </c>
      <c r="W30" s="26" t="n">
        <v>-0.0586367307778291</v>
      </c>
      <c r="X30" s="26" t="n">
        <v>-0.153516063442132</v>
      </c>
      <c r="Y30" s="26" t="n">
        <v>-0.352336609167898</v>
      </c>
      <c r="Z30" s="26" t="n">
        <v>-0.238696027622397</v>
      </c>
      <c r="AA30" s="26" t="n">
        <v>-0.247110229951009</v>
      </c>
      <c r="AB30" s="26" t="n">
        <v>-0.423023107673083</v>
      </c>
      <c r="AC30" s="27" t="n">
        <v>0.409467111231545</v>
      </c>
      <c r="AD30" s="28" t="n">
        <f aca="false">Params!$B$6*Params!$B$7*$R30</f>
        <v>475.811718405</v>
      </c>
      <c r="AE30" s="29" t="n">
        <f aca="false">MIN(Params!$B$9,AD30/Params!$B$4)</f>
        <v>0.06</v>
      </c>
      <c r="AF30" s="29" t="n">
        <f aca="false">MIN(Params!$B$9,AD30/Params!$B$5)</f>
        <v>0.06</v>
      </c>
      <c r="AG30" s="28" t="n">
        <f aca="false">IF($R30&gt;0,Params!$B$9*Params!$B$4/(Params!$B$6*$R30),"n/a")</f>
        <v>0.189150448630595</v>
      </c>
      <c r="AH30" s="28" t="n">
        <f aca="false">IF($R30&gt;0,Params!$B$9*Params!$B$5/(Params!$B$6*$R30),"n/a")</f>
        <v>0.37830089726119</v>
      </c>
      <c r="AI30" s="28" t="n">
        <f aca="false">IF($R30&gt;0,Params!$B$15*Params!$B$4/(Params!$B$6*$R30),"n/a")</f>
        <v>0.0630501495435316</v>
      </c>
      <c r="AJ30" s="29" t="n">
        <f aca="false">MIN(Params!$B$9,AD30*Params!$B$8/Params!$B$4)</f>
        <v>0.06</v>
      </c>
      <c r="AK30" s="28" t="n">
        <f aca="false">IF($R30&gt;0,Params!$B$9*Params!$B$4/(Params!$B$6*$R30*Params!$B$8),"n/a")</f>
        <v>0.37830089726119</v>
      </c>
      <c r="AL30" s="27" t="str">
        <f aca="false">IFERROR(ciq($D30,"IQ_PE_EXCL"),"")</f>
        <v/>
      </c>
      <c r="AM30" s="27" t="str">
        <f aca="false">IFERROR(ciq($D30,"IQ_PE_EXCL_FWD_CIQ"),"")</f>
        <v/>
      </c>
      <c r="AN30" s="27" t="str">
        <f aca="false">IFERROR(ciq($D30,"IQ_PBV"),"")</f>
        <v/>
      </c>
      <c r="AO30" s="27" t="str">
        <f aca="false">IFERROR(ciq($D30,"IQ_TEV_EBITDA"),"")</f>
        <v/>
      </c>
      <c r="AP30" s="24" t="str">
        <f aca="false">IFERROR(ciq($D30,"IQ_RETURN_EQUITY"),"")</f>
        <v/>
      </c>
      <c r="AQ30" s="24" t="str">
        <f aca="false">IFERROR(ciq($D30,"IQ_RETURN_CAPITAL"),"")</f>
        <v/>
      </c>
      <c r="AR30" s="24" t="str">
        <f aca="false">IFERROR(ciq($D30,"IQ_TOTAL_REV_1YR_ANN_GROWTH"),"")</f>
        <v/>
      </c>
      <c r="AS30" s="24" t="str">
        <f aca="false">IFERROR(ciq($D30,"IQ_EPS_1YR_ANN_GROWTH"),"")</f>
        <v/>
      </c>
      <c r="AT30" s="24" t="str">
        <f aca="false">IFERROR(ciq($D30,"IQ_DIVIDEND_YIELD"),"")</f>
        <v/>
      </c>
      <c r="AU30" s="24" t="str">
        <f aca="false">IFERROR(ciq($D30,"IQ_NET_DEBT"),"")</f>
        <v/>
      </c>
    </row>
    <row r="31" customFormat="false" ht="15" hidden="false" customHeight="false" outlineLevel="0" collapsed="false">
      <c r="A31" s="8" t="s">
        <v>176</v>
      </c>
      <c r="B31" s="6" t="s">
        <v>177</v>
      </c>
      <c r="C31" s="8" t="s">
        <v>72</v>
      </c>
      <c r="D31" s="8" t="s">
        <v>593</v>
      </c>
      <c r="E31" s="8" t="s">
        <v>594</v>
      </c>
      <c r="F31" s="8" t="s">
        <v>595</v>
      </c>
      <c r="G31" s="8" t="s">
        <v>55</v>
      </c>
      <c r="H31" s="8" t="s">
        <v>66</v>
      </c>
      <c r="I31" s="8" t="s">
        <v>508</v>
      </c>
      <c r="J31" s="6" t="s">
        <v>178</v>
      </c>
      <c r="K31" s="6" t="s">
        <v>179</v>
      </c>
      <c r="L31" s="8"/>
      <c r="M31" s="23" t="n">
        <v>1224000</v>
      </c>
      <c r="N31" s="23" t="n">
        <v>255485.14056</v>
      </c>
      <c r="O31" s="23" t="n">
        <v>262425.4027525</v>
      </c>
      <c r="P31" s="24" t="n">
        <v>463.83266375</v>
      </c>
      <c r="Q31" s="24" t="n">
        <v>292.005841583333</v>
      </c>
      <c r="R31" s="24" t="n">
        <v>292.005841583333</v>
      </c>
      <c r="S31" s="25" t="n">
        <v>0.00181549761654757</v>
      </c>
      <c r="T31" s="26" t="n">
        <v>0.737547985936727</v>
      </c>
      <c r="U31" s="23" t="n">
        <v>0</v>
      </c>
      <c r="V31" s="26" t="n">
        <v>-0.06</v>
      </c>
      <c r="W31" s="26" t="n">
        <v>0.117690797946266</v>
      </c>
      <c r="X31" s="26" t="n">
        <v>0.00981082501629071</v>
      </c>
      <c r="Y31" s="26" t="n">
        <v>-0.265132397751863</v>
      </c>
      <c r="Z31" s="26" t="n">
        <v>-0.0698619305825378</v>
      </c>
      <c r="AA31" s="26" t="n">
        <v>0.49826359087927</v>
      </c>
      <c r="AB31" s="26" t="n">
        <v>-0.42119976303642</v>
      </c>
      <c r="AC31" s="27" t="n">
        <v>1.10054904299073</v>
      </c>
      <c r="AD31" s="28" t="n">
        <f aca="false">Params!$B$6*Params!$B$7*$R31</f>
        <v>175.20350495</v>
      </c>
      <c r="AE31" s="29" t="n">
        <f aca="false">MIN(Params!$B$9,AD31/Params!$B$4)</f>
        <v>0.06</v>
      </c>
      <c r="AF31" s="29" t="n">
        <f aca="false">MIN(Params!$B$9,AD31/Params!$B$5)</f>
        <v>0.06</v>
      </c>
      <c r="AG31" s="28" t="n">
        <f aca="false">IF($R31&gt;0,Params!$B$9*Params!$B$4/(Params!$B$6*$R31),"n/a")</f>
        <v>0.513688353584504</v>
      </c>
      <c r="AH31" s="28" t="n">
        <f aca="false">IF($R31&gt;0,Params!$B$9*Params!$B$5/(Params!$B$6*$R31),"n/a")</f>
        <v>1.02737670716901</v>
      </c>
      <c r="AI31" s="28" t="n">
        <f aca="false">IF($R31&gt;0,Params!$B$15*Params!$B$4/(Params!$B$6*$R31),"n/a")</f>
        <v>0.171229451194835</v>
      </c>
      <c r="AJ31" s="29" t="n">
        <f aca="false">MIN(Params!$B$9,AD31*Params!$B$8/Params!$B$4)</f>
        <v>0.06</v>
      </c>
      <c r="AK31" s="28" t="n">
        <f aca="false">IF($R31&gt;0,Params!$B$9*Params!$B$4/(Params!$B$6*$R31*Params!$B$8),"n/a")</f>
        <v>1.02737670716901</v>
      </c>
      <c r="AL31" s="27" t="str">
        <f aca="false">IFERROR(ciq($D31,"IQ_PE_EXCL"),"")</f>
        <v/>
      </c>
      <c r="AM31" s="27" t="str">
        <f aca="false">IFERROR(ciq($D31,"IQ_PE_EXCL_FWD_CIQ"),"")</f>
        <v/>
      </c>
      <c r="AN31" s="27" t="str">
        <f aca="false">IFERROR(ciq($D31,"IQ_PBV"),"")</f>
        <v/>
      </c>
      <c r="AO31" s="27" t="str">
        <f aca="false">IFERROR(ciq($D31,"IQ_TEV_EBITDA"),"")</f>
        <v/>
      </c>
      <c r="AP31" s="24" t="str">
        <f aca="false">IFERROR(ciq($D31,"IQ_RETURN_EQUITY"),"")</f>
        <v/>
      </c>
      <c r="AQ31" s="24" t="str">
        <f aca="false">IFERROR(ciq($D31,"IQ_RETURN_CAPITAL"),"")</f>
        <v/>
      </c>
      <c r="AR31" s="24" t="str">
        <f aca="false">IFERROR(ciq($D31,"IQ_TOTAL_REV_1YR_ANN_GROWTH"),"")</f>
        <v/>
      </c>
      <c r="AS31" s="24" t="str">
        <f aca="false">IFERROR(ciq($D31,"IQ_EPS_1YR_ANN_GROWTH"),"")</f>
        <v/>
      </c>
      <c r="AT31" s="24" t="str">
        <f aca="false">IFERROR(ciq($D31,"IQ_DIVIDEND_YIELD"),"")</f>
        <v/>
      </c>
      <c r="AU31" s="24" t="str">
        <f aca="false">IFERROR(ciq($D31,"IQ_NET_DEBT"),"")</f>
        <v/>
      </c>
    </row>
    <row r="32" customFormat="false" ht="15" hidden="false" customHeight="false" outlineLevel="0" collapsed="false">
      <c r="A32" s="8" t="s">
        <v>180</v>
      </c>
      <c r="B32" s="6" t="s">
        <v>181</v>
      </c>
      <c r="C32" s="8" t="s">
        <v>72</v>
      </c>
      <c r="D32" s="8" t="s">
        <v>596</v>
      </c>
      <c r="E32" s="8" t="s">
        <v>597</v>
      </c>
      <c r="F32" s="8"/>
      <c r="G32" s="8" t="s">
        <v>55</v>
      </c>
      <c r="H32" s="8" t="s">
        <v>66</v>
      </c>
      <c r="I32" s="8" t="s">
        <v>508</v>
      </c>
      <c r="J32" s="6" t="s">
        <v>182</v>
      </c>
      <c r="K32" s="6" t="s">
        <v>183</v>
      </c>
      <c r="L32" s="8"/>
      <c r="M32" s="23" t="n">
        <v>34650</v>
      </c>
      <c r="N32" s="23" t="n">
        <v>255296.5420005</v>
      </c>
      <c r="O32" s="23" t="n">
        <v>243743.45946015</v>
      </c>
      <c r="P32" s="24" t="n">
        <v>879.6621436</v>
      </c>
      <c r="Q32" s="24" t="n">
        <v>779.0784213875</v>
      </c>
      <c r="R32" s="24" t="n">
        <v>779.0784213875</v>
      </c>
      <c r="S32" s="25" t="n">
        <v>0.00344564848668525</v>
      </c>
      <c r="T32" s="26" t="n">
        <v>0.371167127370782</v>
      </c>
      <c r="U32" s="23" t="n">
        <v>0</v>
      </c>
      <c r="V32" s="26" t="n">
        <v>-0.06</v>
      </c>
      <c r="W32" s="26" t="n">
        <v>0.0389382907208307</v>
      </c>
      <c r="X32" s="26" t="n">
        <v>0.155165271713881</v>
      </c>
      <c r="Y32" s="26" t="n">
        <v>0.0392246373852174</v>
      </c>
      <c r="Z32" s="26" t="n">
        <v>0.237438856917639</v>
      </c>
      <c r="AA32" s="26" t="n">
        <v>0.386253595368778</v>
      </c>
      <c r="AB32" s="26" t="n">
        <v>-0.150725785543171</v>
      </c>
      <c r="AC32" s="27" t="n">
        <v>1.16335158881964</v>
      </c>
      <c r="AD32" s="28" t="n">
        <f aca="false">Params!$B$6*Params!$B$7*$R32</f>
        <v>467.4470528325</v>
      </c>
      <c r="AE32" s="29" t="n">
        <f aca="false">MIN(Params!$B$9,AD32/Params!$B$4)</f>
        <v>0.06</v>
      </c>
      <c r="AF32" s="29" t="n">
        <f aca="false">MIN(Params!$B$9,AD32/Params!$B$5)</f>
        <v>0.06</v>
      </c>
      <c r="AG32" s="28" t="n">
        <f aca="false">IF($R32&gt;0,Params!$B$9*Params!$B$4/(Params!$B$6*$R32),"n/a")</f>
        <v>0.19253517474256</v>
      </c>
      <c r="AH32" s="28" t="n">
        <f aca="false">IF($R32&gt;0,Params!$B$9*Params!$B$5/(Params!$B$6*$R32),"n/a")</f>
        <v>0.38507034948512</v>
      </c>
      <c r="AI32" s="28" t="n">
        <f aca="false">IF($R32&gt;0,Params!$B$15*Params!$B$4/(Params!$B$6*$R32),"n/a")</f>
        <v>0.0641783915808533</v>
      </c>
      <c r="AJ32" s="29" t="n">
        <f aca="false">MIN(Params!$B$9,AD32*Params!$B$8/Params!$B$4)</f>
        <v>0.06</v>
      </c>
      <c r="AK32" s="28" t="n">
        <f aca="false">IF($R32&gt;0,Params!$B$9*Params!$B$4/(Params!$B$6*$R32*Params!$B$8),"n/a")</f>
        <v>0.38507034948512</v>
      </c>
      <c r="AL32" s="27" t="str">
        <f aca="false">IFERROR(ciq($D32,"IQ_PE_EXCL"),"")</f>
        <v/>
      </c>
      <c r="AM32" s="27" t="str">
        <f aca="false">IFERROR(ciq($D32,"IQ_PE_EXCL_FWD_CIQ"),"")</f>
        <v/>
      </c>
      <c r="AN32" s="27" t="str">
        <f aca="false">IFERROR(ciq($D32,"IQ_PBV"),"")</f>
        <v/>
      </c>
      <c r="AO32" s="27" t="str">
        <f aca="false">IFERROR(ciq($D32,"IQ_TEV_EBITDA"),"")</f>
        <v/>
      </c>
      <c r="AP32" s="24" t="str">
        <f aca="false">IFERROR(ciq($D32,"IQ_RETURN_EQUITY"),"")</f>
        <v/>
      </c>
      <c r="AQ32" s="24" t="str">
        <f aca="false">IFERROR(ciq($D32,"IQ_RETURN_CAPITAL"),"")</f>
        <v/>
      </c>
      <c r="AR32" s="24" t="str">
        <f aca="false">IFERROR(ciq($D32,"IQ_TOTAL_REV_1YR_ANN_GROWTH"),"")</f>
        <v/>
      </c>
      <c r="AS32" s="24" t="str">
        <f aca="false">IFERROR(ciq($D32,"IQ_EPS_1YR_ANN_GROWTH"),"")</f>
        <v/>
      </c>
      <c r="AT32" s="24" t="str">
        <f aca="false">IFERROR(ciq($D32,"IQ_DIVIDEND_YIELD"),"")</f>
        <v/>
      </c>
      <c r="AU32" s="24" t="str">
        <f aca="false">IFERROR(ciq($D32,"IQ_NET_DEBT"),"")</f>
        <v/>
      </c>
    </row>
    <row r="33" customFormat="false" ht="15" hidden="false" customHeight="false" outlineLevel="0" collapsed="false">
      <c r="A33" s="8" t="s">
        <v>598</v>
      </c>
      <c r="B33" s="8" t="s">
        <v>599</v>
      </c>
      <c r="C33" s="8" t="s">
        <v>72</v>
      </c>
      <c r="D33" s="8" t="s">
        <v>600</v>
      </c>
      <c r="E33" s="8" t="s">
        <v>601</v>
      </c>
      <c r="F33" s="6" t="s">
        <v>584</v>
      </c>
      <c r="G33" s="8" t="s">
        <v>55</v>
      </c>
      <c r="H33" s="8" t="s">
        <v>66</v>
      </c>
      <c r="I33" s="8"/>
      <c r="J33" s="8"/>
      <c r="K33" s="8"/>
      <c r="L33" s="8" t="s">
        <v>115</v>
      </c>
      <c r="M33" s="23" t="n">
        <v>706000</v>
      </c>
      <c r="N33" s="23" t="n">
        <v>254492.7731</v>
      </c>
      <c r="O33" s="23" t="n">
        <v>273435.5425425</v>
      </c>
      <c r="P33" s="24" t="n">
        <v>1017.3284967595</v>
      </c>
      <c r="Q33" s="24" t="n">
        <v>1506.5146111915</v>
      </c>
      <c r="R33" s="24" t="n">
        <v>1017.3284967595</v>
      </c>
      <c r="S33" s="25" t="n">
        <v>0.00399747499454435</v>
      </c>
      <c r="T33" s="26" t="n">
        <v>0.915137178936134</v>
      </c>
      <c r="U33" s="23" t="n">
        <v>2</v>
      </c>
      <c r="V33" s="26" t="n">
        <v>-0.04</v>
      </c>
      <c r="W33" s="26" t="n">
        <v>-0.0852977686939225</v>
      </c>
      <c r="X33" s="26" t="n">
        <v>-0.251692175322421</v>
      </c>
      <c r="Y33" s="26" t="n">
        <v>-0.248010653555947</v>
      </c>
      <c r="Z33" s="26" t="n">
        <v>-0.0878173460807712</v>
      </c>
      <c r="AA33" s="26" t="n">
        <v>0.412431537770921</v>
      </c>
      <c r="AB33" s="26" t="n">
        <v>-0.502545878445959</v>
      </c>
      <c r="AC33" s="27" t="n">
        <v>0.612076565213389</v>
      </c>
      <c r="AD33" s="28" t="n">
        <f aca="false">Params!$B$6*Params!$B$7*$R33</f>
        <v>610.3970980557</v>
      </c>
      <c r="AE33" s="29" t="n">
        <f aca="false">MIN(Params!$B$9,AD33/Params!$B$4)</f>
        <v>0.06</v>
      </c>
      <c r="AF33" s="29" t="n">
        <f aca="false">MIN(Params!$B$9,AD33/Params!$B$5)</f>
        <v>0.06</v>
      </c>
      <c r="AG33" s="28" t="n">
        <f aca="false">IF($R33&gt;0,Params!$B$9*Params!$B$4/(Params!$B$6*$R33),"n/a")</f>
        <v>0.147444999798782</v>
      </c>
      <c r="AH33" s="28" t="n">
        <f aca="false">IF($R33&gt;0,Params!$B$9*Params!$B$5/(Params!$B$6*$R33),"n/a")</f>
        <v>0.294889999597565</v>
      </c>
      <c r="AI33" s="28" t="n">
        <f aca="false">IF($R33&gt;0,Params!$B$15*Params!$B$4/(Params!$B$6*$R33),"n/a")</f>
        <v>0.0491483332662608</v>
      </c>
      <c r="AJ33" s="29" t="n">
        <f aca="false">MIN(Params!$B$9,AD33*Params!$B$8/Params!$B$4)</f>
        <v>0.06</v>
      </c>
      <c r="AK33" s="28" t="n">
        <f aca="false">IF($R33&gt;0,Params!$B$9*Params!$B$4/(Params!$B$6*$R33*Params!$B$8),"n/a")</f>
        <v>0.294889999597565</v>
      </c>
      <c r="AL33" s="27" t="str">
        <f aca="false">IFERROR(ciq($D33,"IQ_PE_EXCL"),"")</f>
        <v/>
      </c>
      <c r="AM33" s="27" t="str">
        <f aca="false">IFERROR(ciq($D33,"IQ_PE_EXCL_FWD_CIQ"),"")</f>
        <v/>
      </c>
      <c r="AN33" s="27" t="str">
        <f aca="false">IFERROR(ciq($D33,"IQ_PBV"),"")</f>
        <v/>
      </c>
      <c r="AO33" s="27" t="str">
        <f aca="false">IFERROR(ciq($D33,"IQ_TEV_EBITDA"),"")</f>
        <v/>
      </c>
      <c r="AP33" s="24" t="str">
        <f aca="false">IFERROR(ciq($D33,"IQ_RETURN_EQUITY"),"")</f>
        <v/>
      </c>
      <c r="AQ33" s="24" t="str">
        <f aca="false">IFERROR(ciq($D33,"IQ_RETURN_CAPITAL"),"")</f>
        <v/>
      </c>
      <c r="AR33" s="24" t="str">
        <f aca="false">IFERROR(ciq($D33,"IQ_TOTAL_REV_1YR_ANN_GROWTH"),"")</f>
        <v/>
      </c>
      <c r="AS33" s="24" t="str">
        <f aca="false">IFERROR(ciq($D33,"IQ_EPS_1YR_ANN_GROWTH"),"")</f>
        <v/>
      </c>
      <c r="AT33" s="24" t="str">
        <f aca="false">IFERROR(ciq($D33,"IQ_DIVIDEND_YIELD"),"")</f>
        <v/>
      </c>
      <c r="AU33" s="24" t="str">
        <f aca="false">IFERROR(ciq($D33,"IQ_NET_DEBT"),"")</f>
        <v/>
      </c>
    </row>
    <row r="34" customFormat="false" ht="15" hidden="false" customHeight="false" outlineLevel="0" collapsed="false">
      <c r="A34" s="8" t="s">
        <v>184</v>
      </c>
      <c r="B34" s="6" t="s">
        <v>185</v>
      </c>
      <c r="C34" s="8" t="s">
        <v>72</v>
      </c>
      <c r="D34" s="8" t="s">
        <v>602</v>
      </c>
      <c r="E34" s="8" t="s">
        <v>603</v>
      </c>
      <c r="F34" s="6" t="s">
        <v>584</v>
      </c>
      <c r="G34" s="8" t="s">
        <v>55</v>
      </c>
      <c r="H34" s="8" t="s">
        <v>66</v>
      </c>
      <c r="I34" s="8" t="s">
        <v>508</v>
      </c>
      <c r="J34" s="6" t="s">
        <v>122</v>
      </c>
      <c r="K34" s="6" t="s">
        <v>186</v>
      </c>
      <c r="L34" s="8"/>
      <c r="M34" s="23" t="n">
        <v>2725000</v>
      </c>
      <c r="N34" s="23" t="n">
        <v>254093.933</v>
      </c>
      <c r="O34" s="23" t="n">
        <v>268467.723742</v>
      </c>
      <c r="P34" s="24" t="n">
        <v>1206.06993425</v>
      </c>
      <c r="Q34" s="24" t="n">
        <v>1598.00771733833</v>
      </c>
      <c r="R34" s="24" t="n">
        <v>1206.06993425</v>
      </c>
      <c r="S34" s="25" t="n">
        <v>0.00474655148200646</v>
      </c>
      <c r="T34" s="26" t="n">
        <v>1.08150102978394</v>
      </c>
      <c r="U34" s="23" t="n">
        <v>1</v>
      </c>
      <c r="V34" s="26" t="n">
        <v>-0.06</v>
      </c>
      <c r="W34" s="26" t="n">
        <v>-0.087384722207172</v>
      </c>
      <c r="X34" s="26" t="n">
        <v>-0.214276823200681</v>
      </c>
      <c r="Y34" s="26" t="n">
        <v>0.0756640663816734</v>
      </c>
      <c r="Z34" s="26" t="n">
        <v>0.529626419559811</v>
      </c>
      <c r="AA34" s="26" t="n">
        <v>1.19017099538194</v>
      </c>
      <c r="AB34" s="26" t="n">
        <v>-0.40793297990073</v>
      </c>
      <c r="AC34" s="27" t="n">
        <v>0.700786686404317</v>
      </c>
      <c r="AD34" s="28" t="n">
        <f aca="false">Params!$B$6*Params!$B$7*$R34</f>
        <v>723.64196055</v>
      </c>
      <c r="AE34" s="29" t="n">
        <f aca="false">MIN(Params!$B$9,AD34/Params!$B$4)</f>
        <v>0.06</v>
      </c>
      <c r="AF34" s="29" t="n">
        <f aca="false">MIN(Params!$B$9,AD34/Params!$B$5)</f>
        <v>0.06</v>
      </c>
      <c r="AG34" s="28" t="n">
        <f aca="false">IF($R34&gt;0,Params!$B$9*Params!$B$4/(Params!$B$6*$R34),"n/a")</f>
        <v>0.124370897358683</v>
      </c>
      <c r="AH34" s="28" t="n">
        <f aca="false">IF($R34&gt;0,Params!$B$9*Params!$B$5/(Params!$B$6*$R34),"n/a")</f>
        <v>0.248741794717366</v>
      </c>
      <c r="AI34" s="28" t="n">
        <f aca="false">IF($R34&gt;0,Params!$B$15*Params!$B$4/(Params!$B$6*$R34),"n/a")</f>
        <v>0.0414569657862276</v>
      </c>
      <c r="AJ34" s="29" t="n">
        <f aca="false">MIN(Params!$B$9,AD34*Params!$B$8/Params!$B$4)</f>
        <v>0.06</v>
      </c>
      <c r="AK34" s="28" t="n">
        <f aca="false">IF($R34&gt;0,Params!$B$9*Params!$B$4/(Params!$B$6*$R34*Params!$B$8),"n/a")</f>
        <v>0.248741794717366</v>
      </c>
      <c r="AL34" s="27" t="str">
        <f aca="false">IFERROR(ciq($D34,"IQ_PE_EXCL"),"")</f>
        <v/>
      </c>
      <c r="AM34" s="27" t="str">
        <f aca="false">IFERROR(ciq($D34,"IQ_PE_EXCL_FWD_CIQ"),"")</f>
        <v/>
      </c>
      <c r="AN34" s="27" t="str">
        <f aca="false">IFERROR(ciq($D34,"IQ_PBV"),"")</f>
        <v/>
      </c>
      <c r="AO34" s="27" t="str">
        <f aca="false">IFERROR(ciq($D34,"IQ_TEV_EBITDA"),"")</f>
        <v/>
      </c>
      <c r="AP34" s="24" t="str">
        <f aca="false">IFERROR(ciq($D34,"IQ_RETURN_EQUITY"),"")</f>
        <v/>
      </c>
      <c r="AQ34" s="24" t="str">
        <f aca="false">IFERROR(ciq($D34,"IQ_RETURN_CAPITAL"),"")</f>
        <v/>
      </c>
      <c r="AR34" s="24" t="str">
        <f aca="false">IFERROR(ciq($D34,"IQ_TOTAL_REV_1YR_ANN_GROWTH"),"")</f>
        <v/>
      </c>
      <c r="AS34" s="24" t="str">
        <f aca="false">IFERROR(ciq($D34,"IQ_EPS_1YR_ANN_GROWTH"),"")</f>
        <v/>
      </c>
      <c r="AT34" s="24" t="str">
        <f aca="false">IFERROR(ciq($D34,"IQ_DIVIDEND_YIELD"),"")</f>
        <v/>
      </c>
      <c r="AU34" s="24" t="str">
        <f aca="false">IFERROR(ciq($D34,"IQ_NET_DEBT"),"")</f>
        <v/>
      </c>
    </row>
    <row r="35" customFormat="false" ht="15" hidden="false" customHeight="false" outlineLevel="0" collapsed="false">
      <c r="A35" s="8" t="s">
        <v>604</v>
      </c>
      <c r="B35" s="8" t="s">
        <v>605</v>
      </c>
      <c r="C35" s="8" t="s">
        <v>72</v>
      </c>
      <c r="D35" s="8" t="s">
        <v>606</v>
      </c>
      <c r="E35" s="8" t="s">
        <v>607</v>
      </c>
      <c r="F35" s="6" t="s">
        <v>592</v>
      </c>
      <c r="G35" s="8" t="s">
        <v>55</v>
      </c>
      <c r="H35" s="8" t="s">
        <v>66</v>
      </c>
      <c r="I35" s="8"/>
      <c r="J35" s="8"/>
      <c r="K35" s="8"/>
      <c r="L35" s="8"/>
      <c r="M35" s="23" t="n">
        <v>344000</v>
      </c>
      <c r="N35" s="23" t="n">
        <v>243459.51904</v>
      </c>
      <c r="O35" s="23" t="n">
        <v>260303.520648</v>
      </c>
      <c r="P35" s="24" t="n">
        <v>614.6183680015</v>
      </c>
      <c r="Q35" s="24" t="n">
        <v>805.608134166833</v>
      </c>
      <c r="R35" s="24" t="n">
        <v>614.6183680015</v>
      </c>
      <c r="S35" s="25" t="n">
        <v>0.00252451976585282</v>
      </c>
      <c r="T35" s="26" t="n">
        <v>0.636139018065301</v>
      </c>
      <c r="U35" s="23" t="n">
        <v>0</v>
      </c>
      <c r="V35" s="26" t="n">
        <v>-0.06</v>
      </c>
      <c r="W35" s="26" t="n">
        <v>-0.131464324366363</v>
      </c>
      <c r="X35" s="26" t="n">
        <v>-0.0512269149646933</v>
      </c>
      <c r="Y35" s="26" t="n">
        <v>-0.18096172662216</v>
      </c>
      <c r="Z35" s="26" t="n">
        <v>-0.154812642669787</v>
      </c>
      <c r="AA35" s="26" t="n">
        <v>-0.0654485134478374</v>
      </c>
      <c r="AB35" s="26" t="n">
        <v>-0.282762964398028</v>
      </c>
      <c r="AC35" s="27" t="n">
        <v>0.684112919173724</v>
      </c>
      <c r="AD35" s="28" t="n">
        <f aca="false">Params!$B$6*Params!$B$7*$R35</f>
        <v>368.7710208009</v>
      </c>
      <c r="AE35" s="29" t="n">
        <f aca="false">MIN(Params!$B$9,AD35/Params!$B$4)</f>
        <v>0.06</v>
      </c>
      <c r="AF35" s="29" t="n">
        <f aca="false">MIN(Params!$B$9,AD35/Params!$B$5)</f>
        <v>0.06</v>
      </c>
      <c r="AG35" s="28" t="n">
        <f aca="false">IF($R35&gt;0,Params!$B$9*Params!$B$4/(Params!$B$6*$R35),"n/a")</f>
        <v>0.244053884181401</v>
      </c>
      <c r="AH35" s="28" t="n">
        <f aca="false">IF($R35&gt;0,Params!$B$9*Params!$B$5/(Params!$B$6*$R35),"n/a")</f>
        <v>0.488107768362803</v>
      </c>
      <c r="AI35" s="28" t="n">
        <f aca="false">IF($R35&gt;0,Params!$B$15*Params!$B$4/(Params!$B$6*$R35),"n/a")</f>
        <v>0.0813512947271338</v>
      </c>
      <c r="AJ35" s="29" t="n">
        <f aca="false">MIN(Params!$B$9,AD35*Params!$B$8/Params!$B$4)</f>
        <v>0.06</v>
      </c>
      <c r="AK35" s="28" t="n">
        <f aca="false">IF($R35&gt;0,Params!$B$9*Params!$B$4/(Params!$B$6*$R35*Params!$B$8),"n/a")</f>
        <v>0.488107768362803</v>
      </c>
      <c r="AL35" s="27" t="str">
        <f aca="false">IFERROR(ciq($D35,"IQ_PE_EXCL"),"")</f>
        <v/>
      </c>
      <c r="AM35" s="27" t="str">
        <f aca="false">IFERROR(ciq($D35,"IQ_PE_EXCL_FWD_CIQ"),"")</f>
        <v/>
      </c>
      <c r="AN35" s="27" t="str">
        <f aca="false">IFERROR(ciq($D35,"IQ_PBV"),"")</f>
        <v/>
      </c>
      <c r="AO35" s="27" t="str">
        <f aca="false">IFERROR(ciq($D35,"IQ_TEV_EBITDA"),"")</f>
        <v/>
      </c>
      <c r="AP35" s="24" t="str">
        <f aca="false">IFERROR(ciq($D35,"IQ_RETURN_EQUITY"),"")</f>
        <v/>
      </c>
      <c r="AQ35" s="24" t="str">
        <f aca="false">IFERROR(ciq($D35,"IQ_RETURN_CAPITAL"),"")</f>
        <v/>
      </c>
      <c r="AR35" s="24" t="str">
        <f aca="false">IFERROR(ciq($D35,"IQ_TOTAL_REV_1YR_ANN_GROWTH"),"")</f>
        <v/>
      </c>
      <c r="AS35" s="24" t="str">
        <f aca="false">IFERROR(ciq($D35,"IQ_EPS_1YR_ANN_GROWTH"),"")</f>
        <v/>
      </c>
      <c r="AT35" s="24" t="str">
        <f aca="false">IFERROR(ciq($D35,"IQ_DIVIDEND_YIELD"),"")</f>
        <v/>
      </c>
      <c r="AU35" s="24" t="str">
        <f aca="false">IFERROR(ciq($D35,"IQ_NET_DEBT"),"")</f>
        <v/>
      </c>
    </row>
    <row r="36" customFormat="false" ht="15" hidden="false" customHeight="false" outlineLevel="0" collapsed="false">
      <c r="A36" s="8" t="s">
        <v>187</v>
      </c>
      <c r="B36" s="6" t="s">
        <v>188</v>
      </c>
      <c r="C36" s="8" t="s">
        <v>72</v>
      </c>
      <c r="D36" s="8" t="s">
        <v>608</v>
      </c>
      <c r="E36" s="8" t="s">
        <v>609</v>
      </c>
      <c r="F36" s="6" t="s">
        <v>536</v>
      </c>
      <c r="G36" s="8" t="s">
        <v>55</v>
      </c>
      <c r="H36" s="8" t="s">
        <v>66</v>
      </c>
      <c r="I36" s="8" t="s">
        <v>508</v>
      </c>
      <c r="J36" s="6" t="s">
        <v>118</v>
      </c>
      <c r="K36" s="6" t="s">
        <v>189</v>
      </c>
      <c r="L36" s="8"/>
      <c r="M36" s="23" t="n">
        <v>136900</v>
      </c>
      <c r="N36" s="23" t="n">
        <v>229098.416737</v>
      </c>
      <c r="O36" s="23" t="n">
        <v>203000.60951265</v>
      </c>
      <c r="P36" s="24" t="n">
        <v>333.881804575</v>
      </c>
      <c r="Q36" s="24" t="n">
        <v>337.84945735</v>
      </c>
      <c r="R36" s="24" t="n">
        <v>333.881804575</v>
      </c>
      <c r="S36" s="25" t="n">
        <v>0.0014573728152748</v>
      </c>
      <c r="T36" s="26" t="n">
        <v>0.405014043322124</v>
      </c>
      <c r="U36" s="23" t="n">
        <v>0</v>
      </c>
      <c r="V36" s="26" t="n">
        <v>-0.06</v>
      </c>
      <c r="W36" s="26" t="n">
        <v>0.136849242260796</v>
      </c>
      <c r="X36" s="26" t="n">
        <v>0.255035469965294</v>
      </c>
      <c r="Y36" s="26" t="n">
        <v>0.191499168228691</v>
      </c>
      <c r="Z36" s="26" t="n">
        <v>0.210336705442115</v>
      </c>
      <c r="AA36" s="26" t="n">
        <v>0.0637755846319081</v>
      </c>
      <c r="AB36" s="26" t="n">
        <v>-0.063673146795592</v>
      </c>
      <c r="AC36" s="27" t="n">
        <v>1.00715379254526</v>
      </c>
      <c r="AD36" s="28" t="n">
        <f aca="false">Params!$B$6*Params!$B$7*$R36</f>
        <v>200.329082745</v>
      </c>
      <c r="AE36" s="29" t="n">
        <f aca="false">MIN(Params!$B$9,AD36/Params!$B$4)</f>
        <v>0.06</v>
      </c>
      <c r="AF36" s="29" t="n">
        <f aca="false">MIN(Params!$B$9,AD36/Params!$B$5)</f>
        <v>0.06</v>
      </c>
      <c r="AG36" s="28" t="n">
        <f aca="false">IF($R36&gt;0,Params!$B$9*Params!$B$4/(Params!$B$6*$R36),"n/a")</f>
        <v>0.449260780146243</v>
      </c>
      <c r="AH36" s="28" t="n">
        <f aca="false">IF($R36&gt;0,Params!$B$9*Params!$B$5/(Params!$B$6*$R36),"n/a")</f>
        <v>0.898521560292486</v>
      </c>
      <c r="AI36" s="28" t="n">
        <f aca="false">IF($R36&gt;0,Params!$B$15*Params!$B$4/(Params!$B$6*$R36),"n/a")</f>
        <v>0.149753593382081</v>
      </c>
      <c r="AJ36" s="29" t="n">
        <f aca="false">MIN(Params!$B$9,AD36*Params!$B$8/Params!$B$4)</f>
        <v>0.06</v>
      </c>
      <c r="AK36" s="28" t="n">
        <f aca="false">IF($R36&gt;0,Params!$B$9*Params!$B$4/(Params!$B$6*$R36*Params!$B$8),"n/a")</f>
        <v>0.898521560292486</v>
      </c>
      <c r="AL36" s="27" t="str">
        <f aca="false">IFERROR(ciq($D36,"IQ_PE_EXCL"),"")</f>
        <v/>
      </c>
      <c r="AM36" s="27" t="str">
        <f aca="false">IFERROR(ciq($D36,"IQ_PE_EXCL_FWD_CIQ"),"")</f>
        <v/>
      </c>
      <c r="AN36" s="27" t="str">
        <f aca="false">IFERROR(ciq($D36,"IQ_PBV"),"")</f>
        <v/>
      </c>
      <c r="AO36" s="27" t="str">
        <f aca="false">IFERROR(ciq($D36,"IQ_TEV_EBITDA"),"")</f>
        <v/>
      </c>
      <c r="AP36" s="24" t="str">
        <f aca="false">IFERROR(ciq($D36,"IQ_RETURN_EQUITY"),"")</f>
        <v/>
      </c>
      <c r="AQ36" s="24" t="str">
        <f aca="false">IFERROR(ciq($D36,"IQ_RETURN_CAPITAL"),"")</f>
        <v/>
      </c>
      <c r="AR36" s="24" t="str">
        <f aca="false">IFERROR(ciq($D36,"IQ_TOTAL_REV_1YR_ANN_GROWTH"),"")</f>
        <v/>
      </c>
      <c r="AS36" s="24" t="str">
        <f aca="false">IFERROR(ciq($D36,"IQ_EPS_1YR_ANN_GROWTH"),"")</f>
        <v/>
      </c>
      <c r="AT36" s="24" t="str">
        <f aca="false">IFERROR(ciq($D36,"IQ_DIVIDEND_YIELD"),"")</f>
        <v/>
      </c>
      <c r="AU36" s="24" t="str">
        <f aca="false">IFERROR(ciq($D36,"IQ_NET_DEBT"),"")</f>
        <v/>
      </c>
    </row>
    <row r="37" customFormat="false" ht="15" hidden="false" customHeight="false" outlineLevel="0" collapsed="false">
      <c r="A37" s="8" t="s">
        <v>190</v>
      </c>
      <c r="B37" s="8" t="s">
        <v>191</v>
      </c>
      <c r="C37" s="8" t="s">
        <v>72</v>
      </c>
      <c r="D37" s="8" t="s">
        <v>610</v>
      </c>
      <c r="E37" s="8" t="s">
        <v>611</v>
      </c>
      <c r="F37" s="6" t="s">
        <v>536</v>
      </c>
      <c r="G37" s="8" t="s">
        <v>55</v>
      </c>
      <c r="H37" s="8" t="s">
        <v>66</v>
      </c>
      <c r="I37" s="8" t="s">
        <v>508</v>
      </c>
      <c r="J37" s="6" t="s">
        <v>192</v>
      </c>
      <c r="K37" s="8" t="s">
        <v>193</v>
      </c>
      <c r="L37" s="8"/>
      <c r="M37" s="23" t="n">
        <v>130800</v>
      </c>
      <c r="N37" s="23" t="n">
        <v>221121.046704</v>
      </c>
      <c r="O37" s="23" t="n">
        <v>209600.0992018</v>
      </c>
      <c r="P37" s="24" t="n">
        <v>1330.14982875</v>
      </c>
      <c r="Q37" s="24" t="n">
        <v>952.176916333333</v>
      </c>
      <c r="R37" s="24" t="n">
        <v>952.176916333333</v>
      </c>
      <c r="S37" s="25" t="n">
        <v>0.00601548268958125</v>
      </c>
      <c r="T37" s="26" t="n">
        <v>0.796317948935355</v>
      </c>
      <c r="U37" s="23" t="n">
        <v>0</v>
      </c>
      <c r="V37" s="26" t="n">
        <v>-0.06</v>
      </c>
      <c r="W37" s="26" t="n">
        <v>0.197951372039126</v>
      </c>
      <c r="X37" s="26" t="n">
        <v>0.237527562559444</v>
      </c>
      <c r="Y37" s="26" t="n">
        <v>0.0943216403724085</v>
      </c>
      <c r="Z37" s="26" t="n">
        <v>0.292637218967571</v>
      </c>
      <c r="AA37" s="26" t="n">
        <v>0.240131203622269</v>
      </c>
      <c r="AB37" s="26" t="n">
        <v>-0.126828301312786</v>
      </c>
      <c r="AC37" s="27" t="n">
        <v>1.48695091577581</v>
      </c>
      <c r="AD37" s="28" t="n">
        <f aca="false">Params!$B$6*Params!$B$7*$R37</f>
        <v>571.3061498</v>
      </c>
      <c r="AE37" s="29" t="n">
        <f aca="false">MIN(Params!$B$9,AD37/Params!$B$4)</f>
        <v>0.06</v>
      </c>
      <c r="AF37" s="29" t="n">
        <f aca="false">MIN(Params!$B$9,AD37/Params!$B$5)</f>
        <v>0.06</v>
      </c>
      <c r="AG37" s="28" t="n">
        <f aca="false">IF($R37&gt;0,Params!$B$9*Params!$B$4/(Params!$B$6*$R37),"n/a")</f>
        <v>0.157533749691836</v>
      </c>
      <c r="AH37" s="28" t="n">
        <f aca="false">IF($R37&gt;0,Params!$B$9*Params!$B$5/(Params!$B$6*$R37),"n/a")</f>
        <v>0.315067499383673</v>
      </c>
      <c r="AI37" s="28" t="n">
        <f aca="false">IF($R37&gt;0,Params!$B$15*Params!$B$4/(Params!$B$6*$R37),"n/a")</f>
        <v>0.0525112498972788</v>
      </c>
      <c r="AJ37" s="29" t="n">
        <f aca="false">MIN(Params!$B$9,AD37*Params!$B$8/Params!$B$4)</f>
        <v>0.06</v>
      </c>
      <c r="AK37" s="28" t="n">
        <f aca="false">IF($R37&gt;0,Params!$B$9*Params!$B$4/(Params!$B$6*$R37*Params!$B$8),"n/a")</f>
        <v>0.315067499383673</v>
      </c>
      <c r="AL37" s="27" t="str">
        <f aca="false">IFERROR(ciq($D37,"IQ_PE_EXCL"),"")</f>
        <v/>
      </c>
      <c r="AM37" s="27" t="str">
        <f aca="false">IFERROR(ciq($D37,"IQ_PE_EXCL_FWD_CIQ"),"")</f>
        <v/>
      </c>
      <c r="AN37" s="27" t="str">
        <f aca="false">IFERROR(ciq($D37,"IQ_PBV"),"")</f>
        <v/>
      </c>
      <c r="AO37" s="27" t="str">
        <f aca="false">IFERROR(ciq($D37,"IQ_TEV_EBITDA"),"")</f>
        <v/>
      </c>
      <c r="AP37" s="24" t="str">
        <f aca="false">IFERROR(ciq($D37,"IQ_RETURN_EQUITY"),"")</f>
        <v/>
      </c>
      <c r="AQ37" s="24" t="str">
        <f aca="false">IFERROR(ciq($D37,"IQ_RETURN_CAPITAL"),"")</f>
        <v/>
      </c>
      <c r="AR37" s="24" t="str">
        <f aca="false">IFERROR(ciq($D37,"IQ_TOTAL_REV_1YR_ANN_GROWTH"),"")</f>
        <v/>
      </c>
      <c r="AS37" s="24" t="str">
        <f aca="false">IFERROR(ciq($D37,"IQ_EPS_1YR_ANN_GROWTH"),"")</f>
        <v/>
      </c>
      <c r="AT37" s="24" t="str">
        <f aca="false">IFERROR(ciq($D37,"IQ_DIVIDEND_YIELD"),"")</f>
        <v/>
      </c>
      <c r="AU37" s="24" t="str">
        <f aca="false">IFERROR(ciq($D37,"IQ_NET_DEBT"),"")</f>
        <v/>
      </c>
    </row>
    <row r="38" customFormat="false" ht="15" hidden="false" customHeight="false" outlineLevel="0" collapsed="false">
      <c r="A38" s="8" t="s">
        <v>612</v>
      </c>
      <c r="B38" s="6" t="s">
        <v>613</v>
      </c>
      <c r="C38" s="8" t="s">
        <v>72</v>
      </c>
      <c r="D38" s="8" t="s">
        <v>614</v>
      </c>
      <c r="E38" s="8" t="s">
        <v>615</v>
      </c>
      <c r="F38" s="6" t="s">
        <v>616</v>
      </c>
      <c r="G38" s="8" t="s">
        <v>55</v>
      </c>
      <c r="H38" s="8" t="s">
        <v>66</v>
      </c>
      <c r="I38" s="8"/>
      <c r="J38" s="8"/>
      <c r="K38" s="8"/>
      <c r="L38" s="8" t="s">
        <v>241</v>
      </c>
      <c r="M38" s="23" t="n">
        <v>32450</v>
      </c>
      <c r="N38" s="23" t="n">
        <v>208317.3429865</v>
      </c>
      <c r="O38" s="23" t="n">
        <v>213356.76099095</v>
      </c>
      <c r="P38" s="24" t="n">
        <v>627.128572725</v>
      </c>
      <c r="Q38" s="24" t="n">
        <v>726.563579675</v>
      </c>
      <c r="R38" s="24" t="n">
        <v>627.128572725</v>
      </c>
      <c r="S38" s="25" t="n">
        <v>0.00301044821201296</v>
      </c>
      <c r="T38" s="26" t="n">
        <v>0.538294268334741</v>
      </c>
      <c r="U38" s="23" t="n">
        <v>0</v>
      </c>
      <c r="V38" s="26" t="n">
        <v>-0.06</v>
      </c>
      <c r="W38" s="26" t="n">
        <v>-0.0910516982668873</v>
      </c>
      <c r="X38" s="26" t="n">
        <v>-0.101360303933203</v>
      </c>
      <c r="Y38" s="26" t="n">
        <v>-0.323265819661735</v>
      </c>
      <c r="Z38" s="26" t="n">
        <v>-0.312701455864813</v>
      </c>
      <c r="AA38" s="26" t="n">
        <v>-0.152672627153492</v>
      </c>
      <c r="AB38" s="26" t="n">
        <v>-0.522205928554666</v>
      </c>
      <c r="AC38" s="27" t="n">
        <v>0.699297960872499</v>
      </c>
      <c r="AD38" s="28" t="n">
        <f aca="false">Params!$B$6*Params!$B$7*$R38</f>
        <v>376.277143635</v>
      </c>
      <c r="AE38" s="29" t="n">
        <f aca="false">MIN(Params!$B$9,AD38/Params!$B$4)</f>
        <v>0.06</v>
      </c>
      <c r="AF38" s="29" t="n">
        <f aca="false">MIN(Params!$B$9,AD38/Params!$B$5)</f>
        <v>0.06</v>
      </c>
      <c r="AG38" s="28" t="n">
        <f aca="false">IF($R38&gt;0,Params!$B$9*Params!$B$4/(Params!$B$6*$R38),"n/a")</f>
        <v>0.239185402362102</v>
      </c>
      <c r="AH38" s="28" t="n">
        <f aca="false">IF($R38&gt;0,Params!$B$9*Params!$B$5/(Params!$B$6*$R38),"n/a")</f>
        <v>0.478370804724204</v>
      </c>
      <c r="AI38" s="28" t="n">
        <f aca="false">IF($R38&gt;0,Params!$B$15*Params!$B$4/(Params!$B$6*$R38),"n/a")</f>
        <v>0.0797284674540341</v>
      </c>
      <c r="AJ38" s="29" t="n">
        <f aca="false">MIN(Params!$B$9,AD38*Params!$B$8/Params!$B$4)</f>
        <v>0.06</v>
      </c>
      <c r="AK38" s="28" t="n">
        <f aca="false">IF($R38&gt;0,Params!$B$9*Params!$B$4/(Params!$B$6*$R38*Params!$B$8),"n/a")</f>
        <v>0.478370804724204</v>
      </c>
      <c r="AL38" s="27" t="str">
        <f aca="false">IFERROR(ciq($D38,"IQ_PE_EXCL"),"")</f>
        <v/>
      </c>
      <c r="AM38" s="27" t="str">
        <f aca="false">IFERROR(ciq($D38,"IQ_PE_EXCL_FWD_CIQ"),"")</f>
        <v/>
      </c>
      <c r="AN38" s="27" t="str">
        <f aca="false">IFERROR(ciq($D38,"IQ_PBV"),"")</f>
        <v/>
      </c>
      <c r="AO38" s="27" t="str">
        <f aca="false">IFERROR(ciq($D38,"IQ_TEV_EBITDA"),"")</f>
        <v/>
      </c>
      <c r="AP38" s="24" t="str">
        <f aca="false">IFERROR(ciq($D38,"IQ_RETURN_EQUITY"),"")</f>
        <v/>
      </c>
      <c r="AQ38" s="24" t="str">
        <f aca="false">IFERROR(ciq($D38,"IQ_RETURN_CAPITAL"),"")</f>
        <v/>
      </c>
      <c r="AR38" s="24" t="str">
        <f aca="false">IFERROR(ciq($D38,"IQ_TOTAL_REV_1YR_ANN_GROWTH"),"")</f>
        <v/>
      </c>
      <c r="AS38" s="24" t="str">
        <f aca="false">IFERROR(ciq($D38,"IQ_EPS_1YR_ANN_GROWTH"),"")</f>
        <v/>
      </c>
      <c r="AT38" s="24" t="str">
        <f aca="false">IFERROR(ciq($D38,"IQ_DIVIDEND_YIELD"),"")</f>
        <v/>
      </c>
      <c r="AU38" s="24" t="str">
        <f aca="false">IFERROR(ciq($D38,"IQ_NET_DEBT"),"")</f>
        <v/>
      </c>
    </row>
    <row r="39" customFormat="false" ht="15" hidden="false" customHeight="false" outlineLevel="0" collapsed="false">
      <c r="A39" s="8" t="s">
        <v>194</v>
      </c>
      <c r="B39" s="8" t="s">
        <v>195</v>
      </c>
      <c r="C39" s="8" t="s">
        <v>72</v>
      </c>
      <c r="D39" s="8" t="s">
        <v>617</v>
      </c>
      <c r="E39" s="8" t="s">
        <v>618</v>
      </c>
      <c r="F39" s="6" t="s">
        <v>619</v>
      </c>
      <c r="G39" s="8" t="s">
        <v>55</v>
      </c>
      <c r="H39" s="8" t="s">
        <v>66</v>
      </c>
      <c r="I39" s="8" t="s">
        <v>508</v>
      </c>
      <c r="J39" s="6" t="s">
        <v>196</v>
      </c>
      <c r="K39" s="8" t="s">
        <v>197</v>
      </c>
      <c r="L39" s="8"/>
      <c r="M39" s="23" t="n">
        <v>287000</v>
      </c>
      <c r="N39" s="23" t="n">
        <v>202600.02441</v>
      </c>
      <c r="O39" s="23" t="n">
        <v>192099.41338875</v>
      </c>
      <c r="P39" s="24" t="n">
        <v>451.730975758</v>
      </c>
      <c r="Q39" s="24" t="n">
        <v>635.890066877667</v>
      </c>
      <c r="R39" s="24" t="n">
        <v>451.730975758</v>
      </c>
      <c r="S39" s="25" t="n">
        <v>0.00222966891081827</v>
      </c>
      <c r="T39" s="26" t="n">
        <v>0.700498682029755</v>
      </c>
      <c r="U39" s="23" t="n">
        <v>0</v>
      </c>
      <c r="V39" s="26" t="n">
        <v>-0.06</v>
      </c>
      <c r="W39" s="26" t="n">
        <v>0.123048323816574</v>
      </c>
      <c r="X39" s="26" t="n">
        <v>-0.127614599412042</v>
      </c>
      <c r="Y39" s="26" t="n">
        <v>-0.0901879918368471</v>
      </c>
      <c r="Z39" s="26" t="n">
        <v>-0.137879066096312</v>
      </c>
      <c r="AA39" s="26" t="n">
        <v>-0.0182199365294774</v>
      </c>
      <c r="AB39" s="26" t="n">
        <v>-0.331764421561926</v>
      </c>
      <c r="AC39" s="27" t="n">
        <v>0.467027436272834</v>
      </c>
      <c r="AD39" s="28" t="n">
        <f aca="false">Params!$B$6*Params!$B$7*$R39</f>
        <v>271.0385854548</v>
      </c>
      <c r="AE39" s="29" t="n">
        <f aca="false">MIN(Params!$B$9,AD39/Params!$B$4)</f>
        <v>0.06</v>
      </c>
      <c r="AF39" s="29" t="n">
        <f aca="false">MIN(Params!$B$9,AD39/Params!$B$5)</f>
        <v>0.06</v>
      </c>
      <c r="AG39" s="28" t="n">
        <f aca="false">IF($R39&gt;0,Params!$B$9*Params!$B$4/(Params!$B$6*$R39),"n/a")</f>
        <v>0.332056042312134</v>
      </c>
      <c r="AH39" s="28" t="n">
        <f aca="false">IF($R39&gt;0,Params!$B$9*Params!$B$5/(Params!$B$6*$R39),"n/a")</f>
        <v>0.664112084624268</v>
      </c>
      <c r="AI39" s="28" t="n">
        <f aca="false">IF($R39&gt;0,Params!$B$15*Params!$B$4/(Params!$B$6*$R39),"n/a")</f>
        <v>0.110685347437378</v>
      </c>
      <c r="AJ39" s="29" t="n">
        <f aca="false">MIN(Params!$B$9,AD39*Params!$B$8/Params!$B$4)</f>
        <v>0.06</v>
      </c>
      <c r="AK39" s="28" t="n">
        <f aca="false">IF($R39&gt;0,Params!$B$9*Params!$B$4/(Params!$B$6*$R39*Params!$B$8),"n/a")</f>
        <v>0.664112084624268</v>
      </c>
      <c r="AL39" s="27" t="str">
        <f aca="false">IFERROR(ciq($D39,"IQ_PE_EXCL"),"")</f>
        <v/>
      </c>
      <c r="AM39" s="27" t="str">
        <f aca="false">IFERROR(ciq($D39,"IQ_PE_EXCL_FWD_CIQ"),"")</f>
        <v/>
      </c>
      <c r="AN39" s="27" t="str">
        <f aca="false">IFERROR(ciq($D39,"IQ_PBV"),"")</f>
        <v/>
      </c>
      <c r="AO39" s="27" t="str">
        <f aca="false">IFERROR(ciq($D39,"IQ_TEV_EBITDA"),"")</f>
        <v/>
      </c>
      <c r="AP39" s="24" t="str">
        <f aca="false">IFERROR(ciq($D39,"IQ_RETURN_EQUITY"),"")</f>
        <v/>
      </c>
      <c r="AQ39" s="24" t="str">
        <f aca="false">IFERROR(ciq($D39,"IQ_RETURN_CAPITAL"),"")</f>
        <v/>
      </c>
      <c r="AR39" s="24" t="str">
        <f aca="false">IFERROR(ciq($D39,"IQ_TOTAL_REV_1YR_ANN_GROWTH"),"")</f>
        <v/>
      </c>
      <c r="AS39" s="24" t="str">
        <f aca="false">IFERROR(ciq($D39,"IQ_EPS_1YR_ANN_GROWTH"),"")</f>
        <v/>
      </c>
      <c r="AT39" s="24" t="str">
        <f aca="false">IFERROR(ciq($D39,"IQ_DIVIDEND_YIELD"),"")</f>
        <v/>
      </c>
      <c r="AU39" s="24" t="str">
        <f aca="false">IFERROR(ciq($D39,"IQ_NET_DEBT"),"")</f>
        <v/>
      </c>
    </row>
    <row r="40" customFormat="false" ht="15" hidden="false" customHeight="false" outlineLevel="0" collapsed="false">
      <c r="A40" s="8" t="s">
        <v>198</v>
      </c>
      <c r="B40" s="8" t="s">
        <v>199</v>
      </c>
      <c r="C40" s="8" t="s">
        <v>72</v>
      </c>
      <c r="D40" s="8" t="s">
        <v>620</v>
      </c>
      <c r="E40" s="8" t="s">
        <v>621</v>
      </c>
      <c r="F40" s="6" t="s">
        <v>622</v>
      </c>
      <c r="G40" s="8" t="s">
        <v>55</v>
      </c>
      <c r="H40" s="8" t="s">
        <v>66</v>
      </c>
      <c r="I40" s="8" t="s">
        <v>508</v>
      </c>
      <c r="J40" s="6" t="s">
        <v>200</v>
      </c>
      <c r="K40" s="6" t="s">
        <v>201</v>
      </c>
      <c r="L40" s="8"/>
      <c r="M40" s="23" t="n">
        <v>21350</v>
      </c>
      <c r="N40" s="23" t="n">
        <v>201381.306595</v>
      </c>
      <c r="O40" s="23" t="n">
        <v>203762.98246925</v>
      </c>
      <c r="P40" s="24" t="n">
        <v>335.4237573125</v>
      </c>
      <c r="Q40" s="24" t="n">
        <v>318.490142168333</v>
      </c>
      <c r="R40" s="24" t="n">
        <v>318.490142168333</v>
      </c>
      <c r="S40" s="25" t="n">
        <v>0.00166561516053262</v>
      </c>
      <c r="T40" s="26" t="n">
        <v>0.469932379556817</v>
      </c>
      <c r="U40" s="23" t="n">
        <v>0</v>
      </c>
      <c r="V40" s="26" t="n">
        <v>-0.06</v>
      </c>
      <c r="W40" s="26" t="n">
        <v>0.0117463999145613</v>
      </c>
      <c r="X40" s="26" t="n">
        <v>0.121903872787465</v>
      </c>
      <c r="Y40" s="26" t="n">
        <v>0.0168894372750668</v>
      </c>
      <c r="Z40" s="26" t="n">
        <v>0.041823406052411</v>
      </c>
      <c r="AA40" s="26" t="n">
        <v>-0.0484740765920836</v>
      </c>
      <c r="AB40" s="26" t="n">
        <v>-0.128355215749453</v>
      </c>
      <c r="AC40" s="27" t="n">
        <v>1.0792238293627</v>
      </c>
      <c r="AD40" s="28" t="n">
        <f aca="false">Params!$B$6*Params!$B$7*$R40</f>
        <v>191.094085301</v>
      </c>
      <c r="AE40" s="29" t="n">
        <f aca="false">MIN(Params!$B$9,AD40/Params!$B$4)</f>
        <v>0.06</v>
      </c>
      <c r="AF40" s="29" t="n">
        <f aca="false">MIN(Params!$B$9,AD40/Params!$B$5)</f>
        <v>0.06</v>
      </c>
      <c r="AG40" s="28" t="n">
        <f aca="false">IF($R40&gt;0,Params!$B$9*Params!$B$4/(Params!$B$6*$R40),"n/a")</f>
        <v>0.4709721907836</v>
      </c>
      <c r="AH40" s="28" t="n">
        <f aca="false">IF($R40&gt;0,Params!$B$9*Params!$B$5/(Params!$B$6*$R40),"n/a")</f>
        <v>0.941944381567199</v>
      </c>
      <c r="AI40" s="28" t="n">
        <f aca="false">IF($R40&gt;0,Params!$B$15*Params!$B$4/(Params!$B$6*$R40),"n/a")</f>
        <v>0.1569907302612</v>
      </c>
      <c r="AJ40" s="29" t="n">
        <f aca="false">MIN(Params!$B$9,AD40*Params!$B$8/Params!$B$4)</f>
        <v>0.06</v>
      </c>
      <c r="AK40" s="28" t="n">
        <f aca="false">IF($R40&gt;0,Params!$B$9*Params!$B$4/(Params!$B$6*$R40*Params!$B$8),"n/a")</f>
        <v>0.941944381567199</v>
      </c>
      <c r="AL40" s="27" t="str">
        <f aca="false">IFERROR(ciq($D40,"IQ_PE_EXCL"),"")</f>
        <v/>
      </c>
      <c r="AM40" s="27" t="str">
        <f aca="false">IFERROR(ciq($D40,"IQ_PE_EXCL_FWD_CIQ"),"")</f>
        <v/>
      </c>
      <c r="AN40" s="27" t="str">
        <f aca="false">IFERROR(ciq($D40,"IQ_PBV"),"")</f>
        <v/>
      </c>
      <c r="AO40" s="27" t="str">
        <f aca="false">IFERROR(ciq($D40,"IQ_TEV_EBITDA"),"")</f>
        <v/>
      </c>
      <c r="AP40" s="24" t="str">
        <f aca="false">IFERROR(ciq($D40,"IQ_RETURN_EQUITY"),"")</f>
        <v/>
      </c>
      <c r="AQ40" s="24" t="str">
        <f aca="false">IFERROR(ciq($D40,"IQ_RETURN_CAPITAL"),"")</f>
        <v/>
      </c>
      <c r="AR40" s="24" t="str">
        <f aca="false">IFERROR(ciq($D40,"IQ_TOTAL_REV_1YR_ANN_GROWTH"),"")</f>
        <v/>
      </c>
      <c r="AS40" s="24" t="str">
        <f aca="false">IFERROR(ciq($D40,"IQ_EPS_1YR_ANN_GROWTH"),"")</f>
        <v/>
      </c>
      <c r="AT40" s="24" t="str">
        <f aca="false">IFERROR(ciq($D40,"IQ_DIVIDEND_YIELD"),"")</f>
        <v/>
      </c>
      <c r="AU40" s="24" t="str">
        <f aca="false">IFERROR(ciq($D40,"IQ_NET_DEBT"),"")</f>
        <v/>
      </c>
    </row>
    <row r="41" customFormat="false" ht="15" hidden="false" customHeight="false" outlineLevel="0" collapsed="false">
      <c r="A41" s="8" t="s">
        <v>623</v>
      </c>
      <c r="B41" s="6" t="s">
        <v>624</v>
      </c>
      <c r="C41" s="8" t="s">
        <v>72</v>
      </c>
      <c r="D41" s="8" t="s">
        <v>625</v>
      </c>
      <c r="E41" s="8" t="s">
        <v>626</v>
      </c>
      <c r="F41" s="6" t="s">
        <v>627</v>
      </c>
      <c r="G41" s="8" t="s">
        <v>55</v>
      </c>
      <c r="H41" s="8" t="s">
        <v>66</v>
      </c>
      <c r="I41" s="8"/>
      <c r="J41" s="8"/>
      <c r="K41" s="8"/>
      <c r="L41" s="8" t="s">
        <v>514</v>
      </c>
      <c r="M41" s="23" t="n">
        <v>210500</v>
      </c>
      <c r="N41" s="23" t="n">
        <v>200632.181</v>
      </c>
      <c r="O41" s="23" t="n">
        <v>205864.82078</v>
      </c>
      <c r="P41" s="24" t="n">
        <v>1118.564953125</v>
      </c>
      <c r="Q41" s="24" t="n">
        <v>2474.3176629</v>
      </c>
      <c r="R41" s="24" t="n">
        <v>1118.564953125</v>
      </c>
      <c r="S41" s="25" t="n">
        <v>0.00557520208148961</v>
      </c>
      <c r="T41" s="26" t="n">
        <v>1.26473640036443</v>
      </c>
      <c r="U41" s="23" t="n">
        <v>2</v>
      </c>
      <c r="V41" s="26" t="n">
        <v>-0.04</v>
      </c>
      <c r="W41" s="26" t="n">
        <v>0.00721119433874229</v>
      </c>
      <c r="X41" s="26" t="n">
        <v>-0.238642021175347</v>
      </c>
      <c r="Y41" s="26" t="n">
        <v>-0.326559920233761</v>
      </c>
      <c r="Z41" s="26" t="n">
        <v>0.651673415346021</v>
      </c>
      <c r="AA41" s="26" t="n">
        <v>1.3641704598339</v>
      </c>
      <c r="AB41" s="26" t="n">
        <v>-0.485957279696789</v>
      </c>
      <c r="AC41" s="27" t="n">
        <v>0.37822384839371</v>
      </c>
      <c r="AD41" s="28" t="n">
        <f aca="false">Params!$B$6*Params!$B$7*$R41</f>
        <v>671.138971875</v>
      </c>
      <c r="AE41" s="29" t="n">
        <f aca="false">MIN(Params!$B$9,AD41/Params!$B$4)</f>
        <v>0.06</v>
      </c>
      <c r="AF41" s="29" t="n">
        <f aca="false">MIN(Params!$B$9,AD41/Params!$B$5)</f>
        <v>0.06</v>
      </c>
      <c r="AG41" s="28" t="n">
        <f aca="false">IF($R41&gt;0,Params!$B$9*Params!$B$4/(Params!$B$6*$R41),"n/a")</f>
        <v>0.134100393169781</v>
      </c>
      <c r="AH41" s="28" t="n">
        <f aca="false">IF($R41&gt;0,Params!$B$9*Params!$B$5/(Params!$B$6*$R41),"n/a")</f>
        <v>0.268200786339562</v>
      </c>
      <c r="AI41" s="28" t="n">
        <f aca="false">IF($R41&gt;0,Params!$B$15*Params!$B$4/(Params!$B$6*$R41),"n/a")</f>
        <v>0.0447001310565936</v>
      </c>
      <c r="AJ41" s="29" t="n">
        <f aca="false">MIN(Params!$B$9,AD41*Params!$B$8/Params!$B$4)</f>
        <v>0.06</v>
      </c>
      <c r="AK41" s="28" t="n">
        <f aca="false">IF($R41&gt;0,Params!$B$9*Params!$B$4/(Params!$B$6*$R41*Params!$B$8),"n/a")</f>
        <v>0.268200786339562</v>
      </c>
      <c r="AL41" s="27" t="str">
        <f aca="false">IFERROR(ciq($D41,"IQ_PE_EXCL"),"")</f>
        <v/>
      </c>
      <c r="AM41" s="27" t="str">
        <f aca="false">IFERROR(ciq($D41,"IQ_PE_EXCL_FWD_CIQ"),"")</f>
        <v/>
      </c>
      <c r="AN41" s="27" t="str">
        <f aca="false">IFERROR(ciq($D41,"IQ_PBV"),"")</f>
        <v/>
      </c>
      <c r="AO41" s="27" t="str">
        <f aca="false">IFERROR(ciq($D41,"IQ_TEV_EBITDA"),"")</f>
        <v/>
      </c>
      <c r="AP41" s="24" t="str">
        <f aca="false">IFERROR(ciq($D41,"IQ_RETURN_EQUITY"),"")</f>
        <v/>
      </c>
      <c r="AQ41" s="24" t="str">
        <f aca="false">IFERROR(ciq($D41,"IQ_RETURN_CAPITAL"),"")</f>
        <v/>
      </c>
      <c r="AR41" s="24" t="str">
        <f aca="false">IFERROR(ciq($D41,"IQ_TOTAL_REV_1YR_ANN_GROWTH"),"")</f>
        <v/>
      </c>
      <c r="AS41" s="24" t="str">
        <f aca="false">IFERROR(ciq($D41,"IQ_EPS_1YR_ANN_GROWTH"),"")</f>
        <v/>
      </c>
      <c r="AT41" s="24" t="str">
        <f aca="false">IFERROR(ciq($D41,"IQ_DIVIDEND_YIELD"),"")</f>
        <v/>
      </c>
      <c r="AU41" s="24" t="str">
        <f aca="false">IFERROR(ciq($D41,"IQ_NET_DEBT"),"")</f>
        <v/>
      </c>
    </row>
    <row r="42" customFormat="false" ht="15" hidden="false" customHeight="false" outlineLevel="0" collapsed="false">
      <c r="A42" s="8" t="s">
        <v>628</v>
      </c>
      <c r="B42" s="6" t="s">
        <v>629</v>
      </c>
      <c r="C42" s="8" t="s">
        <v>74</v>
      </c>
      <c r="D42" s="8" t="s">
        <v>630</v>
      </c>
      <c r="E42" s="8" t="s">
        <v>631</v>
      </c>
      <c r="F42" s="6" t="s">
        <v>632</v>
      </c>
      <c r="G42" s="8" t="s">
        <v>55</v>
      </c>
      <c r="H42" s="8" t="s">
        <v>66</v>
      </c>
      <c r="I42" s="8"/>
      <c r="J42" s="8"/>
      <c r="K42" s="8"/>
      <c r="L42" s="8"/>
      <c r="M42" s="23" t="n">
        <v>283000</v>
      </c>
      <c r="N42" s="23" t="n">
        <v>197124.02639</v>
      </c>
      <c r="O42" s="23" t="n">
        <v>184407.1342095</v>
      </c>
      <c r="P42" s="24" t="n">
        <v>2143.701426375</v>
      </c>
      <c r="Q42" s="24" t="n">
        <v>1781.45712358333</v>
      </c>
      <c r="R42" s="24" t="n">
        <v>1781.45712358333</v>
      </c>
      <c r="S42" s="25" t="n">
        <v>0.0108748865657492</v>
      </c>
      <c r="T42" s="26" t="n">
        <v>0.902330920825595</v>
      </c>
      <c r="U42" s="23" t="n">
        <v>0</v>
      </c>
      <c r="V42" s="26" t="n">
        <v>-0.06</v>
      </c>
      <c r="W42" s="26" t="n">
        <v>0.0218627141930476</v>
      </c>
      <c r="X42" s="26" t="n">
        <v>0.126994670909909</v>
      </c>
      <c r="Y42" s="26" t="n">
        <v>0.0218608793224637</v>
      </c>
      <c r="Z42" s="26" t="n">
        <v>-0.181566093093848</v>
      </c>
      <c r="AA42" s="26" t="n">
        <v>-0.160199082244659</v>
      </c>
      <c r="AB42" s="26" t="n">
        <v>-0.341932273554338</v>
      </c>
      <c r="AC42" s="27" t="n">
        <v>1.29991432087253</v>
      </c>
      <c r="AD42" s="28" t="n">
        <f aca="false">Params!$B$6*Params!$B$7*$R42</f>
        <v>1068.87427415</v>
      </c>
      <c r="AE42" s="29" t="n">
        <f aca="false">MIN(Params!$B$9,AD42/Params!$B$4)</f>
        <v>0.06</v>
      </c>
      <c r="AF42" s="29" t="n">
        <f aca="false">MIN(Params!$B$9,AD42/Params!$B$5)</f>
        <v>0.06</v>
      </c>
      <c r="AG42" s="28" t="n">
        <f aca="false">IF($R42&gt;0,Params!$B$9*Params!$B$4/(Params!$B$6*$R42),"n/a")</f>
        <v>0.0842007354621484</v>
      </c>
      <c r="AH42" s="28" t="n">
        <f aca="false">IF($R42&gt;0,Params!$B$9*Params!$B$5/(Params!$B$6*$R42),"n/a")</f>
        <v>0.168401470924297</v>
      </c>
      <c r="AI42" s="28" t="n">
        <f aca="false">IF($R42&gt;0,Params!$B$15*Params!$B$4/(Params!$B$6*$R42),"n/a")</f>
        <v>0.0280669118207161</v>
      </c>
      <c r="AJ42" s="29" t="n">
        <f aca="false">MIN(Params!$B$9,AD42*Params!$B$8/Params!$B$4)</f>
        <v>0.06</v>
      </c>
      <c r="AK42" s="28" t="n">
        <f aca="false">IF($R42&gt;0,Params!$B$9*Params!$B$4/(Params!$B$6*$R42*Params!$B$8),"n/a")</f>
        <v>0.168401470924297</v>
      </c>
      <c r="AL42" s="27" t="str">
        <f aca="false">IFERROR(ciq($D42,"IQ_PE_EXCL"),"")</f>
        <v/>
      </c>
      <c r="AM42" s="27" t="str">
        <f aca="false">IFERROR(ciq($D42,"IQ_PE_EXCL_FWD_CIQ"),"")</f>
        <v/>
      </c>
      <c r="AN42" s="27" t="str">
        <f aca="false">IFERROR(ciq($D42,"IQ_PBV"),"")</f>
        <v/>
      </c>
      <c r="AO42" s="27" t="str">
        <f aca="false">IFERROR(ciq($D42,"IQ_TEV_EBITDA"),"")</f>
        <v/>
      </c>
      <c r="AP42" s="24" t="str">
        <f aca="false">IFERROR(ciq($D42,"IQ_RETURN_EQUITY"),"")</f>
        <v/>
      </c>
      <c r="AQ42" s="24" t="str">
        <f aca="false">IFERROR(ciq($D42,"IQ_RETURN_CAPITAL"),"")</f>
        <v/>
      </c>
      <c r="AR42" s="24" t="str">
        <f aca="false">IFERROR(ciq($D42,"IQ_TOTAL_REV_1YR_ANN_GROWTH"),"")</f>
        <v/>
      </c>
      <c r="AS42" s="24" t="str">
        <f aca="false">IFERROR(ciq($D42,"IQ_EPS_1YR_ANN_GROWTH"),"")</f>
        <v/>
      </c>
      <c r="AT42" s="24" t="str">
        <f aca="false">IFERROR(ciq($D42,"IQ_DIVIDEND_YIELD"),"")</f>
        <v/>
      </c>
      <c r="AU42" s="24" t="str">
        <f aca="false">IFERROR(ciq($D42,"IQ_NET_DEBT"),"")</f>
        <v/>
      </c>
    </row>
    <row r="43" customFormat="false" ht="15" hidden="false" customHeight="false" outlineLevel="0" collapsed="false">
      <c r="A43" s="8" t="s">
        <v>202</v>
      </c>
      <c r="B43" s="8" t="s">
        <v>203</v>
      </c>
      <c r="C43" s="8" t="s">
        <v>72</v>
      </c>
      <c r="D43" s="8" t="s">
        <v>633</v>
      </c>
      <c r="E43" s="8" t="s">
        <v>634</v>
      </c>
      <c r="F43" s="6" t="s">
        <v>635</v>
      </c>
      <c r="G43" s="8" t="s">
        <v>55</v>
      </c>
      <c r="H43" s="8" t="s">
        <v>66</v>
      </c>
      <c r="I43" s="8" t="s">
        <v>508</v>
      </c>
      <c r="J43" s="6" t="s">
        <v>204</v>
      </c>
      <c r="K43" s="6" t="s">
        <v>205</v>
      </c>
      <c r="L43" s="8"/>
      <c r="M43" s="23" t="n">
        <v>89000</v>
      </c>
      <c r="N43" s="23" t="n">
        <v>191163.14717</v>
      </c>
      <c r="O43" s="23" t="n">
        <v>203406.180191</v>
      </c>
      <c r="P43" s="24" t="n">
        <v>1427.9187611</v>
      </c>
      <c r="Q43" s="24" t="n">
        <v>1359.64529799167</v>
      </c>
      <c r="R43" s="24" t="n">
        <v>1359.64529799167</v>
      </c>
      <c r="S43" s="25" t="n">
        <v>0.00746963409129356</v>
      </c>
      <c r="T43" s="26" t="n">
        <v>0.664454393124444</v>
      </c>
      <c r="U43" s="23" t="n">
        <v>1</v>
      </c>
      <c r="V43" s="26" t="n">
        <v>-0.06</v>
      </c>
      <c r="W43" s="26" t="n">
        <v>-0.0428145172381066</v>
      </c>
      <c r="X43" s="26" t="n">
        <v>-0.176468945233209</v>
      </c>
      <c r="Y43" s="26" t="n">
        <v>0.142594945044715</v>
      </c>
      <c r="Z43" s="26" t="n">
        <v>0.663522170836363</v>
      </c>
      <c r="AA43" s="26" t="n">
        <v>0.612005296545265</v>
      </c>
      <c r="AB43" s="26" t="n">
        <v>-0.289014754212151</v>
      </c>
      <c r="AC43" s="27" t="n">
        <v>1.06222250375415</v>
      </c>
      <c r="AD43" s="28" t="n">
        <f aca="false">Params!$B$6*Params!$B$7*$R43</f>
        <v>815.787178795</v>
      </c>
      <c r="AE43" s="29" t="n">
        <f aca="false">MIN(Params!$B$9,AD43/Params!$B$4)</f>
        <v>0.06</v>
      </c>
      <c r="AF43" s="29" t="n">
        <f aca="false">MIN(Params!$B$9,AD43/Params!$B$5)</f>
        <v>0.06</v>
      </c>
      <c r="AG43" s="28" t="n">
        <f aca="false">IF($R43&gt;0,Params!$B$9*Params!$B$4/(Params!$B$6*$R43),"n/a")</f>
        <v>0.110322890993383</v>
      </c>
      <c r="AH43" s="28" t="n">
        <f aca="false">IF($R43&gt;0,Params!$B$9*Params!$B$5/(Params!$B$6*$R43),"n/a")</f>
        <v>0.220645781986765</v>
      </c>
      <c r="AI43" s="28" t="n">
        <f aca="false">IF($R43&gt;0,Params!$B$15*Params!$B$4/(Params!$B$6*$R43),"n/a")</f>
        <v>0.0367742969977942</v>
      </c>
      <c r="AJ43" s="29" t="n">
        <f aca="false">MIN(Params!$B$9,AD43*Params!$B$8/Params!$B$4)</f>
        <v>0.06</v>
      </c>
      <c r="AK43" s="28" t="n">
        <f aca="false">IF($R43&gt;0,Params!$B$9*Params!$B$4/(Params!$B$6*$R43*Params!$B$8),"n/a")</f>
        <v>0.220645781986765</v>
      </c>
      <c r="AL43" s="27" t="str">
        <f aca="false">IFERROR(ciq($D43,"IQ_PE_EXCL"),"")</f>
        <v/>
      </c>
      <c r="AM43" s="27" t="str">
        <f aca="false">IFERROR(ciq($D43,"IQ_PE_EXCL_FWD_CIQ"),"")</f>
        <v/>
      </c>
      <c r="AN43" s="27" t="str">
        <f aca="false">IFERROR(ciq($D43,"IQ_PBV"),"")</f>
        <v/>
      </c>
      <c r="AO43" s="27" t="str">
        <f aca="false">IFERROR(ciq($D43,"IQ_TEV_EBITDA"),"")</f>
        <v/>
      </c>
      <c r="AP43" s="24" t="str">
        <f aca="false">IFERROR(ciq($D43,"IQ_RETURN_EQUITY"),"")</f>
        <v/>
      </c>
      <c r="AQ43" s="24" t="str">
        <f aca="false">IFERROR(ciq($D43,"IQ_RETURN_CAPITAL"),"")</f>
        <v/>
      </c>
      <c r="AR43" s="24" t="str">
        <f aca="false">IFERROR(ciq($D43,"IQ_TOTAL_REV_1YR_ANN_GROWTH"),"")</f>
        <v/>
      </c>
      <c r="AS43" s="24" t="str">
        <f aca="false">IFERROR(ciq($D43,"IQ_EPS_1YR_ANN_GROWTH"),"")</f>
        <v/>
      </c>
      <c r="AT43" s="24" t="str">
        <f aca="false">IFERROR(ciq($D43,"IQ_DIVIDEND_YIELD"),"")</f>
        <v/>
      </c>
      <c r="AU43" s="24" t="str">
        <f aca="false">IFERROR(ciq($D43,"IQ_NET_DEBT"),"")</f>
        <v/>
      </c>
    </row>
    <row r="44" customFormat="false" ht="15" hidden="false" customHeight="false" outlineLevel="0" collapsed="false">
      <c r="A44" s="8" t="s">
        <v>636</v>
      </c>
      <c r="B44" s="6" t="s">
        <v>637</v>
      </c>
      <c r="C44" s="8" t="s">
        <v>72</v>
      </c>
      <c r="D44" s="8" t="s">
        <v>638</v>
      </c>
      <c r="E44" s="8" t="s">
        <v>639</v>
      </c>
      <c r="F44" s="6" t="s">
        <v>592</v>
      </c>
      <c r="G44" s="8" t="s">
        <v>55</v>
      </c>
      <c r="H44" s="8" t="s">
        <v>66</v>
      </c>
      <c r="I44" s="8"/>
      <c r="J44" s="8"/>
      <c r="K44" s="8"/>
      <c r="L44" s="8"/>
      <c r="M44" s="23" t="n">
        <v>21650</v>
      </c>
      <c r="N44" s="23" t="n">
        <v>190520</v>
      </c>
      <c r="O44" s="23" t="n">
        <v>186709.6</v>
      </c>
      <c r="P44" s="24" t="n">
        <v>565.6391731325</v>
      </c>
      <c r="Q44" s="24" t="n">
        <v>861.136012535833</v>
      </c>
      <c r="R44" s="24" t="n">
        <v>565.6391731325</v>
      </c>
      <c r="S44" s="25" t="n">
        <v>0.00296892280670008</v>
      </c>
      <c r="T44" s="26" t="n">
        <v>0.632302056223989</v>
      </c>
      <c r="U44" s="23" t="n">
        <v>0</v>
      </c>
      <c r="V44" s="26" t="n">
        <v>-0.06</v>
      </c>
      <c r="W44" s="26" t="n">
        <v>-0.0249703715249704</v>
      </c>
      <c r="X44" s="26" t="n">
        <v>-0.162667432232394</v>
      </c>
      <c r="Y44" s="26" t="n">
        <v>-0.248126564071623</v>
      </c>
      <c r="Z44" s="26" t="n">
        <v>-0.101312908915125</v>
      </c>
      <c r="AA44" s="26" t="n">
        <v>0.0830804117582022</v>
      </c>
      <c r="AB44" s="26" t="n">
        <v>-0.370703820873606</v>
      </c>
      <c r="AC44" s="27" t="n">
        <v>0.398984897579302</v>
      </c>
      <c r="AD44" s="28" t="n">
        <f aca="false">Params!$B$6*Params!$B$7*$R44</f>
        <v>339.3835038795</v>
      </c>
      <c r="AE44" s="29" t="n">
        <f aca="false">MIN(Params!$B$9,AD44/Params!$B$4)</f>
        <v>0.06</v>
      </c>
      <c r="AF44" s="29" t="n">
        <f aca="false">MIN(Params!$B$9,AD44/Params!$B$5)</f>
        <v>0.06</v>
      </c>
      <c r="AG44" s="28" t="n">
        <f aca="false">IF($R44&gt;0,Params!$B$9*Params!$B$4/(Params!$B$6*$R44),"n/a")</f>
        <v>0.26518672525685</v>
      </c>
      <c r="AH44" s="28" t="n">
        <f aca="false">IF($R44&gt;0,Params!$B$9*Params!$B$5/(Params!$B$6*$R44),"n/a")</f>
        <v>0.5303734505137</v>
      </c>
      <c r="AI44" s="28" t="n">
        <f aca="false">IF($R44&gt;0,Params!$B$15*Params!$B$4/(Params!$B$6*$R44),"n/a")</f>
        <v>0.0883955750856166</v>
      </c>
      <c r="AJ44" s="29" t="n">
        <f aca="false">MIN(Params!$B$9,AD44*Params!$B$8/Params!$B$4)</f>
        <v>0.06</v>
      </c>
      <c r="AK44" s="28" t="n">
        <f aca="false">IF($R44&gt;0,Params!$B$9*Params!$B$4/(Params!$B$6*$R44*Params!$B$8),"n/a")</f>
        <v>0.5303734505137</v>
      </c>
      <c r="AL44" s="27" t="str">
        <f aca="false">IFERROR(ciq($D44,"IQ_PE_EXCL"),"")</f>
        <v/>
      </c>
      <c r="AM44" s="27" t="str">
        <f aca="false">IFERROR(ciq($D44,"IQ_PE_EXCL_FWD_CIQ"),"")</f>
        <v/>
      </c>
      <c r="AN44" s="27" t="str">
        <f aca="false">IFERROR(ciq($D44,"IQ_PBV"),"")</f>
        <v/>
      </c>
      <c r="AO44" s="27" t="str">
        <f aca="false">IFERROR(ciq($D44,"IQ_TEV_EBITDA"),"")</f>
        <v/>
      </c>
      <c r="AP44" s="24" t="str">
        <f aca="false">IFERROR(ciq($D44,"IQ_RETURN_EQUITY"),"")</f>
        <v/>
      </c>
      <c r="AQ44" s="24" t="str">
        <f aca="false">IFERROR(ciq($D44,"IQ_RETURN_CAPITAL"),"")</f>
        <v/>
      </c>
      <c r="AR44" s="24" t="str">
        <f aca="false">IFERROR(ciq($D44,"IQ_TOTAL_REV_1YR_ANN_GROWTH"),"")</f>
        <v/>
      </c>
      <c r="AS44" s="24" t="str">
        <f aca="false">IFERROR(ciq($D44,"IQ_EPS_1YR_ANN_GROWTH"),"")</f>
        <v/>
      </c>
      <c r="AT44" s="24" t="str">
        <f aca="false">IFERROR(ciq($D44,"IQ_DIVIDEND_YIELD"),"")</f>
        <v/>
      </c>
      <c r="AU44" s="24" t="str">
        <f aca="false">IFERROR(ciq($D44,"IQ_NET_DEBT"),"")</f>
        <v/>
      </c>
    </row>
    <row r="45" customFormat="false" ht="15" hidden="false" customHeight="false" outlineLevel="0" collapsed="false">
      <c r="A45" s="8" t="s">
        <v>206</v>
      </c>
      <c r="B45" s="6" t="s">
        <v>207</v>
      </c>
      <c r="C45" s="8" t="s">
        <v>72</v>
      </c>
      <c r="D45" s="8" t="s">
        <v>640</v>
      </c>
      <c r="E45" s="8" t="s">
        <v>641</v>
      </c>
      <c r="F45" s="6" t="s">
        <v>642</v>
      </c>
      <c r="G45" s="8" t="s">
        <v>55</v>
      </c>
      <c r="H45" s="8" t="s">
        <v>66</v>
      </c>
      <c r="I45" s="8" t="s">
        <v>508</v>
      </c>
      <c r="J45" s="6" t="s">
        <v>208</v>
      </c>
      <c r="K45" s="6" t="s">
        <v>209</v>
      </c>
      <c r="L45" s="8"/>
      <c r="M45" s="23" t="n">
        <v>1125000</v>
      </c>
      <c r="N45" s="23" t="n">
        <v>182180.64375</v>
      </c>
      <c r="O45" s="23" t="n">
        <v>192811.8964275</v>
      </c>
      <c r="P45" s="24" t="n">
        <v>674.278294322</v>
      </c>
      <c r="Q45" s="24" t="n">
        <v>1058.66152560733</v>
      </c>
      <c r="R45" s="24" t="n">
        <v>674.278294322</v>
      </c>
      <c r="S45" s="25" t="n">
        <v>0.00370115222145821</v>
      </c>
      <c r="T45" s="26" t="n">
        <v>1.10502072769884</v>
      </c>
      <c r="U45" s="23" t="n">
        <v>1</v>
      </c>
      <c r="V45" s="26" t="n">
        <v>-0.06</v>
      </c>
      <c r="W45" s="26" t="n">
        <v>-0.107063877378897</v>
      </c>
      <c r="X45" s="26" t="n">
        <v>-0.281461158437443</v>
      </c>
      <c r="Y45" s="26" t="n">
        <v>0.0220339167596235</v>
      </c>
      <c r="Z45" s="26" t="n">
        <v>0.440816151977957</v>
      </c>
      <c r="AA45" s="26" t="n">
        <v>0.963673449753397</v>
      </c>
      <c r="AB45" s="26" t="n">
        <v>-0.489211553596597</v>
      </c>
      <c r="AC45" s="27" t="n">
        <v>0.548693471870096</v>
      </c>
      <c r="AD45" s="28" t="n">
        <f aca="false">Params!$B$6*Params!$B$7*$R45</f>
        <v>404.5669765932</v>
      </c>
      <c r="AE45" s="29" t="n">
        <f aca="false">MIN(Params!$B$9,AD45/Params!$B$4)</f>
        <v>0.06</v>
      </c>
      <c r="AF45" s="29" t="n">
        <f aca="false">MIN(Params!$B$9,AD45/Params!$B$5)</f>
        <v>0.06</v>
      </c>
      <c r="AG45" s="28" t="n">
        <f aca="false">IF($R45&gt;0,Params!$B$9*Params!$B$4/(Params!$B$6*$R45),"n/a")</f>
        <v>0.222460075110126</v>
      </c>
      <c r="AH45" s="28" t="n">
        <f aca="false">IF($R45&gt;0,Params!$B$9*Params!$B$5/(Params!$B$6*$R45),"n/a")</f>
        <v>0.444920150220253</v>
      </c>
      <c r="AI45" s="28" t="n">
        <f aca="false">IF($R45&gt;0,Params!$B$15*Params!$B$4/(Params!$B$6*$R45),"n/a")</f>
        <v>0.0741533583700421</v>
      </c>
      <c r="AJ45" s="29" t="n">
        <f aca="false">MIN(Params!$B$9,AD45*Params!$B$8/Params!$B$4)</f>
        <v>0.06</v>
      </c>
      <c r="AK45" s="28" t="n">
        <f aca="false">IF($R45&gt;0,Params!$B$9*Params!$B$4/(Params!$B$6*$R45*Params!$B$8),"n/a")</f>
        <v>0.444920150220253</v>
      </c>
      <c r="AL45" s="27" t="str">
        <f aca="false">IFERROR(ciq($D45,"IQ_PE_EXCL"),"")</f>
        <v/>
      </c>
      <c r="AM45" s="27" t="str">
        <f aca="false">IFERROR(ciq($D45,"IQ_PE_EXCL_FWD_CIQ"),"")</f>
        <v/>
      </c>
      <c r="AN45" s="27" t="str">
        <f aca="false">IFERROR(ciq($D45,"IQ_PBV"),"")</f>
        <v/>
      </c>
      <c r="AO45" s="27" t="str">
        <f aca="false">IFERROR(ciq($D45,"IQ_TEV_EBITDA"),"")</f>
        <v/>
      </c>
      <c r="AP45" s="24" t="str">
        <f aca="false">IFERROR(ciq($D45,"IQ_RETURN_EQUITY"),"")</f>
        <v/>
      </c>
      <c r="AQ45" s="24" t="str">
        <f aca="false">IFERROR(ciq($D45,"IQ_RETURN_CAPITAL"),"")</f>
        <v/>
      </c>
      <c r="AR45" s="24" t="str">
        <f aca="false">IFERROR(ciq($D45,"IQ_TOTAL_REV_1YR_ANN_GROWTH"),"")</f>
        <v/>
      </c>
      <c r="AS45" s="24" t="str">
        <f aca="false">IFERROR(ciq($D45,"IQ_EPS_1YR_ANN_GROWTH"),"")</f>
        <v/>
      </c>
      <c r="AT45" s="24" t="str">
        <f aca="false">IFERROR(ciq($D45,"IQ_DIVIDEND_YIELD"),"")</f>
        <v/>
      </c>
      <c r="AU45" s="24" t="str">
        <f aca="false">IFERROR(ciq($D45,"IQ_NET_DEBT"),"")</f>
        <v/>
      </c>
    </row>
    <row r="46" customFormat="false" ht="15" hidden="false" customHeight="false" outlineLevel="0" collapsed="false">
      <c r="A46" s="8" t="s">
        <v>210</v>
      </c>
      <c r="B46" s="8" t="s">
        <v>211</v>
      </c>
      <c r="C46" s="8" t="s">
        <v>72</v>
      </c>
      <c r="D46" s="8" t="s">
        <v>643</v>
      </c>
      <c r="E46" s="8" t="s">
        <v>644</v>
      </c>
      <c r="F46" s="6" t="s">
        <v>645</v>
      </c>
      <c r="G46" s="8" t="s">
        <v>55</v>
      </c>
      <c r="H46" s="8" t="s">
        <v>66</v>
      </c>
      <c r="I46" s="8" t="s">
        <v>508</v>
      </c>
      <c r="J46" s="6" t="s">
        <v>212</v>
      </c>
      <c r="K46" s="8" t="s">
        <v>213</v>
      </c>
      <c r="L46" s="8"/>
      <c r="M46" s="23" t="n">
        <v>174700</v>
      </c>
      <c r="N46" s="23" t="n">
        <v>181356.866632</v>
      </c>
      <c r="O46" s="23" t="n">
        <v>183578.4103904</v>
      </c>
      <c r="P46" s="24" t="n">
        <v>456.4828708725</v>
      </c>
      <c r="Q46" s="24" t="n">
        <v>510.745934008</v>
      </c>
      <c r="R46" s="24" t="n">
        <v>456.4828708725</v>
      </c>
      <c r="S46" s="25" t="n">
        <v>0.00251704211343027</v>
      </c>
      <c r="T46" s="26" t="n">
        <v>0.320398991460356</v>
      </c>
      <c r="U46" s="23" t="n">
        <v>0</v>
      </c>
      <c r="V46" s="26" t="n">
        <v>-0.06</v>
      </c>
      <c r="W46" s="26" t="n">
        <v>-0.0073625148598454</v>
      </c>
      <c r="X46" s="26" t="n">
        <v>-0.0520666275245492</v>
      </c>
      <c r="Y46" s="26" t="n">
        <v>0.130001593780914</v>
      </c>
      <c r="Z46" s="26" t="n">
        <v>0.229524983011557</v>
      </c>
      <c r="AA46" s="26" t="n">
        <v>0.266952305032387</v>
      </c>
      <c r="AB46" s="26" t="n">
        <v>-0.0756826972608879</v>
      </c>
      <c r="AC46" s="27" t="n">
        <v>0.886066242815721</v>
      </c>
      <c r="AD46" s="28" t="n">
        <f aca="false">Params!$B$6*Params!$B$7*$R46</f>
        <v>273.8897225235</v>
      </c>
      <c r="AE46" s="29" t="n">
        <f aca="false">MIN(Params!$B$9,AD46/Params!$B$4)</f>
        <v>0.06</v>
      </c>
      <c r="AF46" s="29" t="n">
        <f aca="false">MIN(Params!$B$9,AD46/Params!$B$5)</f>
        <v>0.06</v>
      </c>
      <c r="AG46" s="28" t="n">
        <f aca="false">IF($R46&gt;0,Params!$B$9*Params!$B$4/(Params!$B$6*$R46),"n/a")</f>
        <v>0.328599405522702</v>
      </c>
      <c r="AH46" s="28" t="n">
        <f aca="false">IF($R46&gt;0,Params!$B$9*Params!$B$5/(Params!$B$6*$R46),"n/a")</f>
        <v>0.657198811045405</v>
      </c>
      <c r="AI46" s="28" t="n">
        <f aca="false">IF($R46&gt;0,Params!$B$15*Params!$B$4/(Params!$B$6*$R46),"n/a")</f>
        <v>0.109533135174234</v>
      </c>
      <c r="AJ46" s="29" t="n">
        <f aca="false">MIN(Params!$B$9,AD46*Params!$B$8/Params!$B$4)</f>
        <v>0.06</v>
      </c>
      <c r="AK46" s="28" t="n">
        <f aca="false">IF($R46&gt;0,Params!$B$9*Params!$B$4/(Params!$B$6*$R46*Params!$B$8),"n/a")</f>
        <v>0.657198811045405</v>
      </c>
      <c r="AL46" s="27" t="str">
        <f aca="false">IFERROR(ciq($D46,"IQ_PE_EXCL"),"")</f>
        <v/>
      </c>
      <c r="AM46" s="27" t="str">
        <f aca="false">IFERROR(ciq($D46,"IQ_PE_EXCL_FWD_CIQ"),"")</f>
        <v/>
      </c>
      <c r="AN46" s="27" t="str">
        <f aca="false">IFERROR(ciq($D46,"IQ_PBV"),"")</f>
        <v/>
      </c>
      <c r="AO46" s="27" t="str">
        <f aca="false">IFERROR(ciq($D46,"IQ_TEV_EBITDA"),"")</f>
        <v/>
      </c>
      <c r="AP46" s="24" t="str">
        <f aca="false">IFERROR(ciq($D46,"IQ_RETURN_EQUITY"),"")</f>
        <v/>
      </c>
      <c r="AQ46" s="24" t="str">
        <f aca="false">IFERROR(ciq($D46,"IQ_RETURN_CAPITAL"),"")</f>
        <v/>
      </c>
      <c r="AR46" s="24" t="str">
        <f aca="false">IFERROR(ciq($D46,"IQ_TOTAL_REV_1YR_ANN_GROWTH"),"")</f>
        <v/>
      </c>
      <c r="AS46" s="24" t="str">
        <f aca="false">IFERROR(ciq($D46,"IQ_EPS_1YR_ANN_GROWTH"),"")</f>
        <v/>
      </c>
      <c r="AT46" s="24" t="str">
        <f aca="false">IFERROR(ciq($D46,"IQ_DIVIDEND_YIELD"),"")</f>
        <v/>
      </c>
      <c r="AU46" s="24" t="str">
        <f aca="false">IFERROR(ciq($D46,"IQ_NET_DEBT"),"")</f>
        <v/>
      </c>
    </row>
    <row r="47" customFormat="false" ht="15" hidden="false" customHeight="false" outlineLevel="0" collapsed="false">
      <c r="A47" s="8" t="s">
        <v>646</v>
      </c>
      <c r="B47" s="6" t="s">
        <v>647</v>
      </c>
      <c r="C47" s="8" t="s">
        <v>72</v>
      </c>
      <c r="D47" s="8" t="s">
        <v>648</v>
      </c>
      <c r="E47" s="8" t="s">
        <v>649</v>
      </c>
      <c r="F47" s="6" t="s">
        <v>650</v>
      </c>
      <c r="G47" s="8" t="s">
        <v>55</v>
      </c>
      <c r="H47" s="8" t="s">
        <v>66</v>
      </c>
      <c r="I47" s="8"/>
      <c r="J47" s="8"/>
      <c r="K47" s="8"/>
      <c r="L47" s="8" t="s">
        <v>241</v>
      </c>
      <c r="M47" s="23" t="n">
        <v>33200</v>
      </c>
      <c r="N47" s="23" t="n">
        <v>180282.988932</v>
      </c>
      <c r="O47" s="23" t="n">
        <v>196076.780306825</v>
      </c>
      <c r="P47" s="24" t="n">
        <v>481.588427475</v>
      </c>
      <c r="Q47" s="24" t="n">
        <v>933.349122720833</v>
      </c>
      <c r="R47" s="24" t="n">
        <v>481.588427475</v>
      </c>
      <c r="S47" s="25" t="n">
        <v>0.00267129156404572</v>
      </c>
      <c r="T47" s="26" t="n">
        <v>0.746735319795782</v>
      </c>
      <c r="U47" s="23" t="n">
        <v>0</v>
      </c>
      <c r="V47" s="26" t="n">
        <v>-0.06</v>
      </c>
      <c r="W47" s="26" t="n">
        <v>-0.0566644467410419</v>
      </c>
      <c r="X47" s="26" t="n">
        <v>-0.355172758721149</v>
      </c>
      <c r="Y47" s="26" t="n">
        <v>-0.532734900658536</v>
      </c>
      <c r="Z47" s="26" t="n">
        <v>0.428468900757606</v>
      </c>
      <c r="AA47" s="26" t="n">
        <v>0.822119886100064</v>
      </c>
      <c r="AB47" s="26" t="n">
        <v>-0.603705295217604</v>
      </c>
      <c r="AC47" s="27" t="n">
        <v>0.280969457524651</v>
      </c>
      <c r="AD47" s="28" t="n">
        <f aca="false">Params!$B$6*Params!$B$7*$R47</f>
        <v>288.953056485</v>
      </c>
      <c r="AE47" s="29" t="n">
        <f aca="false">MIN(Params!$B$9,AD47/Params!$B$4)</f>
        <v>0.06</v>
      </c>
      <c r="AF47" s="29" t="n">
        <f aca="false">MIN(Params!$B$9,AD47/Params!$B$5)</f>
        <v>0.06</v>
      </c>
      <c r="AG47" s="28" t="n">
        <f aca="false">IF($R47&gt;0,Params!$B$9*Params!$B$4/(Params!$B$6*$R47),"n/a")</f>
        <v>0.311469278417797</v>
      </c>
      <c r="AH47" s="28" t="n">
        <f aca="false">IF($R47&gt;0,Params!$B$9*Params!$B$5/(Params!$B$6*$R47),"n/a")</f>
        <v>0.622938556835595</v>
      </c>
      <c r="AI47" s="28" t="n">
        <f aca="false">IF($R47&gt;0,Params!$B$15*Params!$B$4/(Params!$B$6*$R47),"n/a")</f>
        <v>0.103823092805932</v>
      </c>
      <c r="AJ47" s="29" t="n">
        <f aca="false">MIN(Params!$B$9,AD47*Params!$B$8/Params!$B$4)</f>
        <v>0.06</v>
      </c>
      <c r="AK47" s="28" t="n">
        <f aca="false">IF($R47&gt;0,Params!$B$9*Params!$B$4/(Params!$B$6*$R47*Params!$B$8),"n/a")</f>
        <v>0.622938556835595</v>
      </c>
      <c r="AL47" s="27" t="str">
        <f aca="false">IFERROR(ciq($D47,"IQ_PE_EXCL"),"")</f>
        <v/>
      </c>
      <c r="AM47" s="27" t="str">
        <f aca="false">IFERROR(ciq($D47,"IQ_PE_EXCL_FWD_CIQ"),"")</f>
        <v/>
      </c>
      <c r="AN47" s="27" t="str">
        <f aca="false">IFERROR(ciq($D47,"IQ_PBV"),"")</f>
        <v/>
      </c>
      <c r="AO47" s="27" t="str">
        <f aca="false">IFERROR(ciq($D47,"IQ_TEV_EBITDA"),"")</f>
        <v/>
      </c>
      <c r="AP47" s="24" t="str">
        <f aca="false">IFERROR(ciq($D47,"IQ_RETURN_EQUITY"),"")</f>
        <v/>
      </c>
      <c r="AQ47" s="24" t="str">
        <f aca="false">IFERROR(ciq($D47,"IQ_RETURN_CAPITAL"),"")</f>
        <v/>
      </c>
      <c r="AR47" s="24" t="str">
        <f aca="false">IFERROR(ciq($D47,"IQ_TOTAL_REV_1YR_ANN_GROWTH"),"")</f>
        <v/>
      </c>
      <c r="AS47" s="24" t="str">
        <f aca="false">IFERROR(ciq($D47,"IQ_EPS_1YR_ANN_GROWTH"),"")</f>
        <v/>
      </c>
      <c r="AT47" s="24" t="str">
        <f aca="false">IFERROR(ciq($D47,"IQ_DIVIDEND_YIELD"),"")</f>
        <v/>
      </c>
      <c r="AU47" s="24" t="str">
        <f aca="false">IFERROR(ciq($D47,"IQ_NET_DEBT"),"")</f>
        <v/>
      </c>
    </row>
    <row r="48" customFormat="false" ht="15" hidden="false" customHeight="false" outlineLevel="0" collapsed="false">
      <c r="A48" s="8" t="s">
        <v>214</v>
      </c>
      <c r="B48" s="8" t="s">
        <v>215</v>
      </c>
      <c r="C48" s="8" t="s">
        <v>72</v>
      </c>
      <c r="D48" s="8" t="s">
        <v>651</v>
      </c>
      <c r="E48" s="8" t="s">
        <v>652</v>
      </c>
      <c r="F48" s="6" t="s">
        <v>536</v>
      </c>
      <c r="G48" s="8" t="s">
        <v>55</v>
      </c>
      <c r="H48" s="8" t="s">
        <v>66</v>
      </c>
      <c r="I48" s="8" t="s">
        <v>508</v>
      </c>
      <c r="J48" s="6" t="s">
        <v>113</v>
      </c>
      <c r="K48" s="6" t="s">
        <v>216</v>
      </c>
      <c r="L48" s="8"/>
      <c r="M48" s="23" t="n">
        <v>118300</v>
      </c>
      <c r="N48" s="23" t="n">
        <v>178860.140732</v>
      </c>
      <c r="O48" s="23" t="n">
        <v>170892.3221212</v>
      </c>
      <c r="P48" s="24" t="n">
        <v>355.884426425</v>
      </c>
      <c r="Q48" s="24" t="n">
        <v>434.398316141667</v>
      </c>
      <c r="R48" s="24" t="n">
        <v>355.884426425</v>
      </c>
      <c r="S48" s="25" t="n">
        <v>0.001989735806807</v>
      </c>
      <c r="T48" s="26" t="n">
        <v>0.529953267367247</v>
      </c>
      <c r="U48" s="23" t="n">
        <v>0</v>
      </c>
      <c r="V48" s="26" t="n">
        <v>-0.06</v>
      </c>
      <c r="W48" s="26" t="n">
        <v>0.107673188557591</v>
      </c>
      <c r="X48" s="26" t="n">
        <v>0.0509665569260209</v>
      </c>
      <c r="Y48" s="26" t="n">
        <v>0.268301279432465</v>
      </c>
      <c r="Z48" s="26" t="n">
        <v>0.466124165613534</v>
      </c>
      <c r="AA48" s="26" t="n">
        <v>0.622480846057283</v>
      </c>
      <c r="AB48" s="26" t="n">
        <v>-0.286191081986162</v>
      </c>
      <c r="AC48" s="27" t="n">
        <v>0.563355843168537</v>
      </c>
      <c r="AD48" s="28" t="n">
        <f aca="false">Params!$B$6*Params!$B$7*$R48</f>
        <v>213.530655855</v>
      </c>
      <c r="AE48" s="29" t="n">
        <f aca="false">MIN(Params!$B$9,AD48/Params!$B$4)</f>
        <v>0.06</v>
      </c>
      <c r="AF48" s="29" t="n">
        <f aca="false">MIN(Params!$B$9,AD48/Params!$B$5)</f>
        <v>0.06</v>
      </c>
      <c r="AG48" s="28" t="n">
        <f aca="false">IF($R48&gt;0,Params!$B$9*Params!$B$4/(Params!$B$6*$R48),"n/a")</f>
        <v>0.421485147599206</v>
      </c>
      <c r="AH48" s="28" t="n">
        <f aca="false">IF($R48&gt;0,Params!$B$9*Params!$B$5/(Params!$B$6*$R48),"n/a")</f>
        <v>0.842970295198413</v>
      </c>
      <c r="AI48" s="28" t="n">
        <f aca="false">IF($R48&gt;0,Params!$B$15*Params!$B$4/(Params!$B$6*$R48),"n/a")</f>
        <v>0.140495049199735</v>
      </c>
      <c r="AJ48" s="29" t="n">
        <f aca="false">MIN(Params!$B$9,AD48*Params!$B$8/Params!$B$4)</f>
        <v>0.06</v>
      </c>
      <c r="AK48" s="28" t="n">
        <f aca="false">IF($R48&gt;0,Params!$B$9*Params!$B$4/(Params!$B$6*$R48*Params!$B$8),"n/a")</f>
        <v>0.842970295198413</v>
      </c>
      <c r="AL48" s="27" t="str">
        <f aca="false">IFERROR(ciq($D48,"IQ_PE_EXCL"),"")</f>
        <v/>
      </c>
      <c r="AM48" s="27" t="str">
        <f aca="false">IFERROR(ciq($D48,"IQ_PE_EXCL_FWD_CIQ"),"")</f>
        <v/>
      </c>
      <c r="AN48" s="27" t="str">
        <f aca="false">IFERROR(ciq($D48,"IQ_PBV"),"")</f>
        <v/>
      </c>
      <c r="AO48" s="27" t="str">
        <f aca="false">IFERROR(ciq($D48,"IQ_TEV_EBITDA"),"")</f>
        <v/>
      </c>
      <c r="AP48" s="24" t="str">
        <f aca="false">IFERROR(ciq($D48,"IQ_RETURN_EQUITY"),"")</f>
        <v/>
      </c>
      <c r="AQ48" s="24" t="str">
        <f aca="false">IFERROR(ciq($D48,"IQ_RETURN_CAPITAL"),"")</f>
        <v/>
      </c>
      <c r="AR48" s="24" t="str">
        <f aca="false">IFERROR(ciq($D48,"IQ_TOTAL_REV_1YR_ANN_GROWTH"),"")</f>
        <v/>
      </c>
      <c r="AS48" s="24" t="str">
        <f aca="false">IFERROR(ciq($D48,"IQ_EPS_1YR_ANN_GROWTH"),"")</f>
        <v/>
      </c>
      <c r="AT48" s="24" t="str">
        <f aca="false">IFERROR(ciq($D48,"IQ_DIVIDEND_YIELD"),"")</f>
        <v/>
      </c>
      <c r="AU48" s="24" t="str">
        <f aca="false">IFERROR(ciq($D48,"IQ_NET_DEBT"),"")</f>
        <v/>
      </c>
    </row>
    <row r="49" customFormat="false" ht="15" hidden="false" customHeight="false" outlineLevel="0" collapsed="false">
      <c r="A49" s="8" t="s">
        <v>653</v>
      </c>
      <c r="B49" s="6" t="s">
        <v>654</v>
      </c>
      <c r="C49" s="8" t="s">
        <v>72</v>
      </c>
      <c r="D49" s="8" t="s">
        <v>655</v>
      </c>
      <c r="E49" s="8" t="s">
        <v>656</v>
      </c>
      <c r="F49" s="6" t="s">
        <v>657</v>
      </c>
      <c r="G49" s="8" t="s">
        <v>55</v>
      </c>
      <c r="H49" s="8" t="s">
        <v>66</v>
      </c>
      <c r="I49" s="8"/>
      <c r="J49" s="8"/>
      <c r="K49" s="8"/>
      <c r="L49" s="8"/>
      <c r="M49" s="23" t="n">
        <v>226000</v>
      </c>
      <c r="N49" s="23" t="n">
        <v>174873.828</v>
      </c>
      <c r="O49" s="23" t="n">
        <v>179864.6961</v>
      </c>
      <c r="P49" s="24" t="n">
        <v>564.3702905</v>
      </c>
      <c r="Q49" s="24" t="n">
        <v>724.028898306667</v>
      </c>
      <c r="R49" s="24" t="n">
        <v>564.3702905</v>
      </c>
      <c r="S49" s="25" t="n">
        <v>0.00322729991648607</v>
      </c>
      <c r="T49" s="26" t="n">
        <v>0.664738510051707</v>
      </c>
      <c r="U49" s="23" t="n">
        <v>0</v>
      </c>
      <c r="V49" s="26" t="n">
        <v>-0.06</v>
      </c>
      <c r="W49" s="26" t="n">
        <v>-0.0193752537372088</v>
      </c>
      <c r="X49" s="26" t="n">
        <v>-0.105194492992506</v>
      </c>
      <c r="Y49" s="26" t="n">
        <v>0.381861532139332</v>
      </c>
      <c r="Z49" s="26" t="n">
        <v>0.317864628243529</v>
      </c>
      <c r="AA49" s="26" t="n">
        <v>0.50863876741621</v>
      </c>
      <c r="AB49" s="26" t="n">
        <v>-0.375855625876129</v>
      </c>
      <c r="AC49" s="27" t="n">
        <v>0.546696518025433</v>
      </c>
      <c r="AD49" s="28" t="n">
        <f aca="false">Params!$B$6*Params!$B$7*$R49</f>
        <v>338.6221743</v>
      </c>
      <c r="AE49" s="29" t="n">
        <f aca="false">MIN(Params!$B$9,AD49/Params!$B$4)</f>
        <v>0.06</v>
      </c>
      <c r="AF49" s="29" t="n">
        <f aca="false">MIN(Params!$B$9,AD49/Params!$B$5)</f>
        <v>0.06</v>
      </c>
      <c r="AG49" s="28" t="n">
        <f aca="false">IF($R49&gt;0,Params!$B$9*Params!$B$4/(Params!$B$6*$R49),"n/a")</f>
        <v>0.265782948757116</v>
      </c>
      <c r="AH49" s="28" t="n">
        <f aca="false">IF($R49&gt;0,Params!$B$9*Params!$B$5/(Params!$B$6*$R49),"n/a")</f>
        <v>0.531565897514231</v>
      </c>
      <c r="AI49" s="28" t="n">
        <f aca="false">IF($R49&gt;0,Params!$B$15*Params!$B$4/(Params!$B$6*$R49),"n/a")</f>
        <v>0.0885943162523719</v>
      </c>
      <c r="AJ49" s="29" t="n">
        <f aca="false">MIN(Params!$B$9,AD49*Params!$B$8/Params!$B$4)</f>
        <v>0.06</v>
      </c>
      <c r="AK49" s="28" t="n">
        <f aca="false">IF($R49&gt;0,Params!$B$9*Params!$B$4/(Params!$B$6*$R49*Params!$B$8),"n/a")</f>
        <v>0.531565897514231</v>
      </c>
      <c r="AL49" s="27" t="str">
        <f aca="false">IFERROR(ciq($D49,"IQ_PE_EXCL"),"")</f>
        <v/>
      </c>
      <c r="AM49" s="27" t="str">
        <f aca="false">IFERROR(ciq($D49,"IQ_PE_EXCL_FWD_CIQ"),"")</f>
        <v/>
      </c>
      <c r="AN49" s="27" t="str">
        <f aca="false">IFERROR(ciq($D49,"IQ_PBV"),"")</f>
        <v/>
      </c>
      <c r="AO49" s="27" t="str">
        <f aca="false">IFERROR(ciq($D49,"IQ_TEV_EBITDA"),"")</f>
        <v/>
      </c>
      <c r="AP49" s="24" t="str">
        <f aca="false">IFERROR(ciq($D49,"IQ_RETURN_EQUITY"),"")</f>
        <v/>
      </c>
      <c r="AQ49" s="24" t="str">
        <f aca="false">IFERROR(ciq($D49,"IQ_RETURN_CAPITAL"),"")</f>
        <v/>
      </c>
      <c r="AR49" s="24" t="str">
        <f aca="false">IFERROR(ciq($D49,"IQ_TOTAL_REV_1YR_ANN_GROWTH"),"")</f>
        <v/>
      </c>
      <c r="AS49" s="24" t="str">
        <f aca="false">IFERROR(ciq($D49,"IQ_EPS_1YR_ANN_GROWTH"),"")</f>
        <v/>
      </c>
      <c r="AT49" s="24" t="str">
        <f aca="false">IFERROR(ciq($D49,"IQ_DIVIDEND_YIELD"),"")</f>
        <v/>
      </c>
      <c r="AU49" s="24" t="str">
        <f aca="false">IFERROR(ciq($D49,"IQ_NET_DEBT"),"")</f>
        <v/>
      </c>
    </row>
    <row r="50" customFormat="false" ht="15" hidden="false" customHeight="false" outlineLevel="0" collapsed="false">
      <c r="A50" s="8" t="s">
        <v>658</v>
      </c>
      <c r="B50" s="6" t="s">
        <v>659</v>
      </c>
      <c r="C50" s="8" t="s">
        <v>72</v>
      </c>
      <c r="D50" s="8" t="s">
        <v>660</v>
      </c>
      <c r="E50" s="8" t="s">
        <v>661</v>
      </c>
      <c r="F50" s="6" t="s">
        <v>662</v>
      </c>
      <c r="G50" s="8" t="s">
        <v>55</v>
      </c>
      <c r="H50" s="8" t="s">
        <v>66</v>
      </c>
      <c r="I50" s="8"/>
      <c r="J50" s="8"/>
      <c r="K50" s="8"/>
      <c r="L50" s="8"/>
      <c r="M50" s="23" t="n">
        <v>21150</v>
      </c>
      <c r="N50" s="23" t="n">
        <v>168655.5712935</v>
      </c>
      <c r="O50" s="23" t="n">
        <v>162874.23374325</v>
      </c>
      <c r="P50" s="24" t="n">
        <v>197.1502244325</v>
      </c>
      <c r="Q50" s="24" t="n">
        <v>252.574098504833</v>
      </c>
      <c r="R50" s="24" t="n">
        <v>197.1502244325</v>
      </c>
      <c r="S50" s="25" t="n">
        <v>0.00116895174538535</v>
      </c>
      <c r="T50" s="26" t="n">
        <v>0.293412113194891</v>
      </c>
      <c r="U50" s="23" t="n">
        <v>0</v>
      </c>
      <c r="V50" s="26" t="n">
        <v>-0.06</v>
      </c>
      <c r="W50" s="26" t="n">
        <v>0.0473378354348444</v>
      </c>
      <c r="X50" s="26" t="n">
        <v>0.029628229774316</v>
      </c>
      <c r="Y50" s="26" t="n">
        <v>-0.103810232592054</v>
      </c>
      <c r="Z50" s="26" t="n">
        <v>0.00965942255267538</v>
      </c>
      <c r="AA50" s="26" t="n">
        <v>0.0935671156553124</v>
      </c>
      <c r="AB50" s="26" t="n">
        <v>-0.25917000168364</v>
      </c>
      <c r="AC50" s="27" t="n">
        <v>0.711711105702319</v>
      </c>
      <c r="AD50" s="28" t="n">
        <f aca="false">Params!$B$6*Params!$B$7*$R50</f>
        <v>118.2901346595</v>
      </c>
      <c r="AE50" s="29" t="n">
        <f aca="false">MIN(Params!$B$9,AD50/Params!$B$4)</f>
        <v>0.06</v>
      </c>
      <c r="AF50" s="29" t="n">
        <f aca="false">MIN(Params!$B$9,AD50/Params!$B$5)</f>
        <v>0.06</v>
      </c>
      <c r="AG50" s="28" t="n">
        <f aca="false">IF($R50&gt;0,Params!$B$9*Params!$B$4/(Params!$B$6*$R50),"n/a")</f>
        <v>0.76084113234858</v>
      </c>
      <c r="AH50" s="28" t="n">
        <f aca="false">IF($R50&gt;0,Params!$B$9*Params!$B$5/(Params!$B$6*$R50),"n/a")</f>
        <v>1.52168226469716</v>
      </c>
      <c r="AI50" s="28" t="n">
        <f aca="false">IF($R50&gt;0,Params!$B$15*Params!$B$4/(Params!$B$6*$R50),"n/a")</f>
        <v>0.25361371078286</v>
      </c>
      <c r="AJ50" s="29" t="n">
        <f aca="false">MIN(Params!$B$9,AD50*Params!$B$8/Params!$B$4)</f>
        <v>0.06</v>
      </c>
      <c r="AK50" s="28" t="n">
        <f aca="false">IF($R50&gt;0,Params!$B$9*Params!$B$4/(Params!$B$6*$R50*Params!$B$8),"n/a")</f>
        <v>1.52168226469716</v>
      </c>
      <c r="AL50" s="27" t="str">
        <f aca="false">IFERROR(ciq($D50,"IQ_PE_EXCL"),"")</f>
        <v/>
      </c>
      <c r="AM50" s="27" t="str">
        <f aca="false">IFERROR(ciq($D50,"IQ_PE_EXCL_FWD_CIQ"),"")</f>
        <v/>
      </c>
      <c r="AN50" s="27" t="str">
        <f aca="false">IFERROR(ciq($D50,"IQ_PBV"),"")</f>
        <v/>
      </c>
      <c r="AO50" s="27" t="str">
        <f aca="false">IFERROR(ciq($D50,"IQ_TEV_EBITDA"),"")</f>
        <v/>
      </c>
      <c r="AP50" s="24" t="str">
        <f aca="false">IFERROR(ciq($D50,"IQ_RETURN_EQUITY"),"")</f>
        <v/>
      </c>
      <c r="AQ50" s="24" t="str">
        <f aca="false">IFERROR(ciq($D50,"IQ_RETURN_CAPITAL"),"")</f>
        <v/>
      </c>
      <c r="AR50" s="24" t="str">
        <f aca="false">IFERROR(ciq($D50,"IQ_TOTAL_REV_1YR_ANN_GROWTH"),"")</f>
        <v/>
      </c>
      <c r="AS50" s="24" t="str">
        <f aca="false">IFERROR(ciq($D50,"IQ_EPS_1YR_ANN_GROWTH"),"")</f>
        <v/>
      </c>
      <c r="AT50" s="24" t="str">
        <f aca="false">IFERROR(ciq($D50,"IQ_DIVIDEND_YIELD"),"")</f>
        <v/>
      </c>
      <c r="AU50" s="24" t="str">
        <f aca="false">IFERROR(ciq($D50,"IQ_NET_DEBT"),"")</f>
        <v/>
      </c>
    </row>
    <row r="51" customFormat="false" ht="15" hidden="false" customHeight="false" outlineLevel="0" collapsed="false">
      <c r="A51" s="8" t="s">
        <v>217</v>
      </c>
      <c r="B51" s="8" t="s">
        <v>218</v>
      </c>
      <c r="C51" s="8" t="s">
        <v>72</v>
      </c>
      <c r="D51" s="8" t="s">
        <v>663</v>
      </c>
      <c r="E51" s="8" t="s">
        <v>664</v>
      </c>
      <c r="F51" s="6" t="s">
        <v>536</v>
      </c>
      <c r="G51" s="8" t="s">
        <v>55</v>
      </c>
      <c r="H51" s="8" t="s">
        <v>66</v>
      </c>
      <c r="I51" s="8" t="s">
        <v>508</v>
      </c>
      <c r="J51" s="6" t="s">
        <v>113</v>
      </c>
      <c r="K51" s="6" t="s">
        <v>219</v>
      </c>
      <c r="L51" s="8"/>
      <c r="M51" s="23" t="n">
        <v>213500</v>
      </c>
      <c r="N51" s="23" t="n">
        <v>168650.236475</v>
      </c>
      <c r="O51" s="23" t="n">
        <v>174811.697105</v>
      </c>
      <c r="P51" s="24" t="n">
        <v>269.684248625</v>
      </c>
      <c r="Q51" s="24" t="n">
        <v>351.023889093333</v>
      </c>
      <c r="R51" s="24" t="n">
        <v>269.684248625</v>
      </c>
      <c r="S51" s="25" t="n">
        <v>0.00159907423945401</v>
      </c>
      <c r="T51" s="26" t="n">
        <v>0.621315896481282</v>
      </c>
      <c r="U51" s="23" t="n">
        <v>0</v>
      </c>
      <c r="V51" s="26" t="n">
        <v>-0.06</v>
      </c>
      <c r="W51" s="26" t="n">
        <v>-0.0250042805220228</v>
      </c>
      <c r="X51" s="26" t="n">
        <v>-0.113709785174725</v>
      </c>
      <c r="Y51" s="26" t="n">
        <v>-0.231568204262257</v>
      </c>
      <c r="Z51" s="26" t="n">
        <v>0.133185003717599</v>
      </c>
      <c r="AA51" s="26" t="n">
        <v>0.631635344072841</v>
      </c>
      <c r="AB51" s="26" t="n">
        <v>-0.312006911869735</v>
      </c>
      <c r="AC51" s="27" t="n">
        <v>0.644754134087095</v>
      </c>
      <c r="AD51" s="28" t="n">
        <f aca="false">Params!$B$6*Params!$B$7*$R51</f>
        <v>161.810549175</v>
      </c>
      <c r="AE51" s="29" t="n">
        <f aca="false">MIN(Params!$B$9,AD51/Params!$B$4)</f>
        <v>0.06</v>
      </c>
      <c r="AF51" s="29" t="n">
        <f aca="false">MIN(Params!$B$9,AD51/Params!$B$5)</f>
        <v>0.06</v>
      </c>
      <c r="AG51" s="28" t="n">
        <f aca="false">IF($R51&gt;0,Params!$B$9*Params!$B$4/(Params!$B$6*$R51),"n/a")</f>
        <v>0.556206010416935</v>
      </c>
      <c r="AH51" s="28" t="n">
        <f aca="false">IF($R51&gt;0,Params!$B$9*Params!$B$5/(Params!$B$6*$R51),"n/a")</f>
        <v>1.11241202083387</v>
      </c>
      <c r="AI51" s="28" t="n">
        <f aca="false">IF($R51&gt;0,Params!$B$15*Params!$B$4/(Params!$B$6*$R51),"n/a")</f>
        <v>0.185402003472312</v>
      </c>
      <c r="AJ51" s="29" t="n">
        <f aca="false">MIN(Params!$B$9,AD51*Params!$B$8/Params!$B$4)</f>
        <v>0.06</v>
      </c>
      <c r="AK51" s="28" t="n">
        <f aca="false">IF($R51&gt;0,Params!$B$9*Params!$B$4/(Params!$B$6*$R51*Params!$B$8),"n/a")</f>
        <v>1.11241202083387</v>
      </c>
      <c r="AL51" s="27" t="str">
        <f aca="false">IFERROR(ciq($D51,"IQ_PE_EXCL"),"")</f>
        <v/>
      </c>
      <c r="AM51" s="27" t="str">
        <f aca="false">IFERROR(ciq($D51,"IQ_PE_EXCL_FWD_CIQ"),"")</f>
        <v/>
      </c>
      <c r="AN51" s="27" t="str">
        <f aca="false">IFERROR(ciq($D51,"IQ_PBV"),"")</f>
        <v/>
      </c>
      <c r="AO51" s="27" t="str">
        <f aca="false">IFERROR(ciq($D51,"IQ_TEV_EBITDA"),"")</f>
        <v/>
      </c>
      <c r="AP51" s="24" t="str">
        <f aca="false">IFERROR(ciq($D51,"IQ_RETURN_EQUITY"),"")</f>
        <v/>
      </c>
      <c r="AQ51" s="24" t="str">
        <f aca="false">IFERROR(ciq($D51,"IQ_RETURN_CAPITAL"),"")</f>
        <v/>
      </c>
      <c r="AR51" s="24" t="str">
        <f aca="false">IFERROR(ciq($D51,"IQ_TOTAL_REV_1YR_ANN_GROWTH"),"")</f>
        <v/>
      </c>
      <c r="AS51" s="24" t="str">
        <f aca="false">IFERROR(ciq($D51,"IQ_EPS_1YR_ANN_GROWTH"),"")</f>
        <v/>
      </c>
      <c r="AT51" s="24" t="str">
        <f aca="false">IFERROR(ciq($D51,"IQ_DIVIDEND_YIELD"),"")</f>
        <v/>
      </c>
      <c r="AU51" s="24" t="str">
        <f aca="false">IFERROR(ciq($D51,"IQ_NET_DEBT"),"")</f>
        <v/>
      </c>
    </row>
    <row r="52" customFormat="false" ht="15" hidden="false" customHeight="false" outlineLevel="0" collapsed="false">
      <c r="A52" s="8" t="s">
        <v>665</v>
      </c>
      <c r="B52" s="8" t="s">
        <v>666</v>
      </c>
      <c r="C52" s="8" t="s">
        <v>72</v>
      </c>
      <c r="D52" s="8" t="s">
        <v>667</v>
      </c>
      <c r="E52" s="8" t="s">
        <v>668</v>
      </c>
      <c r="F52" s="6" t="s">
        <v>669</v>
      </c>
      <c r="G52" s="8" t="s">
        <v>55</v>
      </c>
      <c r="H52" s="8" t="s">
        <v>66</v>
      </c>
      <c r="I52" s="8"/>
      <c r="J52" s="8"/>
      <c r="K52" s="8"/>
      <c r="L52" s="8"/>
      <c r="M52" s="23" t="n">
        <v>147900</v>
      </c>
      <c r="N52" s="23" t="n">
        <v>166509.949368</v>
      </c>
      <c r="O52" s="23" t="n">
        <v>161623.8561952</v>
      </c>
      <c r="P52" s="24" t="n">
        <v>521.85308425</v>
      </c>
      <c r="Q52" s="24" t="n">
        <v>539.853581675</v>
      </c>
      <c r="R52" s="24" t="n">
        <v>521.85308425</v>
      </c>
      <c r="S52" s="25" t="n">
        <v>0.00313406547915443</v>
      </c>
      <c r="T52" s="26" t="n">
        <v>0.683980482921077</v>
      </c>
      <c r="U52" s="23" t="n">
        <v>0</v>
      </c>
      <c r="V52" s="26" t="n">
        <v>-0.06</v>
      </c>
      <c r="W52" s="26" t="n">
        <v>0.20742591167874</v>
      </c>
      <c r="X52" s="26" t="n">
        <v>0.333769980317497</v>
      </c>
      <c r="Y52" s="26" t="n">
        <v>0.290569914896965</v>
      </c>
      <c r="Z52" s="26" t="n">
        <v>0.781940265827657</v>
      </c>
      <c r="AA52" s="26" t="n">
        <v>1.43171688564725</v>
      </c>
      <c r="AB52" s="26" t="n">
        <v>-0.0371474499473881</v>
      </c>
      <c r="AC52" s="27" t="n">
        <v>0.894502255629608</v>
      </c>
      <c r="AD52" s="28" t="n">
        <f aca="false">Params!$B$6*Params!$B$7*$R52</f>
        <v>313.11185055</v>
      </c>
      <c r="AE52" s="29" t="n">
        <f aca="false">MIN(Params!$B$9,AD52/Params!$B$4)</f>
        <v>0.06</v>
      </c>
      <c r="AF52" s="29" t="n">
        <f aca="false">MIN(Params!$B$9,AD52/Params!$B$5)</f>
        <v>0.06</v>
      </c>
      <c r="AG52" s="28" t="n">
        <f aca="false">IF($R52&gt;0,Params!$B$9*Params!$B$4/(Params!$B$6*$R52),"n/a")</f>
        <v>0.287437220411522</v>
      </c>
      <c r="AH52" s="28" t="n">
        <f aca="false">IF($R52&gt;0,Params!$B$9*Params!$B$5/(Params!$B$6*$R52),"n/a")</f>
        <v>0.574874440823045</v>
      </c>
      <c r="AI52" s="28" t="n">
        <f aca="false">IF($R52&gt;0,Params!$B$15*Params!$B$4/(Params!$B$6*$R52),"n/a")</f>
        <v>0.0958124068038408</v>
      </c>
      <c r="AJ52" s="29" t="n">
        <f aca="false">MIN(Params!$B$9,AD52*Params!$B$8/Params!$B$4)</f>
        <v>0.06</v>
      </c>
      <c r="AK52" s="28" t="n">
        <f aca="false">IF($R52&gt;0,Params!$B$9*Params!$B$4/(Params!$B$6*$R52*Params!$B$8),"n/a")</f>
        <v>0.574874440823045</v>
      </c>
      <c r="AL52" s="27" t="str">
        <f aca="false">IFERROR(ciq($D52,"IQ_PE_EXCL"),"")</f>
        <v/>
      </c>
      <c r="AM52" s="27" t="str">
        <f aca="false">IFERROR(ciq($D52,"IQ_PE_EXCL_FWD_CIQ"),"")</f>
        <v/>
      </c>
      <c r="AN52" s="27" t="str">
        <f aca="false">IFERROR(ciq($D52,"IQ_PBV"),"")</f>
        <v/>
      </c>
      <c r="AO52" s="27" t="str">
        <f aca="false">IFERROR(ciq($D52,"IQ_TEV_EBITDA"),"")</f>
        <v/>
      </c>
      <c r="AP52" s="24" t="str">
        <f aca="false">IFERROR(ciq($D52,"IQ_RETURN_EQUITY"),"")</f>
        <v/>
      </c>
      <c r="AQ52" s="24" t="str">
        <f aca="false">IFERROR(ciq($D52,"IQ_RETURN_CAPITAL"),"")</f>
        <v/>
      </c>
      <c r="AR52" s="24" t="str">
        <f aca="false">IFERROR(ciq($D52,"IQ_TOTAL_REV_1YR_ANN_GROWTH"),"")</f>
        <v/>
      </c>
      <c r="AS52" s="24" t="str">
        <f aca="false">IFERROR(ciq($D52,"IQ_EPS_1YR_ANN_GROWTH"),"")</f>
        <v/>
      </c>
      <c r="AT52" s="24" t="str">
        <f aca="false">IFERROR(ciq($D52,"IQ_DIVIDEND_YIELD"),"")</f>
        <v/>
      </c>
      <c r="AU52" s="24" t="str">
        <f aca="false">IFERROR(ciq($D52,"IQ_NET_DEBT"),"")</f>
        <v/>
      </c>
    </row>
    <row r="53" customFormat="false" ht="15" hidden="false" customHeight="false" outlineLevel="0" collapsed="false">
      <c r="A53" s="8" t="s">
        <v>670</v>
      </c>
      <c r="B53" s="6" t="s">
        <v>671</v>
      </c>
      <c r="C53" s="8" t="s">
        <v>72</v>
      </c>
      <c r="D53" s="8" t="s">
        <v>672</v>
      </c>
      <c r="E53" s="8" t="s">
        <v>673</v>
      </c>
      <c r="F53" s="6" t="s">
        <v>674</v>
      </c>
      <c r="G53" s="8" t="s">
        <v>55</v>
      </c>
      <c r="H53" s="8" t="s">
        <v>66</v>
      </c>
      <c r="I53" s="8"/>
      <c r="J53" s="8"/>
      <c r="K53" s="8"/>
      <c r="L53" s="8"/>
      <c r="M53" s="23" t="n">
        <v>183800</v>
      </c>
      <c r="N53" s="23" t="n">
        <v>163483.15236</v>
      </c>
      <c r="O53" s="23" t="n">
        <v>150777.184833</v>
      </c>
      <c r="P53" s="24" t="n">
        <v>661.25843595</v>
      </c>
      <c r="Q53" s="24" t="n">
        <v>539.591279633333</v>
      </c>
      <c r="R53" s="24" t="n">
        <v>539.591279633333</v>
      </c>
      <c r="S53" s="25" t="n">
        <v>0.00404481089582777</v>
      </c>
      <c r="T53" s="26" t="n">
        <v>0.863335547057782</v>
      </c>
      <c r="U53" s="23" t="n">
        <v>0</v>
      </c>
      <c r="V53" s="26" t="n">
        <v>-0.06</v>
      </c>
      <c r="W53" s="26" t="n">
        <v>0.25740543329025</v>
      </c>
      <c r="X53" s="26" t="n">
        <v>-0.047676547927471</v>
      </c>
      <c r="Y53" s="26" t="n">
        <v>-0.127216088736234</v>
      </c>
      <c r="Z53" s="26" t="n">
        <v>-0.0171880117500393</v>
      </c>
      <c r="AA53" s="26" t="n">
        <v>0.16321048553545</v>
      </c>
      <c r="AB53" s="26" t="n">
        <v>-0.379222985355659</v>
      </c>
      <c r="AC53" s="27" t="n">
        <v>0.89062114004682</v>
      </c>
      <c r="AD53" s="28" t="n">
        <f aca="false">Params!$B$6*Params!$B$7*$R53</f>
        <v>323.75476778</v>
      </c>
      <c r="AE53" s="29" t="n">
        <f aca="false">MIN(Params!$B$9,AD53/Params!$B$4)</f>
        <v>0.06</v>
      </c>
      <c r="AF53" s="29" t="n">
        <f aca="false">MIN(Params!$B$9,AD53/Params!$B$5)</f>
        <v>0.06</v>
      </c>
      <c r="AG53" s="28" t="n">
        <f aca="false">IF($R53&gt;0,Params!$B$9*Params!$B$4/(Params!$B$6*$R53),"n/a")</f>
        <v>0.277988184134349</v>
      </c>
      <c r="AH53" s="28" t="n">
        <f aca="false">IF($R53&gt;0,Params!$B$9*Params!$B$5/(Params!$B$6*$R53),"n/a")</f>
        <v>0.555976368268698</v>
      </c>
      <c r="AI53" s="28" t="n">
        <f aca="false">IF($R53&gt;0,Params!$B$15*Params!$B$4/(Params!$B$6*$R53),"n/a")</f>
        <v>0.092662728044783</v>
      </c>
      <c r="AJ53" s="29" t="n">
        <f aca="false">MIN(Params!$B$9,AD53*Params!$B$8/Params!$B$4)</f>
        <v>0.06</v>
      </c>
      <c r="AK53" s="28" t="n">
        <f aca="false">IF($R53&gt;0,Params!$B$9*Params!$B$4/(Params!$B$6*$R53*Params!$B$8),"n/a")</f>
        <v>0.555976368268698</v>
      </c>
      <c r="AL53" s="27" t="str">
        <f aca="false">IFERROR(ciq($D53,"IQ_PE_EXCL"),"")</f>
        <v/>
      </c>
      <c r="AM53" s="27" t="str">
        <f aca="false">IFERROR(ciq($D53,"IQ_PE_EXCL_FWD_CIQ"),"")</f>
        <v/>
      </c>
      <c r="AN53" s="27" t="str">
        <f aca="false">IFERROR(ciq($D53,"IQ_PBV"),"")</f>
        <v/>
      </c>
      <c r="AO53" s="27" t="str">
        <f aca="false">IFERROR(ciq($D53,"IQ_TEV_EBITDA"),"")</f>
        <v/>
      </c>
      <c r="AP53" s="24" t="str">
        <f aca="false">IFERROR(ciq($D53,"IQ_RETURN_EQUITY"),"")</f>
        <v/>
      </c>
      <c r="AQ53" s="24" t="str">
        <f aca="false">IFERROR(ciq($D53,"IQ_RETURN_CAPITAL"),"")</f>
        <v/>
      </c>
      <c r="AR53" s="24" t="str">
        <f aca="false">IFERROR(ciq($D53,"IQ_TOTAL_REV_1YR_ANN_GROWTH"),"")</f>
        <v/>
      </c>
      <c r="AS53" s="24" t="str">
        <f aca="false">IFERROR(ciq($D53,"IQ_EPS_1YR_ANN_GROWTH"),"")</f>
        <v/>
      </c>
      <c r="AT53" s="24" t="str">
        <f aca="false">IFERROR(ciq($D53,"IQ_DIVIDEND_YIELD"),"")</f>
        <v/>
      </c>
      <c r="AU53" s="24" t="str">
        <f aca="false">IFERROR(ciq($D53,"IQ_NET_DEBT"),"")</f>
        <v/>
      </c>
    </row>
    <row r="54" customFormat="false" ht="15" hidden="false" customHeight="false" outlineLevel="0" collapsed="false">
      <c r="A54" s="8" t="s">
        <v>220</v>
      </c>
      <c r="B54" s="6" t="s">
        <v>221</v>
      </c>
      <c r="C54" s="8" t="s">
        <v>72</v>
      </c>
      <c r="D54" s="8" t="s">
        <v>675</v>
      </c>
      <c r="E54" s="8" t="s">
        <v>676</v>
      </c>
      <c r="F54" s="6" t="s">
        <v>577</v>
      </c>
      <c r="G54" s="8" t="s">
        <v>55</v>
      </c>
      <c r="H54" s="8" t="s">
        <v>66</v>
      </c>
      <c r="I54" s="8" t="s">
        <v>508</v>
      </c>
      <c r="J54" s="6" t="s">
        <v>204</v>
      </c>
      <c r="K54" s="6" t="s">
        <v>222</v>
      </c>
      <c r="L54" s="8"/>
      <c r="M54" s="23" t="n">
        <v>35350</v>
      </c>
      <c r="N54" s="23" t="n">
        <v>156593.808245</v>
      </c>
      <c r="O54" s="23" t="n">
        <v>166738.074748</v>
      </c>
      <c r="P54" s="24" t="n">
        <v>967.1842549925</v>
      </c>
      <c r="Q54" s="24" t="n">
        <v>814.3042802635</v>
      </c>
      <c r="R54" s="24" t="n">
        <v>814.3042802635</v>
      </c>
      <c r="S54" s="25" t="n">
        <v>0.00617638887406892</v>
      </c>
      <c r="T54" s="26" t="n">
        <v>0.473128030080081</v>
      </c>
      <c r="U54" s="23" t="n">
        <v>0</v>
      </c>
      <c r="V54" s="26" t="n">
        <v>-0.06</v>
      </c>
      <c r="W54" s="26" t="n">
        <v>-0.0734594486697618</v>
      </c>
      <c r="X54" s="26" t="n">
        <v>-0.105254952389727</v>
      </c>
      <c r="Y54" s="26" t="n">
        <v>-0.305537454453</v>
      </c>
      <c r="Z54" s="26" t="n">
        <v>-0.411674998036148</v>
      </c>
      <c r="AA54" s="26" t="n">
        <v>-0.453395301475984</v>
      </c>
      <c r="AB54" s="26" t="n">
        <v>-0.47768843837517</v>
      </c>
      <c r="AC54" s="27" t="n">
        <v>1.14077811353786</v>
      </c>
      <c r="AD54" s="28" t="n">
        <f aca="false">Params!$B$6*Params!$B$7*$R54</f>
        <v>488.5825681581</v>
      </c>
      <c r="AE54" s="29" t="n">
        <f aca="false">MIN(Params!$B$9,AD54/Params!$B$4)</f>
        <v>0.06</v>
      </c>
      <c r="AF54" s="29" t="n">
        <f aca="false">MIN(Params!$B$9,AD54/Params!$B$5)</f>
        <v>0.06</v>
      </c>
      <c r="AG54" s="28" t="n">
        <f aca="false">IF($R54&gt;0,Params!$B$9*Params!$B$4/(Params!$B$6*$R54),"n/a")</f>
        <v>0.18420632635194</v>
      </c>
      <c r="AH54" s="28" t="n">
        <f aca="false">IF($R54&gt;0,Params!$B$9*Params!$B$5/(Params!$B$6*$R54),"n/a")</f>
        <v>0.36841265270388</v>
      </c>
      <c r="AI54" s="28" t="n">
        <f aca="false">IF($R54&gt;0,Params!$B$15*Params!$B$4/(Params!$B$6*$R54),"n/a")</f>
        <v>0.06140210878398</v>
      </c>
      <c r="AJ54" s="29" t="n">
        <f aca="false">MIN(Params!$B$9,AD54*Params!$B$8/Params!$B$4)</f>
        <v>0.06</v>
      </c>
      <c r="AK54" s="28" t="n">
        <f aca="false">IF($R54&gt;0,Params!$B$9*Params!$B$4/(Params!$B$6*$R54*Params!$B$8),"n/a")</f>
        <v>0.36841265270388</v>
      </c>
      <c r="AL54" s="27" t="str">
        <f aca="false">IFERROR(ciq($D54,"IQ_PE_EXCL"),"")</f>
        <v/>
      </c>
      <c r="AM54" s="27" t="str">
        <f aca="false">IFERROR(ciq($D54,"IQ_PE_EXCL_FWD_CIQ"),"")</f>
        <v/>
      </c>
      <c r="AN54" s="27" t="str">
        <f aca="false">IFERROR(ciq($D54,"IQ_PBV"),"")</f>
        <v/>
      </c>
      <c r="AO54" s="27" t="str">
        <f aca="false">IFERROR(ciq($D54,"IQ_TEV_EBITDA"),"")</f>
        <v/>
      </c>
      <c r="AP54" s="24" t="str">
        <f aca="false">IFERROR(ciq($D54,"IQ_RETURN_EQUITY"),"")</f>
        <v/>
      </c>
      <c r="AQ54" s="24" t="str">
        <f aca="false">IFERROR(ciq($D54,"IQ_RETURN_CAPITAL"),"")</f>
        <v/>
      </c>
      <c r="AR54" s="24" t="str">
        <f aca="false">IFERROR(ciq($D54,"IQ_TOTAL_REV_1YR_ANN_GROWTH"),"")</f>
        <v/>
      </c>
      <c r="AS54" s="24" t="str">
        <f aca="false">IFERROR(ciq($D54,"IQ_EPS_1YR_ANN_GROWTH"),"")</f>
        <v/>
      </c>
      <c r="AT54" s="24" t="str">
        <f aca="false">IFERROR(ciq($D54,"IQ_DIVIDEND_YIELD"),"")</f>
        <v/>
      </c>
      <c r="AU54" s="24" t="str">
        <f aca="false">IFERROR(ciq($D54,"IQ_NET_DEBT"),"")</f>
        <v/>
      </c>
    </row>
    <row r="55" customFormat="false" ht="15" hidden="false" customHeight="false" outlineLevel="0" collapsed="false">
      <c r="A55" s="8" t="s">
        <v>677</v>
      </c>
      <c r="B55" s="6" t="s">
        <v>678</v>
      </c>
      <c r="C55" s="8" t="s">
        <v>72</v>
      </c>
      <c r="D55" s="8" t="s">
        <v>679</v>
      </c>
      <c r="E55" s="8" t="s">
        <v>680</v>
      </c>
      <c r="F55" s="8"/>
      <c r="G55" s="8" t="s">
        <v>55</v>
      </c>
      <c r="H55" s="8" t="s">
        <v>66</v>
      </c>
      <c r="I55" s="8"/>
      <c r="J55" s="8"/>
      <c r="K55" s="8"/>
      <c r="L55" s="8"/>
      <c r="M55" s="23" t="n">
        <v>406000</v>
      </c>
      <c r="N55" s="23" t="n">
        <v>151998.9093</v>
      </c>
      <c r="O55" s="23" t="n">
        <v>153178.2111825</v>
      </c>
      <c r="P55" s="24" t="n">
        <v>1207.0338902675</v>
      </c>
      <c r="Q55" s="24" t="n">
        <v>1097.93396936983</v>
      </c>
      <c r="R55" s="24" t="n">
        <v>1097.93396936983</v>
      </c>
      <c r="S55" s="25" t="n">
        <v>0.00794106941836786</v>
      </c>
      <c r="T55" s="26" t="n">
        <v>0.633116595655899</v>
      </c>
      <c r="U55" s="23" t="n">
        <v>0</v>
      </c>
      <c r="V55" s="26" t="n">
        <v>-0.06</v>
      </c>
      <c r="W55" s="26" t="n">
        <v>0.135495854482614</v>
      </c>
      <c r="X55" s="26" t="n">
        <v>0.00231632728679143</v>
      </c>
      <c r="Y55" s="26" t="n">
        <v>0.271959747128092</v>
      </c>
      <c r="Z55" s="26" t="n">
        <v>0.756447189938058</v>
      </c>
      <c r="AA55" s="26" t="n">
        <v>0.794554025903355</v>
      </c>
      <c r="AB55" s="26" t="n">
        <v>-0.12591386008</v>
      </c>
      <c r="AC55" s="27" t="n">
        <v>1.01810843059654</v>
      </c>
      <c r="AD55" s="28" t="n">
        <f aca="false">Params!$B$6*Params!$B$7*$R55</f>
        <v>658.7603816219</v>
      </c>
      <c r="AE55" s="29" t="n">
        <f aca="false">MIN(Params!$B$9,AD55/Params!$B$4)</f>
        <v>0.06</v>
      </c>
      <c r="AF55" s="29" t="n">
        <f aca="false">MIN(Params!$B$9,AD55/Params!$B$5)</f>
        <v>0.06</v>
      </c>
      <c r="AG55" s="28" t="n">
        <f aca="false">IF($R55&gt;0,Params!$B$9*Params!$B$4/(Params!$B$6*$R55),"n/a")</f>
        <v>0.136620237814569</v>
      </c>
      <c r="AH55" s="28" t="n">
        <f aca="false">IF($R55&gt;0,Params!$B$9*Params!$B$5/(Params!$B$6*$R55),"n/a")</f>
        <v>0.273240475629137</v>
      </c>
      <c r="AI55" s="28" t="n">
        <f aca="false">IF($R55&gt;0,Params!$B$15*Params!$B$4/(Params!$B$6*$R55),"n/a")</f>
        <v>0.0455400792715229</v>
      </c>
      <c r="AJ55" s="29" t="n">
        <f aca="false">MIN(Params!$B$9,AD55*Params!$B$8/Params!$B$4)</f>
        <v>0.06</v>
      </c>
      <c r="AK55" s="28" t="n">
        <f aca="false">IF($R55&gt;0,Params!$B$9*Params!$B$4/(Params!$B$6*$R55*Params!$B$8),"n/a")</f>
        <v>0.273240475629137</v>
      </c>
      <c r="AL55" s="27" t="str">
        <f aca="false">IFERROR(ciq($D55,"IQ_PE_EXCL"),"")</f>
        <v/>
      </c>
      <c r="AM55" s="27" t="str">
        <f aca="false">IFERROR(ciq($D55,"IQ_PE_EXCL_FWD_CIQ"),"")</f>
        <v/>
      </c>
      <c r="AN55" s="27" t="str">
        <f aca="false">IFERROR(ciq($D55,"IQ_PBV"),"")</f>
        <v/>
      </c>
      <c r="AO55" s="27" t="str">
        <f aca="false">IFERROR(ciq($D55,"IQ_TEV_EBITDA"),"")</f>
        <v/>
      </c>
      <c r="AP55" s="24" t="str">
        <f aca="false">IFERROR(ciq($D55,"IQ_RETURN_EQUITY"),"")</f>
        <v/>
      </c>
      <c r="AQ55" s="24" t="str">
        <f aca="false">IFERROR(ciq($D55,"IQ_RETURN_CAPITAL"),"")</f>
        <v/>
      </c>
      <c r="AR55" s="24" t="str">
        <f aca="false">IFERROR(ciq($D55,"IQ_TOTAL_REV_1YR_ANN_GROWTH"),"")</f>
        <v/>
      </c>
      <c r="AS55" s="24" t="str">
        <f aca="false">IFERROR(ciq($D55,"IQ_EPS_1YR_ANN_GROWTH"),"")</f>
        <v/>
      </c>
      <c r="AT55" s="24" t="str">
        <f aca="false">IFERROR(ciq($D55,"IQ_DIVIDEND_YIELD"),"")</f>
        <v/>
      </c>
      <c r="AU55" s="24" t="str">
        <f aca="false">IFERROR(ciq($D55,"IQ_NET_DEBT"),"")</f>
        <v/>
      </c>
    </row>
    <row r="56" customFormat="false" ht="15" hidden="false" customHeight="false" outlineLevel="0" collapsed="false">
      <c r="A56" s="8" t="s">
        <v>223</v>
      </c>
      <c r="B56" s="6" t="s">
        <v>224</v>
      </c>
      <c r="C56" s="8" t="s">
        <v>72</v>
      </c>
      <c r="D56" s="8" t="s">
        <v>681</v>
      </c>
      <c r="E56" s="8" t="s">
        <v>682</v>
      </c>
      <c r="F56" s="6" t="s">
        <v>683</v>
      </c>
      <c r="G56" s="8" t="s">
        <v>55</v>
      </c>
      <c r="H56" s="8" t="s">
        <v>66</v>
      </c>
      <c r="I56" s="8" t="s">
        <v>508</v>
      </c>
      <c r="J56" s="6" t="s">
        <v>158</v>
      </c>
      <c r="K56" s="6" t="s">
        <v>225</v>
      </c>
      <c r="L56" s="8"/>
      <c r="M56" s="23" t="n">
        <v>202000</v>
      </c>
      <c r="N56" s="23" t="n">
        <v>151500</v>
      </c>
      <c r="O56" s="23" t="n">
        <v>153018.75</v>
      </c>
      <c r="P56" s="24" t="n">
        <v>323.425462125</v>
      </c>
      <c r="Q56" s="24" t="n">
        <v>413.553582408333</v>
      </c>
      <c r="R56" s="24" t="n">
        <v>323.425462125</v>
      </c>
      <c r="S56" s="25" t="n">
        <v>0.00213482153217822</v>
      </c>
      <c r="T56" s="26" t="n">
        <v>0.556963213677376</v>
      </c>
      <c r="U56" s="23" t="n">
        <v>0</v>
      </c>
      <c r="V56" s="26" t="n">
        <v>-0.06</v>
      </c>
      <c r="W56" s="26" t="n">
        <v>-0.0170846934038302</v>
      </c>
      <c r="X56" s="26" t="n">
        <v>0.0204585471084462</v>
      </c>
      <c r="Y56" s="26" t="n">
        <v>-0.14528066734127</v>
      </c>
      <c r="Z56" s="26" t="n">
        <v>0.119234537368308</v>
      </c>
      <c r="AA56" s="26" t="n">
        <v>0.175737217135616</v>
      </c>
      <c r="AB56" s="26" t="n">
        <v>-0.304174742430496</v>
      </c>
      <c r="AC56" s="27" t="n">
        <v>0.537476492781509</v>
      </c>
      <c r="AD56" s="28" t="n">
        <f aca="false">Params!$B$6*Params!$B$7*$R56</f>
        <v>194.055277275</v>
      </c>
      <c r="AE56" s="29" t="n">
        <f aca="false">MIN(Params!$B$9,AD56/Params!$B$4)</f>
        <v>0.06</v>
      </c>
      <c r="AF56" s="29" t="n">
        <f aca="false">MIN(Params!$B$9,AD56/Params!$B$5)</f>
        <v>0.06</v>
      </c>
      <c r="AG56" s="28" t="n">
        <f aca="false">IF($R56&gt;0,Params!$B$9*Params!$B$4/(Params!$B$6*$R56),"n/a")</f>
        <v>0.463785377361622</v>
      </c>
      <c r="AH56" s="28" t="n">
        <f aca="false">IF($R56&gt;0,Params!$B$9*Params!$B$5/(Params!$B$6*$R56),"n/a")</f>
        <v>0.927570754723243</v>
      </c>
      <c r="AI56" s="28" t="n">
        <f aca="false">IF($R56&gt;0,Params!$B$15*Params!$B$4/(Params!$B$6*$R56),"n/a")</f>
        <v>0.154595125787207</v>
      </c>
      <c r="AJ56" s="29" t="n">
        <f aca="false">MIN(Params!$B$9,AD56*Params!$B$8/Params!$B$4)</f>
        <v>0.06</v>
      </c>
      <c r="AK56" s="28" t="n">
        <f aca="false">IF($R56&gt;0,Params!$B$9*Params!$B$4/(Params!$B$6*$R56*Params!$B$8),"n/a")</f>
        <v>0.927570754723243</v>
      </c>
      <c r="AL56" s="27" t="str">
        <f aca="false">IFERROR(ciq($D56,"IQ_PE_EXCL"),"")</f>
        <v/>
      </c>
      <c r="AM56" s="27" t="str">
        <f aca="false">IFERROR(ciq($D56,"IQ_PE_EXCL_FWD_CIQ"),"")</f>
        <v/>
      </c>
      <c r="AN56" s="27" t="str">
        <f aca="false">IFERROR(ciq($D56,"IQ_PBV"),"")</f>
        <v/>
      </c>
      <c r="AO56" s="27" t="str">
        <f aca="false">IFERROR(ciq($D56,"IQ_TEV_EBITDA"),"")</f>
        <v/>
      </c>
      <c r="AP56" s="24" t="str">
        <f aca="false">IFERROR(ciq($D56,"IQ_RETURN_EQUITY"),"")</f>
        <v/>
      </c>
      <c r="AQ56" s="24" t="str">
        <f aca="false">IFERROR(ciq($D56,"IQ_RETURN_CAPITAL"),"")</f>
        <v/>
      </c>
      <c r="AR56" s="24" t="str">
        <f aca="false">IFERROR(ciq($D56,"IQ_TOTAL_REV_1YR_ANN_GROWTH"),"")</f>
        <v/>
      </c>
      <c r="AS56" s="24" t="str">
        <f aca="false">IFERROR(ciq($D56,"IQ_EPS_1YR_ANN_GROWTH"),"")</f>
        <v/>
      </c>
      <c r="AT56" s="24" t="str">
        <f aca="false">IFERROR(ciq($D56,"IQ_DIVIDEND_YIELD"),"")</f>
        <v/>
      </c>
      <c r="AU56" s="24" t="str">
        <f aca="false">IFERROR(ciq($D56,"IQ_NET_DEBT"),"")</f>
        <v/>
      </c>
    </row>
    <row r="57" customFormat="false" ht="15" hidden="false" customHeight="false" outlineLevel="0" collapsed="false">
      <c r="A57" s="8" t="s">
        <v>684</v>
      </c>
      <c r="B57" s="8" t="s">
        <v>685</v>
      </c>
      <c r="C57" s="8" t="s">
        <v>72</v>
      </c>
      <c r="D57" s="8" t="s">
        <v>686</v>
      </c>
      <c r="E57" s="8" t="s">
        <v>687</v>
      </c>
      <c r="F57" s="6" t="s">
        <v>688</v>
      </c>
      <c r="G57" s="8" t="s">
        <v>55</v>
      </c>
      <c r="H57" s="8" t="s">
        <v>66</v>
      </c>
      <c r="I57" s="8"/>
      <c r="J57" s="8"/>
      <c r="K57" s="8"/>
      <c r="L57" s="8"/>
      <c r="M57" s="23" t="n">
        <v>665000</v>
      </c>
      <c r="N57" s="23" t="n">
        <v>146300</v>
      </c>
      <c r="O57" s="23" t="n">
        <v>163482</v>
      </c>
      <c r="P57" s="24" t="n">
        <v>967.525778508</v>
      </c>
      <c r="Q57" s="24" t="n">
        <v>1328.96811908083</v>
      </c>
      <c r="R57" s="24" t="n">
        <v>967.525778508</v>
      </c>
      <c r="S57" s="25" t="n">
        <v>0.00661329992144908</v>
      </c>
      <c r="T57" s="26" t="n">
        <v>1.05211623215598</v>
      </c>
      <c r="U57" s="23" t="n">
        <v>0</v>
      </c>
      <c r="V57" s="26" t="n">
        <v>-0.06</v>
      </c>
      <c r="W57" s="26" t="n">
        <v>-0.166473730754963</v>
      </c>
      <c r="X57" s="26" t="n">
        <v>-0.0825314573272553</v>
      </c>
      <c r="Y57" s="26" t="n">
        <v>-0.103217379551403</v>
      </c>
      <c r="Z57" s="26" t="n">
        <v>0.580639652514125</v>
      </c>
      <c r="AA57" s="26" t="n">
        <v>0.277854609921263</v>
      </c>
      <c r="AB57" s="26" t="n">
        <v>-0.347741013047736</v>
      </c>
      <c r="AC57" s="27" t="n">
        <v>0.441719615308939</v>
      </c>
      <c r="AD57" s="28" t="n">
        <f aca="false">Params!$B$6*Params!$B$7*$R57</f>
        <v>580.5154671048</v>
      </c>
      <c r="AE57" s="29" t="n">
        <f aca="false">MIN(Params!$B$9,AD57/Params!$B$4)</f>
        <v>0.06</v>
      </c>
      <c r="AF57" s="29" t="n">
        <f aca="false">MIN(Params!$B$9,AD57/Params!$B$5)</f>
        <v>0.06</v>
      </c>
      <c r="AG57" s="28" t="n">
        <f aca="false">IF($R57&gt;0,Params!$B$9*Params!$B$4/(Params!$B$6*$R57),"n/a")</f>
        <v>0.155034628877084</v>
      </c>
      <c r="AH57" s="28" t="n">
        <f aca="false">IF($R57&gt;0,Params!$B$9*Params!$B$5/(Params!$B$6*$R57),"n/a")</f>
        <v>0.310069257754169</v>
      </c>
      <c r="AI57" s="28" t="n">
        <f aca="false">IF($R57&gt;0,Params!$B$15*Params!$B$4/(Params!$B$6*$R57),"n/a")</f>
        <v>0.0516782096256948</v>
      </c>
      <c r="AJ57" s="29" t="n">
        <f aca="false">MIN(Params!$B$9,AD57*Params!$B$8/Params!$B$4)</f>
        <v>0.06</v>
      </c>
      <c r="AK57" s="28" t="n">
        <f aca="false">IF($R57&gt;0,Params!$B$9*Params!$B$4/(Params!$B$6*$R57*Params!$B$8),"n/a")</f>
        <v>0.310069257754169</v>
      </c>
      <c r="AL57" s="27" t="str">
        <f aca="false">IFERROR(ciq($D57,"IQ_PE_EXCL"),"")</f>
        <v/>
      </c>
      <c r="AM57" s="27" t="str">
        <f aca="false">IFERROR(ciq($D57,"IQ_PE_EXCL_FWD_CIQ"),"")</f>
        <v/>
      </c>
      <c r="AN57" s="27" t="str">
        <f aca="false">IFERROR(ciq($D57,"IQ_PBV"),"")</f>
        <v/>
      </c>
      <c r="AO57" s="27" t="str">
        <f aca="false">IFERROR(ciq($D57,"IQ_TEV_EBITDA"),"")</f>
        <v/>
      </c>
      <c r="AP57" s="24" t="str">
        <f aca="false">IFERROR(ciq($D57,"IQ_RETURN_EQUITY"),"")</f>
        <v/>
      </c>
      <c r="AQ57" s="24" t="str">
        <f aca="false">IFERROR(ciq($D57,"IQ_RETURN_CAPITAL"),"")</f>
        <v/>
      </c>
      <c r="AR57" s="24" t="str">
        <f aca="false">IFERROR(ciq($D57,"IQ_TOTAL_REV_1YR_ANN_GROWTH"),"")</f>
        <v/>
      </c>
      <c r="AS57" s="24" t="str">
        <f aca="false">IFERROR(ciq($D57,"IQ_EPS_1YR_ANN_GROWTH"),"")</f>
        <v/>
      </c>
      <c r="AT57" s="24" t="str">
        <f aca="false">IFERROR(ciq($D57,"IQ_DIVIDEND_YIELD"),"")</f>
        <v/>
      </c>
      <c r="AU57" s="24" t="str">
        <f aca="false">IFERROR(ciq($D57,"IQ_NET_DEBT"),"")</f>
        <v/>
      </c>
    </row>
    <row r="58" customFormat="false" ht="15" hidden="false" customHeight="false" outlineLevel="0" collapsed="false">
      <c r="A58" s="8" t="s">
        <v>689</v>
      </c>
      <c r="B58" s="6" t="s">
        <v>690</v>
      </c>
      <c r="C58" s="8" t="s">
        <v>72</v>
      </c>
      <c r="D58" s="8" t="s">
        <v>691</v>
      </c>
      <c r="E58" s="8" t="s">
        <v>692</v>
      </c>
      <c r="F58" s="6" t="s">
        <v>693</v>
      </c>
      <c r="G58" s="8" t="s">
        <v>55</v>
      </c>
      <c r="H58" s="8" t="s">
        <v>66</v>
      </c>
      <c r="I58" s="8"/>
      <c r="J58" s="8"/>
      <c r="K58" s="8"/>
      <c r="L58" s="8" t="s">
        <v>241</v>
      </c>
      <c r="M58" s="23" t="n">
        <v>126400</v>
      </c>
      <c r="N58" s="23" t="n">
        <v>137955.858352</v>
      </c>
      <c r="O58" s="23" t="n">
        <v>151063.8477413</v>
      </c>
      <c r="P58" s="24" t="n">
        <v>474.172943266</v>
      </c>
      <c r="Q58" s="24" t="n">
        <v>856.463115842833</v>
      </c>
      <c r="R58" s="24" t="n">
        <v>474.172943266</v>
      </c>
      <c r="S58" s="25" t="n">
        <v>0.00343713524695797</v>
      </c>
      <c r="T58" s="26" t="n">
        <v>0.87049780807559</v>
      </c>
      <c r="U58" s="23" t="n">
        <v>1</v>
      </c>
      <c r="V58" s="26" t="n">
        <v>-0.06</v>
      </c>
      <c r="W58" s="26" t="n">
        <v>-0.144105282524271</v>
      </c>
      <c r="X58" s="26" t="n">
        <v>-0.301118919047126</v>
      </c>
      <c r="Y58" s="26" t="n">
        <v>-0.377145389902158</v>
      </c>
      <c r="Z58" s="26" t="n">
        <v>-0.32705588811793</v>
      </c>
      <c r="AA58" s="26" t="n">
        <v>-0.309877228840849</v>
      </c>
      <c r="AB58" s="26" t="n">
        <v>-0.530075507867668</v>
      </c>
      <c r="AC58" s="27" t="n">
        <v>0.366172800348598</v>
      </c>
      <c r="AD58" s="28" t="n">
        <f aca="false">Params!$B$6*Params!$B$7*$R58</f>
        <v>284.5037659596</v>
      </c>
      <c r="AE58" s="29" t="n">
        <f aca="false">MIN(Params!$B$9,AD58/Params!$B$4)</f>
        <v>0.06</v>
      </c>
      <c r="AF58" s="29" t="n">
        <f aca="false">MIN(Params!$B$9,AD58/Params!$B$5)</f>
        <v>0.06</v>
      </c>
      <c r="AG58" s="28" t="n">
        <f aca="false">IF($R58&gt;0,Params!$B$9*Params!$B$4/(Params!$B$6*$R58),"n/a")</f>
        <v>0.316340276538836</v>
      </c>
      <c r="AH58" s="28" t="n">
        <f aca="false">IF($R58&gt;0,Params!$B$9*Params!$B$5/(Params!$B$6*$R58),"n/a")</f>
        <v>0.632680553077671</v>
      </c>
      <c r="AI58" s="28" t="n">
        <f aca="false">IF($R58&gt;0,Params!$B$15*Params!$B$4/(Params!$B$6*$R58),"n/a")</f>
        <v>0.105446758846279</v>
      </c>
      <c r="AJ58" s="29" t="n">
        <f aca="false">MIN(Params!$B$9,AD58*Params!$B$8/Params!$B$4)</f>
        <v>0.06</v>
      </c>
      <c r="AK58" s="28" t="n">
        <f aca="false">IF($R58&gt;0,Params!$B$9*Params!$B$4/(Params!$B$6*$R58*Params!$B$8),"n/a")</f>
        <v>0.632680553077671</v>
      </c>
      <c r="AL58" s="27" t="str">
        <f aca="false">IFERROR(ciq($D58,"IQ_PE_EXCL"),"")</f>
        <v/>
      </c>
      <c r="AM58" s="27" t="str">
        <f aca="false">IFERROR(ciq($D58,"IQ_PE_EXCL_FWD_CIQ"),"")</f>
        <v/>
      </c>
      <c r="AN58" s="27" t="str">
        <f aca="false">IFERROR(ciq($D58,"IQ_PBV"),"")</f>
        <v/>
      </c>
      <c r="AO58" s="27" t="str">
        <f aca="false">IFERROR(ciq($D58,"IQ_TEV_EBITDA"),"")</f>
        <v/>
      </c>
      <c r="AP58" s="24" t="str">
        <f aca="false">IFERROR(ciq($D58,"IQ_RETURN_EQUITY"),"")</f>
        <v/>
      </c>
      <c r="AQ58" s="24" t="str">
        <f aca="false">IFERROR(ciq($D58,"IQ_RETURN_CAPITAL"),"")</f>
        <v/>
      </c>
      <c r="AR58" s="24" t="str">
        <f aca="false">IFERROR(ciq($D58,"IQ_TOTAL_REV_1YR_ANN_GROWTH"),"")</f>
        <v/>
      </c>
      <c r="AS58" s="24" t="str">
        <f aca="false">IFERROR(ciq($D58,"IQ_EPS_1YR_ANN_GROWTH"),"")</f>
        <v/>
      </c>
      <c r="AT58" s="24" t="str">
        <f aca="false">IFERROR(ciq($D58,"IQ_DIVIDEND_YIELD"),"")</f>
        <v/>
      </c>
      <c r="AU58" s="24" t="str">
        <f aca="false">IFERROR(ciq($D58,"IQ_NET_DEBT"),"")</f>
        <v/>
      </c>
    </row>
    <row r="59" customFormat="false" ht="15" hidden="false" customHeight="false" outlineLevel="0" collapsed="false">
      <c r="A59" s="8" t="s">
        <v>226</v>
      </c>
      <c r="B59" s="8" t="s">
        <v>227</v>
      </c>
      <c r="C59" s="8" t="s">
        <v>72</v>
      </c>
      <c r="D59" s="8" t="s">
        <v>694</v>
      </c>
      <c r="E59" s="8" t="s">
        <v>695</v>
      </c>
      <c r="F59" s="6" t="s">
        <v>635</v>
      </c>
      <c r="G59" s="8" t="s">
        <v>55</v>
      </c>
      <c r="H59" s="8" t="s">
        <v>66</v>
      </c>
      <c r="I59" s="8" t="s">
        <v>508</v>
      </c>
      <c r="J59" s="6" t="s">
        <v>105</v>
      </c>
      <c r="K59" s="6" t="s">
        <v>228</v>
      </c>
      <c r="L59" s="8"/>
      <c r="M59" s="23" t="n">
        <v>53800</v>
      </c>
      <c r="N59" s="23" t="n">
        <v>135587.66653</v>
      </c>
      <c r="O59" s="23" t="n">
        <v>134100.7385885</v>
      </c>
      <c r="P59" s="24" t="n">
        <v>186.4703469755</v>
      </c>
      <c r="Q59" s="24" t="n">
        <v>222.6695417645</v>
      </c>
      <c r="R59" s="24" t="n">
        <v>186.4703469755</v>
      </c>
      <c r="S59" s="25" t="n">
        <v>0.00137527513930806</v>
      </c>
      <c r="T59" s="26" t="n">
        <v>0.368378345993097</v>
      </c>
      <c r="U59" s="23" t="n">
        <v>0</v>
      </c>
      <c r="V59" s="26" t="n">
        <v>-0.06</v>
      </c>
      <c r="W59" s="26" t="n">
        <v>0.0247217841565031</v>
      </c>
      <c r="X59" s="26" t="n">
        <v>-0.000366074444202225</v>
      </c>
      <c r="Y59" s="26" t="n">
        <v>-0.102487653977839</v>
      </c>
      <c r="Z59" s="26" t="n">
        <v>0.0222437391621908</v>
      </c>
      <c r="AA59" s="26" t="n">
        <v>-0.0242242620941817</v>
      </c>
      <c r="AB59" s="26" t="n">
        <v>-0.219621303348794</v>
      </c>
      <c r="AC59" s="27" t="n">
        <v>0.741082739305574</v>
      </c>
      <c r="AD59" s="28" t="n">
        <f aca="false">Params!$B$6*Params!$B$7*$R59</f>
        <v>111.8822081853</v>
      </c>
      <c r="AE59" s="29" t="n">
        <f aca="false">MIN(Params!$B$9,AD59/Params!$B$4)</f>
        <v>0.06</v>
      </c>
      <c r="AF59" s="29" t="n">
        <f aca="false">MIN(Params!$B$9,AD59/Params!$B$5)</f>
        <v>0.06</v>
      </c>
      <c r="AG59" s="28" t="n">
        <f aca="false">IF($R59&gt;0,Params!$B$9*Params!$B$4/(Params!$B$6*$R59),"n/a")</f>
        <v>0.804417444558669</v>
      </c>
      <c r="AH59" s="28" t="n">
        <f aca="false">IF($R59&gt;0,Params!$B$9*Params!$B$5/(Params!$B$6*$R59),"n/a")</f>
        <v>1.60883488911734</v>
      </c>
      <c r="AI59" s="28" t="n">
        <f aca="false">IF($R59&gt;0,Params!$B$15*Params!$B$4/(Params!$B$6*$R59),"n/a")</f>
        <v>0.268139148186223</v>
      </c>
      <c r="AJ59" s="29" t="n">
        <f aca="false">MIN(Params!$B$9,AD59*Params!$B$8/Params!$B$4)</f>
        <v>0.06</v>
      </c>
      <c r="AK59" s="28" t="n">
        <f aca="false">IF($R59&gt;0,Params!$B$9*Params!$B$4/(Params!$B$6*$R59*Params!$B$8),"n/a")</f>
        <v>1.60883488911734</v>
      </c>
      <c r="AL59" s="27" t="str">
        <f aca="false">IFERROR(ciq($D59,"IQ_PE_EXCL"),"")</f>
        <v/>
      </c>
      <c r="AM59" s="27" t="str">
        <f aca="false">IFERROR(ciq($D59,"IQ_PE_EXCL_FWD_CIQ"),"")</f>
        <v/>
      </c>
      <c r="AN59" s="27" t="str">
        <f aca="false">IFERROR(ciq($D59,"IQ_PBV"),"")</f>
        <v/>
      </c>
      <c r="AO59" s="27" t="str">
        <f aca="false">IFERROR(ciq($D59,"IQ_TEV_EBITDA"),"")</f>
        <v/>
      </c>
      <c r="AP59" s="24" t="str">
        <f aca="false">IFERROR(ciq($D59,"IQ_RETURN_EQUITY"),"")</f>
        <v/>
      </c>
      <c r="AQ59" s="24" t="str">
        <f aca="false">IFERROR(ciq($D59,"IQ_RETURN_CAPITAL"),"")</f>
        <v/>
      </c>
      <c r="AR59" s="24" t="str">
        <f aca="false">IFERROR(ciq($D59,"IQ_TOTAL_REV_1YR_ANN_GROWTH"),"")</f>
        <v/>
      </c>
      <c r="AS59" s="24" t="str">
        <f aca="false">IFERROR(ciq($D59,"IQ_EPS_1YR_ANN_GROWTH"),"")</f>
        <v/>
      </c>
      <c r="AT59" s="24" t="str">
        <f aca="false">IFERROR(ciq($D59,"IQ_DIVIDEND_YIELD"),"")</f>
        <v/>
      </c>
      <c r="AU59" s="24" t="str">
        <f aca="false">IFERROR(ciq($D59,"IQ_NET_DEBT"),"")</f>
        <v/>
      </c>
    </row>
    <row r="60" customFormat="false" ht="15" hidden="false" customHeight="false" outlineLevel="0" collapsed="false">
      <c r="A60" s="8" t="s">
        <v>696</v>
      </c>
      <c r="B60" s="6" t="s">
        <v>697</v>
      </c>
      <c r="C60" s="8" t="s">
        <v>72</v>
      </c>
      <c r="D60" s="8" t="s">
        <v>698</v>
      </c>
      <c r="E60" s="8" t="s">
        <v>699</v>
      </c>
      <c r="F60" s="6" t="s">
        <v>700</v>
      </c>
      <c r="G60" s="8" t="s">
        <v>55</v>
      </c>
      <c r="H60" s="8" t="s">
        <v>66</v>
      </c>
      <c r="I60" s="8"/>
      <c r="J60" s="8"/>
      <c r="K60" s="8"/>
      <c r="L60" s="8"/>
      <c r="M60" s="23" t="n">
        <v>119500</v>
      </c>
      <c r="N60" s="23" t="n">
        <v>133070.139175</v>
      </c>
      <c r="O60" s="23" t="n">
        <v>129523.45805975</v>
      </c>
      <c r="P60" s="24" t="n">
        <v>862.548913975</v>
      </c>
      <c r="Q60" s="24" t="n">
        <v>870.715998466667</v>
      </c>
      <c r="R60" s="24" t="n">
        <v>862.548913975</v>
      </c>
      <c r="S60" s="25" t="n">
        <v>0.00648191186484494</v>
      </c>
      <c r="T60" s="26" t="n">
        <v>1.10966960602802</v>
      </c>
      <c r="U60" s="23" t="n">
        <v>1</v>
      </c>
      <c r="V60" s="26" t="n">
        <v>-0.06</v>
      </c>
      <c r="W60" s="26" t="n">
        <v>0.0854870032107062</v>
      </c>
      <c r="X60" s="26" t="n">
        <v>-0.0230025269314642</v>
      </c>
      <c r="Y60" s="26" t="n">
        <v>-0.196932287974174</v>
      </c>
      <c r="Z60" s="26" t="n">
        <v>0.704945772710959</v>
      </c>
      <c r="AA60" s="26" t="n">
        <v>0.858393172571961</v>
      </c>
      <c r="AB60" s="26" t="n">
        <v>-0.366828897580932</v>
      </c>
      <c r="AC60" s="27" t="n">
        <v>0.591764995596012</v>
      </c>
      <c r="AD60" s="28" t="n">
        <f aca="false">Params!$B$6*Params!$B$7*$R60</f>
        <v>517.529348385</v>
      </c>
      <c r="AE60" s="29" t="n">
        <f aca="false">MIN(Params!$B$9,AD60/Params!$B$4)</f>
        <v>0.06</v>
      </c>
      <c r="AF60" s="29" t="n">
        <f aca="false">MIN(Params!$B$9,AD60/Params!$B$5)</f>
        <v>0.06</v>
      </c>
      <c r="AG60" s="28" t="n">
        <f aca="false">IF($R60&gt;0,Params!$B$9*Params!$B$4/(Params!$B$6*$R60),"n/a")</f>
        <v>0.173903181106257</v>
      </c>
      <c r="AH60" s="28" t="n">
        <f aca="false">IF($R60&gt;0,Params!$B$9*Params!$B$5/(Params!$B$6*$R60),"n/a")</f>
        <v>0.347806362212515</v>
      </c>
      <c r="AI60" s="28" t="n">
        <f aca="false">IF($R60&gt;0,Params!$B$15*Params!$B$4/(Params!$B$6*$R60),"n/a")</f>
        <v>0.0579677270354191</v>
      </c>
      <c r="AJ60" s="29" t="n">
        <f aca="false">MIN(Params!$B$9,AD60*Params!$B$8/Params!$B$4)</f>
        <v>0.06</v>
      </c>
      <c r="AK60" s="28" t="n">
        <f aca="false">IF($R60&gt;0,Params!$B$9*Params!$B$4/(Params!$B$6*$R60*Params!$B$8),"n/a")</f>
        <v>0.347806362212515</v>
      </c>
      <c r="AL60" s="27" t="str">
        <f aca="false">IFERROR(ciq($D60,"IQ_PE_EXCL"),"")</f>
        <v/>
      </c>
      <c r="AM60" s="27" t="str">
        <f aca="false">IFERROR(ciq($D60,"IQ_PE_EXCL_FWD_CIQ"),"")</f>
        <v/>
      </c>
      <c r="AN60" s="27" t="str">
        <f aca="false">IFERROR(ciq($D60,"IQ_PBV"),"")</f>
        <v/>
      </c>
      <c r="AO60" s="27" t="str">
        <f aca="false">IFERROR(ciq($D60,"IQ_TEV_EBITDA"),"")</f>
        <v/>
      </c>
      <c r="AP60" s="24" t="str">
        <f aca="false">IFERROR(ciq($D60,"IQ_RETURN_EQUITY"),"")</f>
        <v/>
      </c>
      <c r="AQ60" s="24" t="str">
        <f aca="false">IFERROR(ciq($D60,"IQ_RETURN_CAPITAL"),"")</f>
        <v/>
      </c>
      <c r="AR60" s="24" t="str">
        <f aca="false">IFERROR(ciq($D60,"IQ_TOTAL_REV_1YR_ANN_GROWTH"),"")</f>
        <v/>
      </c>
      <c r="AS60" s="24" t="str">
        <f aca="false">IFERROR(ciq($D60,"IQ_EPS_1YR_ANN_GROWTH"),"")</f>
        <v/>
      </c>
      <c r="AT60" s="24" t="str">
        <f aca="false">IFERROR(ciq($D60,"IQ_DIVIDEND_YIELD"),"")</f>
        <v/>
      </c>
      <c r="AU60" s="24" t="str">
        <f aca="false">IFERROR(ciq($D60,"IQ_NET_DEBT"),"")</f>
        <v/>
      </c>
    </row>
    <row r="61" customFormat="false" ht="15" hidden="false" customHeight="false" outlineLevel="0" collapsed="false">
      <c r="A61" s="8" t="s">
        <v>701</v>
      </c>
      <c r="B61" s="8" t="s">
        <v>702</v>
      </c>
      <c r="C61" s="8" t="s">
        <v>72</v>
      </c>
      <c r="D61" s="8" t="s">
        <v>703</v>
      </c>
      <c r="E61" s="8" t="s">
        <v>704</v>
      </c>
      <c r="F61" s="6" t="s">
        <v>539</v>
      </c>
      <c r="G61" s="8" t="s">
        <v>55</v>
      </c>
      <c r="H61" s="8" t="s">
        <v>66</v>
      </c>
      <c r="I61" s="8"/>
      <c r="J61" s="8"/>
      <c r="K61" s="8"/>
      <c r="L61" s="8"/>
      <c r="M61" s="23" t="n">
        <v>203000</v>
      </c>
      <c r="N61" s="23" t="n">
        <v>132965.70847</v>
      </c>
      <c r="O61" s="23" t="n">
        <v>116862.44766835</v>
      </c>
      <c r="P61" s="24" t="n">
        <v>409.780255697</v>
      </c>
      <c r="Q61" s="24" t="n">
        <v>374.3042671455</v>
      </c>
      <c r="R61" s="24" t="n">
        <v>374.3042671455</v>
      </c>
      <c r="S61" s="25" t="n">
        <v>0.00308184915052331</v>
      </c>
      <c r="T61" s="26" t="n">
        <v>0.473327873605816</v>
      </c>
      <c r="U61" s="23" t="n">
        <v>0</v>
      </c>
      <c r="V61" s="26" t="n">
        <v>-0.06</v>
      </c>
      <c r="W61" s="26" t="n">
        <v>0.304801394152722</v>
      </c>
      <c r="X61" s="26" t="n">
        <v>0.412135118300778</v>
      </c>
      <c r="Y61" s="26" t="n">
        <v>0.108443911311943</v>
      </c>
      <c r="Z61" s="26" t="n">
        <v>0.548847981702278</v>
      </c>
      <c r="AA61" s="26" t="n">
        <v>0.542797199388505</v>
      </c>
      <c r="AB61" s="26" t="n">
        <v>-0.0118277893074175</v>
      </c>
      <c r="AC61" s="27" t="n">
        <v>1.0593841112449</v>
      </c>
      <c r="AD61" s="28" t="n">
        <f aca="false">Params!$B$6*Params!$B$7*$R61</f>
        <v>224.5825602873</v>
      </c>
      <c r="AE61" s="29" t="n">
        <f aca="false">MIN(Params!$B$9,AD61/Params!$B$4)</f>
        <v>0.06</v>
      </c>
      <c r="AF61" s="29" t="n">
        <f aca="false">MIN(Params!$B$9,AD61/Params!$B$5)</f>
        <v>0.06</v>
      </c>
      <c r="AG61" s="28" t="n">
        <f aca="false">IF($R61&gt;0,Params!$B$9*Params!$B$4/(Params!$B$6*$R61),"n/a")</f>
        <v>0.400743494440826</v>
      </c>
      <c r="AH61" s="28" t="n">
        <f aca="false">IF($R61&gt;0,Params!$B$9*Params!$B$5/(Params!$B$6*$R61),"n/a")</f>
        <v>0.801486988881651</v>
      </c>
      <c r="AI61" s="28" t="n">
        <f aca="false">IF($R61&gt;0,Params!$B$15*Params!$B$4/(Params!$B$6*$R61),"n/a")</f>
        <v>0.133581164813609</v>
      </c>
      <c r="AJ61" s="29" t="n">
        <f aca="false">MIN(Params!$B$9,AD61*Params!$B$8/Params!$B$4)</f>
        <v>0.06</v>
      </c>
      <c r="AK61" s="28" t="n">
        <f aca="false">IF($R61&gt;0,Params!$B$9*Params!$B$4/(Params!$B$6*$R61*Params!$B$8),"n/a")</f>
        <v>0.801486988881651</v>
      </c>
      <c r="AL61" s="27" t="str">
        <f aca="false">IFERROR(ciq($D61,"IQ_PE_EXCL"),"")</f>
        <v/>
      </c>
      <c r="AM61" s="27" t="str">
        <f aca="false">IFERROR(ciq($D61,"IQ_PE_EXCL_FWD_CIQ"),"")</f>
        <v/>
      </c>
      <c r="AN61" s="27" t="str">
        <f aca="false">IFERROR(ciq($D61,"IQ_PBV"),"")</f>
        <v/>
      </c>
      <c r="AO61" s="27" t="str">
        <f aca="false">IFERROR(ciq($D61,"IQ_TEV_EBITDA"),"")</f>
        <v/>
      </c>
      <c r="AP61" s="24" t="str">
        <f aca="false">IFERROR(ciq($D61,"IQ_RETURN_EQUITY"),"")</f>
        <v/>
      </c>
      <c r="AQ61" s="24" t="str">
        <f aca="false">IFERROR(ciq($D61,"IQ_RETURN_CAPITAL"),"")</f>
        <v/>
      </c>
      <c r="AR61" s="24" t="str">
        <f aca="false">IFERROR(ciq($D61,"IQ_TOTAL_REV_1YR_ANN_GROWTH"),"")</f>
        <v/>
      </c>
      <c r="AS61" s="24" t="str">
        <f aca="false">IFERROR(ciq($D61,"IQ_EPS_1YR_ANN_GROWTH"),"")</f>
        <v/>
      </c>
      <c r="AT61" s="24" t="str">
        <f aca="false">IFERROR(ciq($D61,"IQ_DIVIDEND_YIELD"),"")</f>
        <v/>
      </c>
      <c r="AU61" s="24" t="str">
        <f aca="false">IFERROR(ciq($D61,"IQ_NET_DEBT"),"")</f>
        <v/>
      </c>
    </row>
    <row r="62" customFormat="false" ht="15" hidden="false" customHeight="false" outlineLevel="0" collapsed="false">
      <c r="A62" s="8" t="s">
        <v>705</v>
      </c>
      <c r="B62" s="8" t="s">
        <v>706</v>
      </c>
      <c r="C62" s="8" t="s">
        <v>72</v>
      </c>
      <c r="D62" s="8" t="s">
        <v>707</v>
      </c>
      <c r="E62" s="8" t="s">
        <v>708</v>
      </c>
      <c r="F62" s="6" t="s">
        <v>523</v>
      </c>
      <c r="G62" s="8" t="s">
        <v>55</v>
      </c>
      <c r="H62" s="8" t="s">
        <v>66</v>
      </c>
      <c r="I62" s="8"/>
      <c r="J62" s="8"/>
      <c r="K62" s="8"/>
      <c r="L62" s="8" t="s">
        <v>115</v>
      </c>
      <c r="M62" s="23" t="n">
        <v>556000</v>
      </c>
      <c r="N62" s="23" t="n">
        <v>131589.11492</v>
      </c>
      <c r="O62" s="23" t="n">
        <v>139328.258909</v>
      </c>
      <c r="P62" s="24" t="n">
        <v>1725.86137475</v>
      </c>
      <c r="Q62" s="24" t="n">
        <v>2626.57362433333</v>
      </c>
      <c r="R62" s="24" t="n">
        <v>1725.86137475</v>
      </c>
      <c r="S62" s="25" t="n">
        <v>0.0131155329663798</v>
      </c>
      <c r="T62" s="26" t="n">
        <v>1.07954720324491</v>
      </c>
      <c r="U62" s="23" t="n">
        <v>2</v>
      </c>
      <c r="V62" s="26" t="n">
        <v>-0.04</v>
      </c>
      <c r="W62" s="26" t="n">
        <v>-0.0748844821152217</v>
      </c>
      <c r="X62" s="26" t="n">
        <v>-0.511056141333426</v>
      </c>
      <c r="Y62" s="26" t="n">
        <v>1.1306976541461</v>
      </c>
      <c r="Z62" s="26" t="n">
        <v>1.05214465394048</v>
      </c>
      <c r="AA62" s="26" t="n">
        <v>2.50420006113632</v>
      </c>
      <c r="AB62" s="26" t="n">
        <v>-0.636626011088409</v>
      </c>
      <c r="AC62" s="27" t="n">
        <v>0.599879955139742</v>
      </c>
      <c r="AD62" s="28" t="n">
        <f aca="false">Params!$B$6*Params!$B$7*$R62</f>
        <v>1035.51682485</v>
      </c>
      <c r="AE62" s="29" t="n">
        <f aca="false">MIN(Params!$B$9,AD62/Params!$B$4)</f>
        <v>0.06</v>
      </c>
      <c r="AF62" s="29" t="n">
        <f aca="false">MIN(Params!$B$9,AD62/Params!$B$5)</f>
        <v>0.06</v>
      </c>
      <c r="AG62" s="28" t="n">
        <f aca="false">IF($R62&gt;0,Params!$B$9*Params!$B$4/(Params!$B$6*$R62),"n/a")</f>
        <v>0.0869131218732607</v>
      </c>
      <c r="AH62" s="28" t="n">
        <f aca="false">IF($R62&gt;0,Params!$B$9*Params!$B$5/(Params!$B$6*$R62),"n/a")</f>
        <v>0.173826243746521</v>
      </c>
      <c r="AI62" s="28" t="n">
        <f aca="false">IF($R62&gt;0,Params!$B$15*Params!$B$4/(Params!$B$6*$R62),"n/a")</f>
        <v>0.0289710406244202</v>
      </c>
      <c r="AJ62" s="29" t="n">
        <f aca="false">MIN(Params!$B$9,AD62*Params!$B$8/Params!$B$4)</f>
        <v>0.06</v>
      </c>
      <c r="AK62" s="28" t="n">
        <f aca="false">IF($R62&gt;0,Params!$B$9*Params!$B$4/(Params!$B$6*$R62*Params!$B$8),"n/a")</f>
        <v>0.173826243746521</v>
      </c>
      <c r="AL62" s="27" t="str">
        <f aca="false">IFERROR(ciq($D62,"IQ_PE_EXCL"),"")</f>
        <v/>
      </c>
      <c r="AM62" s="27" t="str">
        <f aca="false">IFERROR(ciq($D62,"IQ_PE_EXCL_FWD_CIQ"),"")</f>
        <v/>
      </c>
      <c r="AN62" s="27" t="str">
        <f aca="false">IFERROR(ciq($D62,"IQ_PBV"),"")</f>
        <v/>
      </c>
      <c r="AO62" s="27" t="str">
        <f aca="false">IFERROR(ciq($D62,"IQ_TEV_EBITDA"),"")</f>
        <v/>
      </c>
      <c r="AP62" s="24" t="str">
        <f aca="false">IFERROR(ciq($D62,"IQ_RETURN_EQUITY"),"")</f>
        <v/>
      </c>
      <c r="AQ62" s="24" t="str">
        <f aca="false">IFERROR(ciq($D62,"IQ_RETURN_CAPITAL"),"")</f>
        <v/>
      </c>
      <c r="AR62" s="24" t="str">
        <f aca="false">IFERROR(ciq($D62,"IQ_TOTAL_REV_1YR_ANN_GROWTH"),"")</f>
        <v/>
      </c>
      <c r="AS62" s="24" t="str">
        <f aca="false">IFERROR(ciq($D62,"IQ_EPS_1YR_ANN_GROWTH"),"")</f>
        <v/>
      </c>
      <c r="AT62" s="24" t="str">
        <f aca="false">IFERROR(ciq($D62,"IQ_DIVIDEND_YIELD"),"")</f>
        <v/>
      </c>
      <c r="AU62" s="24" t="str">
        <f aca="false">IFERROR(ciq($D62,"IQ_NET_DEBT"),"")</f>
        <v/>
      </c>
    </row>
    <row r="63" customFormat="false" ht="15" hidden="false" customHeight="false" outlineLevel="0" collapsed="false">
      <c r="A63" s="8" t="s">
        <v>709</v>
      </c>
      <c r="B63" s="6" t="s">
        <v>710</v>
      </c>
      <c r="C63" s="8" t="s">
        <v>72</v>
      </c>
      <c r="D63" s="8" t="s">
        <v>711</v>
      </c>
      <c r="E63" s="8" t="s">
        <v>712</v>
      </c>
      <c r="F63" s="8"/>
      <c r="G63" s="8" t="s">
        <v>55</v>
      </c>
      <c r="H63" s="8" t="s">
        <v>66</v>
      </c>
      <c r="I63" s="8"/>
      <c r="J63" s="8"/>
      <c r="K63" s="8"/>
      <c r="L63" s="8" t="s">
        <v>241</v>
      </c>
      <c r="M63" s="23" t="n">
        <v>68000</v>
      </c>
      <c r="N63" s="23" t="n">
        <v>128465.18452</v>
      </c>
      <c r="O63" s="23" t="n">
        <v>139469.73892925</v>
      </c>
      <c r="P63" s="24" t="n">
        <v>268.789122675</v>
      </c>
      <c r="Q63" s="24" t="n">
        <v>500.503435216667</v>
      </c>
      <c r="R63" s="24" t="n">
        <v>268.789122675</v>
      </c>
      <c r="S63" s="25" t="n">
        <v>0.00209231103103389</v>
      </c>
      <c r="T63" s="26" t="n">
        <v>0.946858225745025</v>
      </c>
      <c r="U63" s="23" t="n">
        <v>0</v>
      </c>
      <c r="V63" s="26" t="n">
        <v>-0.06</v>
      </c>
      <c r="W63" s="26" t="n">
        <v>-0.0608671348063485</v>
      </c>
      <c r="X63" s="26" t="n">
        <v>-0.215015223252041</v>
      </c>
      <c r="Y63" s="26" t="n">
        <v>-0.539856470224422</v>
      </c>
      <c r="Z63" s="26" t="n">
        <v>0.249303616962304</v>
      </c>
      <c r="AA63" s="26" t="n">
        <v>0.277818926261737</v>
      </c>
      <c r="AB63" s="26" t="n">
        <v>-0.582292747114445</v>
      </c>
      <c r="AC63" s="27" t="n">
        <v>0.287302780846791</v>
      </c>
      <c r="AD63" s="28" t="n">
        <f aca="false">Params!$B$6*Params!$B$7*$R63</f>
        <v>161.273473605</v>
      </c>
      <c r="AE63" s="29" t="n">
        <f aca="false">MIN(Params!$B$9,AD63/Params!$B$4)</f>
        <v>0.06</v>
      </c>
      <c r="AF63" s="29" t="n">
        <f aca="false">MIN(Params!$B$9,AD63/Params!$B$5)</f>
        <v>0.06</v>
      </c>
      <c r="AG63" s="28" t="n">
        <f aca="false">IF($R63&gt;0,Params!$B$9*Params!$B$4/(Params!$B$6*$R63),"n/a")</f>
        <v>0.558058296806039</v>
      </c>
      <c r="AH63" s="28" t="n">
        <f aca="false">IF($R63&gt;0,Params!$B$9*Params!$B$5/(Params!$B$6*$R63),"n/a")</f>
        <v>1.11611659361208</v>
      </c>
      <c r="AI63" s="28" t="n">
        <f aca="false">IF($R63&gt;0,Params!$B$15*Params!$B$4/(Params!$B$6*$R63),"n/a")</f>
        <v>0.18601943226868</v>
      </c>
      <c r="AJ63" s="29" t="n">
        <f aca="false">MIN(Params!$B$9,AD63*Params!$B$8/Params!$B$4)</f>
        <v>0.06</v>
      </c>
      <c r="AK63" s="28" t="n">
        <f aca="false">IF($R63&gt;0,Params!$B$9*Params!$B$4/(Params!$B$6*$R63*Params!$B$8),"n/a")</f>
        <v>1.11611659361208</v>
      </c>
      <c r="AL63" s="27" t="str">
        <f aca="false">IFERROR(ciq($D63,"IQ_PE_EXCL"),"")</f>
        <v/>
      </c>
      <c r="AM63" s="27" t="str">
        <f aca="false">IFERROR(ciq($D63,"IQ_PE_EXCL_FWD_CIQ"),"")</f>
        <v/>
      </c>
      <c r="AN63" s="27" t="str">
        <f aca="false">IFERROR(ciq($D63,"IQ_PBV"),"")</f>
        <v/>
      </c>
      <c r="AO63" s="27" t="str">
        <f aca="false">IFERROR(ciq($D63,"IQ_TEV_EBITDA"),"")</f>
        <v/>
      </c>
      <c r="AP63" s="24" t="str">
        <f aca="false">IFERROR(ciq($D63,"IQ_RETURN_EQUITY"),"")</f>
        <v/>
      </c>
      <c r="AQ63" s="24" t="str">
        <f aca="false">IFERROR(ciq($D63,"IQ_RETURN_CAPITAL"),"")</f>
        <v/>
      </c>
      <c r="AR63" s="24" t="str">
        <f aca="false">IFERROR(ciq($D63,"IQ_TOTAL_REV_1YR_ANN_GROWTH"),"")</f>
        <v/>
      </c>
      <c r="AS63" s="24" t="str">
        <f aca="false">IFERROR(ciq($D63,"IQ_EPS_1YR_ANN_GROWTH"),"")</f>
        <v/>
      </c>
      <c r="AT63" s="24" t="str">
        <f aca="false">IFERROR(ciq($D63,"IQ_DIVIDEND_YIELD"),"")</f>
        <v/>
      </c>
      <c r="AU63" s="24" t="str">
        <f aca="false">IFERROR(ciq($D63,"IQ_NET_DEBT"),"")</f>
        <v/>
      </c>
    </row>
    <row r="64" customFormat="false" ht="15" hidden="false" customHeight="false" outlineLevel="0" collapsed="false">
      <c r="A64" s="8" t="s">
        <v>713</v>
      </c>
      <c r="B64" s="6" t="s">
        <v>714</v>
      </c>
      <c r="C64" s="8" t="s">
        <v>72</v>
      </c>
      <c r="D64" s="8" t="s">
        <v>715</v>
      </c>
      <c r="E64" s="8" t="s">
        <v>716</v>
      </c>
      <c r="F64" s="6" t="s">
        <v>545</v>
      </c>
      <c r="G64" s="8" t="s">
        <v>55</v>
      </c>
      <c r="H64" s="8" t="s">
        <v>66</v>
      </c>
      <c r="I64" s="8"/>
      <c r="J64" s="8"/>
      <c r="K64" s="8"/>
      <c r="L64" s="8"/>
      <c r="M64" s="23" t="n">
        <v>125000</v>
      </c>
      <c r="N64" s="23" t="n">
        <v>121843.88375</v>
      </c>
      <c r="O64" s="23" t="n">
        <v>133843.0694217</v>
      </c>
      <c r="P64" s="24" t="n">
        <v>570.076103175</v>
      </c>
      <c r="Q64" s="24" t="n">
        <v>668.039845016667</v>
      </c>
      <c r="R64" s="24" t="n">
        <v>570.076103175</v>
      </c>
      <c r="S64" s="25" t="n">
        <v>0.00467874205606155</v>
      </c>
      <c r="T64" s="26" t="n">
        <v>0.80834374849368</v>
      </c>
      <c r="U64" s="23" t="n">
        <v>1</v>
      </c>
      <c r="V64" s="26" t="n">
        <v>-0.06</v>
      </c>
      <c r="W64" s="26" t="n">
        <v>-0.146658854275608</v>
      </c>
      <c r="X64" s="26" t="n">
        <v>-0.0209377062628732</v>
      </c>
      <c r="Y64" s="26" t="n">
        <v>-0.28728986646565</v>
      </c>
      <c r="Z64" s="26" t="n">
        <v>0.092948834574913</v>
      </c>
      <c r="AA64" s="26" t="n">
        <v>0.327520920988761</v>
      </c>
      <c r="AB64" s="26" t="n">
        <v>-0.381127029941615</v>
      </c>
      <c r="AC64" s="27" t="n">
        <v>0.595347622207572</v>
      </c>
      <c r="AD64" s="28" t="n">
        <f aca="false">Params!$B$6*Params!$B$7*$R64</f>
        <v>342.045661905</v>
      </c>
      <c r="AE64" s="29" t="n">
        <f aca="false">MIN(Params!$B$9,AD64/Params!$B$4)</f>
        <v>0.06</v>
      </c>
      <c r="AF64" s="29" t="n">
        <f aca="false">MIN(Params!$B$9,AD64/Params!$B$5)</f>
        <v>0.06</v>
      </c>
      <c r="AG64" s="28" t="n">
        <f aca="false">IF($R64&gt;0,Params!$B$9*Params!$B$4/(Params!$B$6*$R64),"n/a")</f>
        <v>0.263122764074104</v>
      </c>
      <c r="AH64" s="28" t="n">
        <f aca="false">IF($R64&gt;0,Params!$B$9*Params!$B$5/(Params!$B$6*$R64),"n/a")</f>
        <v>0.526245528148208</v>
      </c>
      <c r="AI64" s="28" t="n">
        <f aca="false">IF($R64&gt;0,Params!$B$15*Params!$B$4/(Params!$B$6*$R64),"n/a")</f>
        <v>0.0877075880247013</v>
      </c>
      <c r="AJ64" s="29" t="n">
        <f aca="false">MIN(Params!$B$9,AD64*Params!$B$8/Params!$B$4)</f>
        <v>0.06</v>
      </c>
      <c r="AK64" s="28" t="n">
        <f aca="false">IF($R64&gt;0,Params!$B$9*Params!$B$4/(Params!$B$6*$R64*Params!$B$8),"n/a")</f>
        <v>0.526245528148208</v>
      </c>
      <c r="AL64" s="27" t="str">
        <f aca="false">IFERROR(ciq($D64,"IQ_PE_EXCL"),"")</f>
        <v/>
      </c>
      <c r="AM64" s="27" t="str">
        <f aca="false">IFERROR(ciq($D64,"IQ_PE_EXCL_FWD_CIQ"),"")</f>
        <v/>
      </c>
      <c r="AN64" s="27" t="str">
        <f aca="false">IFERROR(ciq($D64,"IQ_PBV"),"")</f>
        <v/>
      </c>
      <c r="AO64" s="27" t="str">
        <f aca="false">IFERROR(ciq($D64,"IQ_TEV_EBITDA"),"")</f>
        <v/>
      </c>
      <c r="AP64" s="24" t="str">
        <f aca="false">IFERROR(ciq($D64,"IQ_RETURN_EQUITY"),"")</f>
        <v/>
      </c>
      <c r="AQ64" s="24" t="str">
        <f aca="false">IFERROR(ciq($D64,"IQ_RETURN_CAPITAL"),"")</f>
        <v/>
      </c>
      <c r="AR64" s="24" t="str">
        <f aca="false">IFERROR(ciq($D64,"IQ_TOTAL_REV_1YR_ANN_GROWTH"),"")</f>
        <v/>
      </c>
      <c r="AS64" s="24" t="str">
        <f aca="false">IFERROR(ciq($D64,"IQ_EPS_1YR_ANN_GROWTH"),"")</f>
        <v/>
      </c>
      <c r="AT64" s="24" t="str">
        <f aca="false">IFERROR(ciq($D64,"IQ_DIVIDEND_YIELD"),"")</f>
        <v/>
      </c>
      <c r="AU64" s="24" t="str">
        <f aca="false">IFERROR(ciq($D64,"IQ_NET_DEBT"),"")</f>
        <v/>
      </c>
    </row>
    <row r="65" customFormat="false" ht="15" hidden="false" customHeight="false" outlineLevel="0" collapsed="false">
      <c r="A65" s="8" t="s">
        <v>717</v>
      </c>
      <c r="B65" s="6" t="s">
        <v>718</v>
      </c>
      <c r="C65" s="8" t="s">
        <v>74</v>
      </c>
      <c r="D65" s="8" t="s">
        <v>719</v>
      </c>
      <c r="E65" s="8" t="s">
        <v>720</v>
      </c>
      <c r="F65" s="6" t="s">
        <v>721</v>
      </c>
      <c r="G65" s="8" t="s">
        <v>55</v>
      </c>
      <c r="H65" s="8" t="s">
        <v>66</v>
      </c>
      <c r="I65" s="8"/>
      <c r="J65" s="8"/>
      <c r="K65" s="8"/>
      <c r="L65" s="8" t="s">
        <v>241</v>
      </c>
      <c r="M65" s="23" t="n">
        <v>81700</v>
      </c>
      <c r="N65" s="23" t="n">
        <v>110929.116184</v>
      </c>
      <c r="O65" s="23" t="n">
        <v>119347.237608</v>
      </c>
      <c r="P65" s="24" t="n">
        <v>764.0663111</v>
      </c>
      <c r="Q65" s="24" t="n">
        <v>994.16039145</v>
      </c>
      <c r="R65" s="24" t="n">
        <v>764.0663111</v>
      </c>
      <c r="S65" s="25" t="n">
        <v>0.0068878788309521</v>
      </c>
      <c r="T65" s="26" t="n">
        <v>1.02112970978392</v>
      </c>
      <c r="U65" s="23" t="n">
        <v>0</v>
      </c>
      <c r="V65" s="26" t="n">
        <v>-0.06</v>
      </c>
      <c r="W65" s="26" t="n">
        <v>-0.00711417078805654</v>
      </c>
      <c r="X65" s="26" t="n">
        <v>-0.23920864090756</v>
      </c>
      <c r="Y65" s="26" t="n">
        <v>-0.494284142462879</v>
      </c>
      <c r="Z65" s="26" t="n">
        <v>-0.0999487143649964</v>
      </c>
      <c r="AA65" s="26" t="n">
        <v>0.479878832866861</v>
      </c>
      <c r="AB65" s="26" t="n">
        <v>-0.558210759662106</v>
      </c>
      <c r="AC65" s="27" t="n">
        <v>0.502187158466975</v>
      </c>
      <c r="AD65" s="28" t="n">
        <f aca="false">Params!$B$6*Params!$B$7*$R65</f>
        <v>458.43978666</v>
      </c>
      <c r="AE65" s="29" t="n">
        <f aca="false">MIN(Params!$B$9,AD65/Params!$B$4)</f>
        <v>0.06</v>
      </c>
      <c r="AF65" s="29" t="n">
        <f aca="false">MIN(Params!$B$9,AD65/Params!$B$5)</f>
        <v>0.06</v>
      </c>
      <c r="AG65" s="28" t="n">
        <f aca="false">IF($R65&gt;0,Params!$B$9*Params!$B$4/(Params!$B$6*$R65),"n/a")</f>
        <v>0.19631803918177</v>
      </c>
      <c r="AH65" s="28" t="n">
        <f aca="false">IF($R65&gt;0,Params!$B$9*Params!$B$5/(Params!$B$6*$R65),"n/a")</f>
        <v>0.392636078363539</v>
      </c>
      <c r="AI65" s="28" t="n">
        <f aca="false">IF($R65&gt;0,Params!$B$15*Params!$B$4/(Params!$B$6*$R65),"n/a")</f>
        <v>0.0654393463939232</v>
      </c>
      <c r="AJ65" s="29" t="n">
        <f aca="false">MIN(Params!$B$9,AD65*Params!$B$8/Params!$B$4)</f>
        <v>0.06</v>
      </c>
      <c r="AK65" s="28" t="n">
        <f aca="false">IF($R65&gt;0,Params!$B$9*Params!$B$4/(Params!$B$6*$R65*Params!$B$8),"n/a")</f>
        <v>0.392636078363539</v>
      </c>
      <c r="AL65" s="27" t="str">
        <f aca="false">IFERROR(ciq($D65,"IQ_PE_EXCL"),"")</f>
        <v/>
      </c>
      <c r="AM65" s="27" t="str">
        <f aca="false">IFERROR(ciq($D65,"IQ_PE_EXCL_FWD_CIQ"),"")</f>
        <v/>
      </c>
      <c r="AN65" s="27" t="str">
        <f aca="false">IFERROR(ciq($D65,"IQ_PBV"),"")</f>
        <v/>
      </c>
      <c r="AO65" s="27" t="str">
        <f aca="false">IFERROR(ciq($D65,"IQ_TEV_EBITDA"),"")</f>
        <v/>
      </c>
      <c r="AP65" s="24" t="str">
        <f aca="false">IFERROR(ciq($D65,"IQ_RETURN_EQUITY"),"")</f>
        <v/>
      </c>
      <c r="AQ65" s="24" t="str">
        <f aca="false">IFERROR(ciq($D65,"IQ_RETURN_CAPITAL"),"")</f>
        <v/>
      </c>
      <c r="AR65" s="24" t="str">
        <f aca="false">IFERROR(ciq($D65,"IQ_TOTAL_REV_1YR_ANN_GROWTH"),"")</f>
        <v/>
      </c>
      <c r="AS65" s="24" t="str">
        <f aca="false">IFERROR(ciq($D65,"IQ_EPS_1YR_ANN_GROWTH"),"")</f>
        <v/>
      </c>
      <c r="AT65" s="24" t="str">
        <f aca="false">IFERROR(ciq($D65,"IQ_DIVIDEND_YIELD"),"")</f>
        <v/>
      </c>
      <c r="AU65" s="24" t="str">
        <f aca="false">IFERROR(ciq($D65,"IQ_NET_DEBT"),"")</f>
        <v/>
      </c>
    </row>
    <row r="66" customFormat="false" ht="15" hidden="false" customHeight="false" outlineLevel="0" collapsed="false">
      <c r="A66" s="8" t="s">
        <v>722</v>
      </c>
      <c r="B66" s="8" t="s">
        <v>723</v>
      </c>
      <c r="C66" s="8" t="s">
        <v>72</v>
      </c>
      <c r="D66" s="8" t="s">
        <v>724</v>
      </c>
      <c r="E66" s="8" t="s">
        <v>725</v>
      </c>
      <c r="F66" s="6" t="s">
        <v>536</v>
      </c>
      <c r="G66" s="8" t="s">
        <v>55</v>
      </c>
      <c r="H66" s="8" t="s">
        <v>66</v>
      </c>
      <c r="I66" s="8"/>
      <c r="J66" s="8"/>
      <c r="K66" s="8"/>
      <c r="L66" s="8"/>
      <c r="M66" s="23" t="n">
        <v>118900</v>
      </c>
      <c r="N66" s="23" t="n">
        <v>110452.743555</v>
      </c>
      <c r="O66" s="23" t="n">
        <v>106546.48799025</v>
      </c>
      <c r="P66" s="24" t="n">
        <v>625.08875905</v>
      </c>
      <c r="Q66" s="24" t="n">
        <v>446.8517393</v>
      </c>
      <c r="R66" s="24" t="n">
        <v>446.8517393</v>
      </c>
      <c r="S66" s="25" t="n">
        <v>0.00565933211734788</v>
      </c>
      <c r="T66" s="26" t="n">
        <v>0.717741028883241</v>
      </c>
      <c r="U66" s="23" t="n">
        <v>0</v>
      </c>
      <c r="V66" s="26" t="n">
        <v>-0.06</v>
      </c>
      <c r="W66" s="26" t="n">
        <v>0.251519480405713</v>
      </c>
      <c r="X66" s="26" t="n">
        <v>0.610960803546845</v>
      </c>
      <c r="Y66" s="26" t="n">
        <v>0.823752449219651</v>
      </c>
      <c r="Z66" s="26" t="n">
        <v>1.11191117826365</v>
      </c>
      <c r="AA66" s="26" t="n">
        <v>1.67274571738199</v>
      </c>
      <c r="AB66" s="26" t="n">
        <v>-0.0798207604000012</v>
      </c>
      <c r="AC66" s="27" t="n">
        <v>1.90034281074015</v>
      </c>
      <c r="AD66" s="28" t="n">
        <f aca="false">Params!$B$6*Params!$B$7*$R66</f>
        <v>268.11104358</v>
      </c>
      <c r="AE66" s="29" t="n">
        <f aca="false">MIN(Params!$B$9,AD66/Params!$B$4)</f>
        <v>0.06</v>
      </c>
      <c r="AF66" s="29" t="n">
        <f aca="false">MIN(Params!$B$9,AD66/Params!$B$5)</f>
        <v>0.06</v>
      </c>
      <c r="AG66" s="28" t="n">
        <f aca="false">IF($R66&gt;0,Params!$B$9*Params!$B$4/(Params!$B$6*$R66),"n/a")</f>
        <v>0.335681808545665</v>
      </c>
      <c r="AH66" s="28" t="n">
        <f aca="false">IF($R66&gt;0,Params!$B$9*Params!$B$5/(Params!$B$6*$R66),"n/a")</f>
        <v>0.67136361709133</v>
      </c>
      <c r="AI66" s="28" t="n">
        <f aca="false">IF($R66&gt;0,Params!$B$15*Params!$B$4/(Params!$B$6*$R66),"n/a")</f>
        <v>0.111893936181888</v>
      </c>
      <c r="AJ66" s="29" t="n">
        <f aca="false">MIN(Params!$B$9,AD66*Params!$B$8/Params!$B$4)</f>
        <v>0.06</v>
      </c>
      <c r="AK66" s="28" t="n">
        <f aca="false">IF($R66&gt;0,Params!$B$9*Params!$B$4/(Params!$B$6*$R66*Params!$B$8),"n/a")</f>
        <v>0.67136361709133</v>
      </c>
      <c r="AL66" s="27" t="str">
        <f aca="false">IFERROR(ciq($D66,"IQ_PE_EXCL"),"")</f>
        <v/>
      </c>
      <c r="AM66" s="27" t="str">
        <f aca="false">IFERROR(ciq($D66,"IQ_PE_EXCL_FWD_CIQ"),"")</f>
        <v/>
      </c>
      <c r="AN66" s="27" t="str">
        <f aca="false">IFERROR(ciq($D66,"IQ_PBV"),"")</f>
        <v/>
      </c>
      <c r="AO66" s="27" t="str">
        <f aca="false">IFERROR(ciq($D66,"IQ_TEV_EBITDA"),"")</f>
        <v/>
      </c>
      <c r="AP66" s="24" t="str">
        <f aca="false">IFERROR(ciq($D66,"IQ_RETURN_EQUITY"),"")</f>
        <v/>
      </c>
      <c r="AQ66" s="24" t="str">
        <f aca="false">IFERROR(ciq($D66,"IQ_RETURN_CAPITAL"),"")</f>
        <v/>
      </c>
      <c r="AR66" s="24" t="str">
        <f aca="false">IFERROR(ciq($D66,"IQ_TOTAL_REV_1YR_ANN_GROWTH"),"")</f>
        <v/>
      </c>
      <c r="AS66" s="24" t="str">
        <f aca="false">IFERROR(ciq($D66,"IQ_EPS_1YR_ANN_GROWTH"),"")</f>
        <v/>
      </c>
      <c r="AT66" s="24" t="str">
        <f aca="false">IFERROR(ciq($D66,"IQ_DIVIDEND_YIELD"),"")</f>
        <v/>
      </c>
      <c r="AU66" s="24" t="str">
        <f aca="false">IFERROR(ciq($D66,"IQ_NET_DEBT"),"")</f>
        <v/>
      </c>
    </row>
    <row r="67" customFormat="false" ht="15" hidden="false" customHeight="false" outlineLevel="0" collapsed="false">
      <c r="A67" s="8" t="s">
        <v>229</v>
      </c>
      <c r="B67" s="6" t="s">
        <v>230</v>
      </c>
      <c r="C67" s="8" t="s">
        <v>72</v>
      </c>
      <c r="D67" s="8" t="s">
        <v>726</v>
      </c>
      <c r="E67" s="8" t="s">
        <v>727</v>
      </c>
      <c r="F67" s="6" t="s">
        <v>728</v>
      </c>
      <c r="G67" s="8" t="s">
        <v>55</v>
      </c>
      <c r="H67" s="8" t="s">
        <v>66</v>
      </c>
      <c r="I67" s="8" t="s">
        <v>508</v>
      </c>
      <c r="J67" s="6" t="s">
        <v>231</v>
      </c>
      <c r="K67" s="6" t="s">
        <v>232</v>
      </c>
      <c r="L67" s="8"/>
      <c r="M67" s="23" t="n">
        <v>29150</v>
      </c>
      <c r="N67" s="23" t="n">
        <v>107336.3226815</v>
      </c>
      <c r="O67" s="23" t="n">
        <v>99502.428118725</v>
      </c>
      <c r="P67" s="24" t="n">
        <v>707.4208966875</v>
      </c>
      <c r="Q67" s="24" t="n">
        <v>812.371333841667</v>
      </c>
      <c r="R67" s="24" t="n">
        <v>707.4208966875</v>
      </c>
      <c r="S67" s="25" t="n">
        <v>0.00659069436155956</v>
      </c>
      <c r="T67" s="26" t="n">
        <v>0.524680238214554</v>
      </c>
      <c r="U67" s="23" t="n">
        <v>0</v>
      </c>
      <c r="V67" s="26" t="n">
        <v>-0.06</v>
      </c>
      <c r="W67" s="26" t="n">
        <v>0.0838164884482557</v>
      </c>
      <c r="X67" s="26" t="n">
        <v>0.173329514970289</v>
      </c>
      <c r="Y67" s="26" t="n">
        <v>0.184712724706513</v>
      </c>
      <c r="Z67" s="26" t="n">
        <v>0.292484237049233</v>
      </c>
      <c r="AA67" s="26" t="n">
        <v>0.138349828683985</v>
      </c>
      <c r="AB67" s="26" t="n">
        <v>-0.0280903304213536</v>
      </c>
      <c r="AC67" s="27" t="n">
        <v>1.08264190676886</v>
      </c>
      <c r="AD67" s="28" t="n">
        <f aca="false">Params!$B$6*Params!$B$7*$R67</f>
        <v>424.4525380125</v>
      </c>
      <c r="AE67" s="29" t="n">
        <f aca="false">MIN(Params!$B$9,AD67/Params!$B$4)</f>
        <v>0.06</v>
      </c>
      <c r="AF67" s="29" t="n">
        <f aca="false">MIN(Params!$B$9,AD67/Params!$B$5)</f>
        <v>0.06</v>
      </c>
      <c r="AG67" s="28" t="n">
        <f aca="false">IF($R67&gt;0,Params!$B$9*Params!$B$4/(Params!$B$6*$R67),"n/a")</f>
        <v>0.21203784154861</v>
      </c>
      <c r="AH67" s="28" t="n">
        <f aca="false">IF($R67&gt;0,Params!$B$9*Params!$B$5/(Params!$B$6*$R67),"n/a")</f>
        <v>0.424075683097221</v>
      </c>
      <c r="AI67" s="28" t="n">
        <f aca="false">IF($R67&gt;0,Params!$B$15*Params!$B$4/(Params!$B$6*$R67),"n/a")</f>
        <v>0.0706792805162035</v>
      </c>
      <c r="AJ67" s="29" t="n">
        <f aca="false">MIN(Params!$B$9,AD67*Params!$B$8/Params!$B$4)</f>
        <v>0.06</v>
      </c>
      <c r="AK67" s="28" t="n">
        <f aca="false">IF($R67&gt;0,Params!$B$9*Params!$B$4/(Params!$B$6*$R67*Params!$B$8),"n/a")</f>
        <v>0.424075683097221</v>
      </c>
      <c r="AL67" s="27" t="str">
        <f aca="false">IFERROR(ciq($D67,"IQ_PE_EXCL"),"")</f>
        <v/>
      </c>
      <c r="AM67" s="27" t="str">
        <f aca="false">IFERROR(ciq($D67,"IQ_PE_EXCL_FWD_CIQ"),"")</f>
        <v/>
      </c>
      <c r="AN67" s="27" t="str">
        <f aca="false">IFERROR(ciq($D67,"IQ_PBV"),"")</f>
        <v/>
      </c>
      <c r="AO67" s="27" t="str">
        <f aca="false">IFERROR(ciq($D67,"IQ_TEV_EBITDA"),"")</f>
        <v/>
      </c>
      <c r="AP67" s="24" t="str">
        <f aca="false">IFERROR(ciq($D67,"IQ_RETURN_EQUITY"),"")</f>
        <v/>
      </c>
      <c r="AQ67" s="24" t="str">
        <f aca="false">IFERROR(ciq($D67,"IQ_RETURN_CAPITAL"),"")</f>
        <v/>
      </c>
      <c r="AR67" s="24" t="str">
        <f aca="false">IFERROR(ciq($D67,"IQ_TOTAL_REV_1YR_ANN_GROWTH"),"")</f>
        <v/>
      </c>
      <c r="AS67" s="24" t="str">
        <f aca="false">IFERROR(ciq($D67,"IQ_EPS_1YR_ANN_GROWTH"),"")</f>
        <v/>
      </c>
      <c r="AT67" s="24" t="str">
        <f aca="false">IFERROR(ciq($D67,"IQ_DIVIDEND_YIELD"),"")</f>
        <v/>
      </c>
      <c r="AU67" s="24" t="str">
        <f aca="false">IFERROR(ciq($D67,"IQ_NET_DEBT"),"")</f>
        <v/>
      </c>
    </row>
    <row r="68" customFormat="false" ht="15" hidden="false" customHeight="false" outlineLevel="0" collapsed="false">
      <c r="A68" s="8" t="s">
        <v>729</v>
      </c>
      <c r="B68" s="6" t="s">
        <v>730</v>
      </c>
      <c r="C68" s="8" t="s">
        <v>72</v>
      </c>
      <c r="D68" s="8" t="s">
        <v>731</v>
      </c>
      <c r="E68" s="8" t="s">
        <v>732</v>
      </c>
      <c r="F68" s="6" t="s">
        <v>733</v>
      </c>
      <c r="G68" s="8" t="s">
        <v>55</v>
      </c>
      <c r="H68" s="8" t="s">
        <v>66</v>
      </c>
      <c r="I68" s="8"/>
      <c r="J68" s="8"/>
      <c r="K68" s="8"/>
      <c r="L68" s="8"/>
      <c r="M68" s="23" t="n">
        <v>1424000</v>
      </c>
      <c r="N68" s="23" t="n">
        <v>107270.1336</v>
      </c>
      <c r="O68" s="23" t="n">
        <v>103447.1284875</v>
      </c>
      <c r="P68" s="24" t="n">
        <v>788.84118475</v>
      </c>
      <c r="Q68" s="24" t="n">
        <v>710.234577916667</v>
      </c>
      <c r="R68" s="24" t="n">
        <v>710.234577916667</v>
      </c>
      <c r="S68" s="25" t="n">
        <v>0.00735378206660498</v>
      </c>
      <c r="T68" s="26" t="n">
        <v>0.573441822031004</v>
      </c>
      <c r="U68" s="23" t="n">
        <v>0</v>
      </c>
      <c r="V68" s="26" t="n">
        <v>-0.06</v>
      </c>
      <c r="W68" s="26" t="n">
        <v>0.176695270436748</v>
      </c>
      <c r="X68" s="26" t="n">
        <v>0.282472804616795</v>
      </c>
      <c r="Y68" s="26" t="n">
        <v>0.271206759643611</v>
      </c>
      <c r="Z68" s="26" t="n">
        <v>0.156637805763799</v>
      </c>
      <c r="AA68" s="26" t="n">
        <v>-0.00551435967103719</v>
      </c>
      <c r="AB68" s="26" t="n">
        <v>-0.126726154178482</v>
      </c>
      <c r="AC68" s="27" t="n">
        <v>1.078914783967</v>
      </c>
      <c r="AD68" s="28" t="n">
        <f aca="false">Params!$B$6*Params!$B$7*$R68</f>
        <v>426.14074675</v>
      </c>
      <c r="AE68" s="29" t="n">
        <f aca="false">MIN(Params!$B$9,AD68/Params!$B$4)</f>
        <v>0.06</v>
      </c>
      <c r="AF68" s="29" t="n">
        <f aca="false">MIN(Params!$B$9,AD68/Params!$B$5)</f>
        <v>0.06</v>
      </c>
      <c r="AG68" s="28" t="n">
        <f aca="false">IF($R68&gt;0,Params!$B$9*Params!$B$4/(Params!$B$6*$R68),"n/a")</f>
        <v>0.211197827681096</v>
      </c>
      <c r="AH68" s="28" t="n">
        <f aca="false">IF($R68&gt;0,Params!$B$9*Params!$B$5/(Params!$B$6*$R68),"n/a")</f>
        <v>0.422395655362192</v>
      </c>
      <c r="AI68" s="28" t="n">
        <f aca="false">IF($R68&gt;0,Params!$B$15*Params!$B$4/(Params!$B$6*$R68),"n/a")</f>
        <v>0.0703992758936986</v>
      </c>
      <c r="AJ68" s="29" t="n">
        <f aca="false">MIN(Params!$B$9,AD68*Params!$B$8/Params!$B$4)</f>
        <v>0.06</v>
      </c>
      <c r="AK68" s="28" t="n">
        <f aca="false">IF($R68&gt;0,Params!$B$9*Params!$B$4/(Params!$B$6*$R68*Params!$B$8),"n/a")</f>
        <v>0.422395655362192</v>
      </c>
      <c r="AL68" s="27" t="str">
        <f aca="false">IFERROR(ciq($D68,"IQ_PE_EXCL"),"")</f>
        <v/>
      </c>
      <c r="AM68" s="27" t="str">
        <f aca="false">IFERROR(ciq($D68,"IQ_PE_EXCL_FWD_CIQ"),"")</f>
        <v/>
      </c>
      <c r="AN68" s="27" t="str">
        <f aca="false">IFERROR(ciq($D68,"IQ_PBV"),"")</f>
        <v/>
      </c>
      <c r="AO68" s="27" t="str">
        <f aca="false">IFERROR(ciq($D68,"IQ_TEV_EBITDA"),"")</f>
        <v/>
      </c>
      <c r="AP68" s="24" t="str">
        <f aca="false">IFERROR(ciq($D68,"IQ_RETURN_EQUITY"),"")</f>
        <v/>
      </c>
      <c r="AQ68" s="24" t="str">
        <f aca="false">IFERROR(ciq($D68,"IQ_RETURN_CAPITAL"),"")</f>
        <v/>
      </c>
      <c r="AR68" s="24" t="str">
        <f aca="false">IFERROR(ciq($D68,"IQ_TOTAL_REV_1YR_ANN_GROWTH"),"")</f>
        <v/>
      </c>
      <c r="AS68" s="24" t="str">
        <f aca="false">IFERROR(ciq($D68,"IQ_EPS_1YR_ANN_GROWTH"),"")</f>
        <v/>
      </c>
      <c r="AT68" s="24" t="str">
        <f aca="false">IFERROR(ciq($D68,"IQ_DIVIDEND_YIELD"),"")</f>
        <v/>
      </c>
      <c r="AU68" s="24" t="str">
        <f aca="false">IFERROR(ciq($D68,"IQ_NET_DEBT"),"")</f>
        <v/>
      </c>
    </row>
    <row r="69" customFormat="false" ht="15" hidden="false" customHeight="false" outlineLevel="0" collapsed="false">
      <c r="A69" s="8" t="s">
        <v>734</v>
      </c>
      <c r="B69" s="6" t="s">
        <v>735</v>
      </c>
      <c r="C69" s="8" t="s">
        <v>72</v>
      </c>
      <c r="D69" s="8" t="s">
        <v>736</v>
      </c>
      <c r="E69" s="8" t="s">
        <v>737</v>
      </c>
      <c r="F69" s="8"/>
      <c r="G69" s="8" t="s">
        <v>55</v>
      </c>
      <c r="H69" s="8" t="s">
        <v>66</v>
      </c>
      <c r="I69" s="8"/>
      <c r="J69" s="8"/>
      <c r="K69" s="8"/>
      <c r="L69" s="8" t="s">
        <v>241</v>
      </c>
      <c r="M69" s="23" t="n">
        <v>384500</v>
      </c>
      <c r="N69" s="23" t="n">
        <v>105445.21079</v>
      </c>
      <c r="O69" s="23" t="n">
        <v>118121.9464695</v>
      </c>
      <c r="P69" s="24" t="n">
        <v>402.821417</v>
      </c>
      <c r="Q69" s="24" t="n">
        <v>519.859344041667</v>
      </c>
      <c r="R69" s="24" t="n">
        <v>402.821417</v>
      </c>
      <c r="S69" s="25" t="n">
        <v>0.00382019642221818</v>
      </c>
      <c r="T69" s="26" t="n">
        <v>0.870395092521061</v>
      </c>
      <c r="U69" s="23" t="n">
        <v>1</v>
      </c>
      <c r="V69" s="26" t="n">
        <v>-0.06</v>
      </c>
      <c r="W69" s="26" t="n">
        <v>-0.0725403622411126</v>
      </c>
      <c r="X69" s="26" t="n">
        <v>-0.440392168719398</v>
      </c>
      <c r="Y69" s="26" t="n">
        <v>-0.071027547057506</v>
      </c>
      <c r="Z69" s="26" t="n">
        <v>0.158228580965373</v>
      </c>
      <c r="AA69" s="26" t="n">
        <v>1.37397754077987</v>
      </c>
      <c r="AB69" s="26" t="n">
        <v>-0.590122071235409</v>
      </c>
      <c r="AC69" s="27" t="n">
        <v>0.419131252338507</v>
      </c>
      <c r="AD69" s="28" t="n">
        <f aca="false">Params!$B$6*Params!$B$7*$R69</f>
        <v>241.6928502</v>
      </c>
      <c r="AE69" s="29" t="n">
        <f aca="false">MIN(Params!$B$9,AD69/Params!$B$4)</f>
        <v>0.06</v>
      </c>
      <c r="AF69" s="29" t="n">
        <f aca="false">MIN(Params!$B$9,AD69/Params!$B$5)</f>
        <v>0.06</v>
      </c>
      <c r="AG69" s="28" t="n">
        <f aca="false">IF($R69&gt;0,Params!$B$9*Params!$B$4/(Params!$B$6*$R69),"n/a")</f>
        <v>0.37237344805825</v>
      </c>
      <c r="AH69" s="28" t="n">
        <f aca="false">IF($R69&gt;0,Params!$B$9*Params!$B$5/(Params!$B$6*$R69),"n/a")</f>
        <v>0.744746896116499</v>
      </c>
      <c r="AI69" s="28" t="n">
        <f aca="false">IF($R69&gt;0,Params!$B$15*Params!$B$4/(Params!$B$6*$R69),"n/a")</f>
        <v>0.124124482686083</v>
      </c>
      <c r="AJ69" s="29" t="n">
        <f aca="false">MIN(Params!$B$9,AD69*Params!$B$8/Params!$B$4)</f>
        <v>0.06</v>
      </c>
      <c r="AK69" s="28" t="n">
        <f aca="false">IF($R69&gt;0,Params!$B$9*Params!$B$4/(Params!$B$6*$R69*Params!$B$8),"n/a")</f>
        <v>0.744746896116499</v>
      </c>
      <c r="AL69" s="27" t="str">
        <f aca="false">IFERROR(ciq($D69,"IQ_PE_EXCL"),"")</f>
        <v/>
      </c>
      <c r="AM69" s="27" t="str">
        <f aca="false">IFERROR(ciq($D69,"IQ_PE_EXCL_FWD_CIQ"),"")</f>
        <v/>
      </c>
      <c r="AN69" s="27" t="str">
        <f aca="false">IFERROR(ciq($D69,"IQ_PBV"),"")</f>
        <v/>
      </c>
      <c r="AO69" s="27" t="str">
        <f aca="false">IFERROR(ciq($D69,"IQ_TEV_EBITDA"),"")</f>
        <v/>
      </c>
      <c r="AP69" s="24" t="str">
        <f aca="false">IFERROR(ciq($D69,"IQ_RETURN_EQUITY"),"")</f>
        <v/>
      </c>
      <c r="AQ69" s="24" t="str">
        <f aca="false">IFERROR(ciq($D69,"IQ_RETURN_CAPITAL"),"")</f>
        <v/>
      </c>
      <c r="AR69" s="24" t="str">
        <f aca="false">IFERROR(ciq($D69,"IQ_TOTAL_REV_1YR_ANN_GROWTH"),"")</f>
        <v/>
      </c>
      <c r="AS69" s="24" t="str">
        <f aca="false">IFERROR(ciq($D69,"IQ_EPS_1YR_ANN_GROWTH"),"")</f>
        <v/>
      </c>
      <c r="AT69" s="24" t="str">
        <f aca="false">IFERROR(ciq($D69,"IQ_DIVIDEND_YIELD"),"")</f>
        <v/>
      </c>
      <c r="AU69" s="24" t="str">
        <f aca="false">IFERROR(ciq($D69,"IQ_NET_DEBT"),"")</f>
        <v/>
      </c>
    </row>
    <row r="70" customFormat="false" ht="15" hidden="false" customHeight="false" outlineLevel="0" collapsed="false">
      <c r="A70" s="8" t="s">
        <v>738</v>
      </c>
      <c r="B70" s="6" t="s">
        <v>739</v>
      </c>
      <c r="C70" s="8" t="s">
        <v>74</v>
      </c>
      <c r="D70" s="8" t="s">
        <v>740</v>
      </c>
      <c r="E70" s="8" t="s">
        <v>741</v>
      </c>
      <c r="F70" s="8"/>
      <c r="G70" s="8" t="s">
        <v>55</v>
      </c>
      <c r="H70" s="8" t="s">
        <v>66</v>
      </c>
      <c r="I70" s="8"/>
      <c r="J70" s="8"/>
      <c r="K70" s="8"/>
      <c r="L70" s="8" t="s">
        <v>241</v>
      </c>
      <c r="M70" s="23" t="n">
        <v>106500</v>
      </c>
      <c r="N70" s="23" t="n">
        <v>104189.41221</v>
      </c>
      <c r="O70" s="23" t="n">
        <v>109912.492599</v>
      </c>
      <c r="P70" s="24" t="n">
        <v>459.926036125</v>
      </c>
      <c r="Q70" s="24" t="n">
        <v>655.499116558333</v>
      </c>
      <c r="R70" s="24" t="n">
        <v>459.926036125</v>
      </c>
      <c r="S70" s="25" t="n">
        <v>0.00441432604685389</v>
      </c>
      <c r="T70" s="26" t="n">
        <v>0.910149380177391</v>
      </c>
      <c r="U70" s="23" t="n">
        <v>0</v>
      </c>
      <c r="V70" s="26" t="n">
        <v>-0.06</v>
      </c>
      <c r="W70" s="26" t="n">
        <v>0.0639556057587651</v>
      </c>
      <c r="X70" s="26" t="n">
        <v>-0.354332962183658</v>
      </c>
      <c r="Y70" s="26" t="n">
        <v>-0.452035865707597</v>
      </c>
      <c r="Z70" s="26" t="n">
        <v>-0.261802636137851</v>
      </c>
      <c r="AA70" s="26" t="n">
        <v>-0.178939704297996</v>
      </c>
      <c r="AB70" s="26" t="n">
        <v>-0.559985415398788</v>
      </c>
      <c r="AC70" s="27" t="n">
        <v>0.478250984510104</v>
      </c>
      <c r="AD70" s="28" t="n">
        <f aca="false">Params!$B$6*Params!$B$7*$R70</f>
        <v>275.955621675</v>
      </c>
      <c r="AE70" s="29" t="n">
        <f aca="false">MIN(Params!$B$9,AD70/Params!$B$4)</f>
        <v>0.06</v>
      </c>
      <c r="AF70" s="29" t="n">
        <f aca="false">MIN(Params!$B$9,AD70/Params!$B$5)</f>
        <v>0.06</v>
      </c>
      <c r="AG70" s="28" t="n">
        <f aca="false">IF($R70&gt;0,Params!$B$9*Params!$B$4/(Params!$B$6*$R70),"n/a")</f>
        <v>0.326139396812127</v>
      </c>
      <c r="AH70" s="28" t="n">
        <f aca="false">IF($R70&gt;0,Params!$B$9*Params!$B$5/(Params!$B$6*$R70),"n/a")</f>
        <v>0.652278793624254</v>
      </c>
      <c r="AI70" s="28" t="n">
        <f aca="false">IF($R70&gt;0,Params!$B$15*Params!$B$4/(Params!$B$6*$R70),"n/a")</f>
        <v>0.108713132270709</v>
      </c>
      <c r="AJ70" s="29" t="n">
        <f aca="false">MIN(Params!$B$9,AD70*Params!$B$8/Params!$B$4)</f>
        <v>0.06</v>
      </c>
      <c r="AK70" s="28" t="n">
        <f aca="false">IF($R70&gt;0,Params!$B$9*Params!$B$4/(Params!$B$6*$R70*Params!$B$8),"n/a")</f>
        <v>0.652278793624254</v>
      </c>
      <c r="AL70" s="27" t="str">
        <f aca="false">IFERROR(ciq($D70,"IQ_PE_EXCL"),"")</f>
        <v/>
      </c>
      <c r="AM70" s="27" t="str">
        <f aca="false">IFERROR(ciq($D70,"IQ_PE_EXCL_FWD_CIQ"),"")</f>
        <v/>
      </c>
      <c r="AN70" s="27" t="str">
        <f aca="false">IFERROR(ciq($D70,"IQ_PBV"),"")</f>
        <v/>
      </c>
      <c r="AO70" s="27" t="str">
        <f aca="false">IFERROR(ciq($D70,"IQ_TEV_EBITDA"),"")</f>
        <v/>
      </c>
      <c r="AP70" s="24" t="str">
        <f aca="false">IFERROR(ciq($D70,"IQ_RETURN_EQUITY"),"")</f>
        <v/>
      </c>
      <c r="AQ70" s="24" t="str">
        <f aca="false">IFERROR(ciq($D70,"IQ_RETURN_CAPITAL"),"")</f>
        <v/>
      </c>
      <c r="AR70" s="24" t="str">
        <f aca="false">IFERROR(ciq($D70,"IQ_TOTAL_REV_1YR_ANN_GROWTH"),"")</f>
        <v/>
      </c>
      <c r="AS70" s="24" t="str">
        <f aca="false">IFERROR(ciq($D70,"IQ_EPS_1YR_ANN_GROWTH"),"")</f>
        <v/>
      </c>
      <c r="AT70" s="24" t="str">
        <f aca="false">IFERROR(ciq($D70,"IQ_DIVIDEND_YIELD"),"")</f>
        <v/>
      </c>
      <c r="AU70" s="24" t="str">
        <f aca="false">IFERROR(ciq($D70,"IQ_NET_DEBT"),"")</f>
        <v/>
      </c>
    </row>
    <row r="71" customFormat="false" ht="15" hidden="false" customHeight="false" outlineLevel="0" collapsed="false">
      <c r="A71" s="8" t="s">
        <v>742</v>
      </c>
      <c r="B71" s="6" t="s">
        <v>743</v>
      </c>
      <c r="C71" s="8" t="s">
        <v>72</v>
      </c>
      <c r="D71" s="8" t="s">
        <v>744</v>
      </c>
      <c r="E71" s="8" t="s">
        <v>745</v>
      </c>
      <c r="F71" s="8"/>
      <c r="G71" s="8" t="s">
        <v>55</v>
      </c>
      <c r="H71" s="8" t="s">
        <v>66</v>
      </c>
      <c r="I71" s="8"/>
      <c r="J71" s="8"/>
      <c r="K71" s="8"/>
      <c r="L71" s="8"/>
      <c r="M71" s="23" t="n">
        <v>21800</v>
      </c>
      <c r="N71" s="23" t="n">
        <v>104012.255266</v>
      </c>
      <c r="O71" s="23" t="n">
        <v>103928.759189525</v>
      </c>
      <c r="P71" s="24" t="n">
        <v>164.1763643</v>
      </c>
      <c r="Q71" s="24" t="n">
        <v>205.369493114167</v>
      </c>
      <c r="R71" s="24" t="n">
        <v>164.1763643</v>
      </c>
      <c r="S71" s="25" t="n">
        <v>0.00157843288639533</v>
      </c>
      <c r="T71" s="26" t="n">
        <v>0.382818408249806</v>
      </c>
      <c r="U71" s="23" t="n">
        <v>0</v>
      </c>
      <c r="V71" s="26" t="n">
        <v>-0.06</v>
      </c>
      <c r="W71" s="26" t="n">
        <v>0.0115926056832763</v>
      </c>
      <c r="X71" s="26" t="n">
        <v>-0.106480026789479</v>
      </c>
      <c r="Y71" s="26" t="n">
        <v>-0.102644885159173</v>
      </c>
      <c r="Z71" s="26" t="n">
        <v>0.00950291835010209</v>
      </c>
      <c r="AA71" s="26" t="n">
        <v>-0.135907353127985</v>
      </c>
      <c r="AB71" s="26" t="n">
        <v>-0.240308214299911</v>
      </c>
      <c r="AC71" s="27" t="n">
        <v>0.763827523627776</v>
      </c>
      <c r="AD71" s="28" t="n">
        <f aca="false">Params!$B$6*Params!$B$7*$R71</f>
        <v>98.50581858</v>
      </c>
      <c r="AE71" s="29" t="n">
        <f aca="false">MIN(Params!$B$9,AD71/Params!$B$4)</f>
        <v>0.06</v>
      </c>
      <c r="AF71" s="29" t="n">
        <f aca="false">MIN(Params!$B$9,AD71/Params!$B$5)</f>
        <v>0.06</v>
      </c>
      <c r="AG71" s="28" t="n">
        <f aca="false">IF($R71&gt;0,Params!$B$9*Params!$B$4/(Params!$B$6*$R71),"n/a")</f>
        <v>0.913651612639591</v>
      </c>
      <c r="AH71" s="28" t="n">
        <f aca="false">IF($R71&gt;0,Params!$B$9*Params!$B$5/(Params!$B$6*$R71),"n/a")</f>
        <v>1.82730322527918</v>
      </c>
      <c r="AI71" s="28" t="n">
        <f aca="false">IF($R71&gt;0,Params!$B$15*Params!$B$4/(Params!$B$6*$R71),"n/a")</f>
        <v>0.30455053754653</v>
      </c>
      <c r="AJ71" s="29" t="n">
        <f aca="false">MIN(Params!$B$9,AD71*Params!$B$8/Params!$B$4)</f>
        <v>0.06</v>
      </c>
      <c r="AK71" s="28" t="n">
        <f aca="false">IF($R71&gt;0,Params!$B$9*Params!$B$4/(Params!$B$6*$R71*Params!$B$8),"n/a")</f>
        <v>1.82730322527918</v>
      </c>
      <c r="AL71" s="27" t="str">
        <f aca="false">IFERROR(ciq($D71,"IQ_PE_EXCL"),"")</f>
        <v/>
      </c>
      <c r="AM71" s="27" t="str">
        <f aca="false">IFERROR(ciq($D71,"IQ_PE_EXCL_FWD_CIQ"),"")</f>
        <v/>
      </c>
      <c r="AN71" s="27" t="str">
        <f aca="false">IFERROR(ciq($D71,"IQ_PBV"),"")</f>
        <v/>
      </c>
      <c r="AO71" s="27" t="str">
        <f aca="false">IFERROR(ciq($D71,"IQ_TEV_EBITDA"),"")</f>
        <v/>
      </c>
      <c r="AP71" s="24" t="str">
        <f aca="false">IFERROR(ciq($D71,"IQ_RETURN_EQUITY"),"")</f>
        <v/>
      </c>
      <c r="AQ71" s="24" t="str">
        <f aca="false">IFERROR(ciq($D71,"IQ_RETURN_CAPITAL"),"")</f>
        <v/>
      </c>
      <c r="AR71" s="24" t="str">
        <f aca="false">IFERROR(ciq($D71,"IQ_TOTAL_REV_1YR_ANN_GROWTH"),"")</f>
        <v/>
      </c>
      <c r="AS71" s="24" t="str">
        <f aca="false">IFERROR(ciq($D71,"IQ_EPS_1YR_ANN_GROWTH"),"")</f>
        <v/>
      </c>
      <c r="AT71" s="24" t="str">
        <f aca="false">IFERROR(ciq($D71,"IQ_DIVIDEND_YIELD"),"")</f>
        <v/>
      </c>
      <c r="AU71" s="24" t="str">
        <f aca="false">IFERROR(ciq($D71,"IQ_NET_DEBT"),"")</f>
        <v/>
      </c>
    </row>
    <row r="72" customFormat="false" ht="15" hidden="false" customHeight="false" outlineLevel="0" collapsed="false">
      <c r="A72" s="8" t="s">
        <v>746</v>
      </c>
      <c r="B72" s="6" t="s">
        <v>747</v>
      </c>
      <c r="C72" s="8" t="s">
        <v>72</v>
      </c>
      <c r="D72" s="8" t="s">
        <v>748</v>
      </c>
      <c r="E72" s="8" t="s">
        <v>749</v>
      </c>
      <c r="F72" s="6" t="s">
        <v>536</v>
      </c>
      <c r="G72" s="8" t="s">
        <v>55</v>
      </c>
      <c r="H72" s="8" t="s">
        <v>66</v>
      </c>
      <c r="I72" s="8"/>
      <c r="J72" s="8"/>
      <c r="K72" s="8"/>
      <c r="L72" s="8"/>
      <c r="M72" s="23" t="n">
        <v>186600</v>
      </c>
      <c r="N72" s="23" t="n">
        <v>103984.701072</v>
      </c>
      <c r="O72" s="23" t="n">
        <v>106940.9649476</v>
      </c>
      <c r="P72" s="24" t="n">
        <v>405.0782681</v>
      </c>
      <c r="Q72" s="24" t="n">
        <v>517.328368094</v>
      </c>
      <c r="R72" s="24" t="n">
        <v>405.0782681</v>
      </c>
      <c r="S72" s="25" t="n">
        <v>0.00389555640323974</v>
      </c>
      <c r="T72" s="26" t="n">
        <v>0.712133218136102</v>
      </c>
      <c r="U72" s="23" t="n">
        <v>0</v>
      </c>
      <c r="V72" s="26" t="n">
        <v>-0.06</v>
      </c>
      <c r="W72" s="26" t="n">
        <v>-0.109366540688537</v>
      </c>
      <c r="X72" s="26" t="n">
        <v>-0.193862287287873</v>
      </c>
      <c r="Y72" s="26" t="n">
        <v>-0.186988882898548</v>
      </c>
      <c r="Z72" s="26" t="n">
        <v>0.153761354154742</v>
      </c>
      <c r="AA72" s="26" t="n">
        <v>0.408979819823442</v>
      </c>
      <c r="AB72" s="26" t="n">
        <v>-0.3620795527201</v>
      </c>
      <c r="AC72" s="27" t="n">
        <v>0.643369082428932</v>
      </c>
      <c r="AD72" s="28" t="n">
        <f aca="false">Params!$B$6*Params!$B$7*$R72</f>
        <v>243.04696086</v>
      </c>
      <c r="AE72" s="29" t="n">
        <f aca="false">MIN(Params!$B$9,AD72/Params!$B$4)</f>
        <v>0.06</v>
      </c>
      <c r="AF72" s="29" t="n">
        <f aca="false">MIN(Params!$B$9,AD72/Params!$B$5)</f>
        <v>0.06</v>
      </c>
      <c r="AG72" s="28" t="n">
        <f aca="false">IF($R72&gt;0,Params!$B$9*Params!$B$4/(Params!$B$6*$R72),"n/a")</f>
        <v>0.370298808434152</v>
      </c>
      <c r="AH72" s="28" t="n">
        <f aca="false">IF($R72&gt;0,Params!$B$9*Params!$B$5/(Params!$B$6*$R72),"n/a")</f>
        <v>0.740597616868304</v>
      </c>
      <c r="AI72" s="28" t="n">
        <f aca="false">IF($R72&gt;0,Params!$B$15*Params!$B$4/(Params!$B$6*$R72),"n/a")</f>
        <v>0.123432936144717</v>
      </c>
      <c r="AJ72" s="29" t="n">
        <f aca="false">MIN(Params!$B$9,AD72*Params!$B$8/Params!$B$4)</f>
        <v>0.06</v>
      </c>
      <c r="AK72" s="28" t="n">
        <f aca="false">IF($R72&gt;0,Params!$B$9*Params!$B$4/(Params!$B$6*$R72*Params!$B$8),"n/a")</f>
        <v>0.740597616868304</v>
      </c>
      <c r="AL72" s="27" t="str">
        <f aca="false">IFERROR(ciq($D72,"IQ_PE_EXCL"),"")</f>
        <v/>
      </c>
      <c r="AM72" s="27" t="str">
        <f aca="false">IFERROR(ciq($D72,"IQ_PE_EXCL_FWD_CIQ"),"")</f>
        <v/>
      </c>
      <c r="AN72" s="27" t="str">
        <f aca="false">IFERROR(ciq($D72,"IQ_PBV"),"")</f>
        <v/>
      </c>
      <c r="AO72" s="27" t="str">
        <f aca="false">IFERROR(ciq($D72,"IQ_TEV_EBITDA"),"")</f>
        <v/>
      </c>
      <c r="AP72" s="24" t="str">
        <f aca="false">IFERROR(ciq($D72,"IQ_RETURN_EQUITY"),"")</f>
        <v/>
      </c>
      <c r="AQ72" s="24" t="str">
        <f aca="false">IFERROR(ciq($D72,"IQ_RETURN_CAPITAL"),"")</f>
        <v/>
      </c>
      <c r="AR72" s="24" t="str">
        <f aca="false">IFERROR(ciq($D72,"IQ_TOTAL_REV_1YR_ANN_GROWTH"),"")</f>
        <v/>
      </c>
      <c r="AS72" s="24" t="str">
        <f aca="false">IFERROR(ciq($D72,"IQ_EPS_1YR_ANN_GROWTH"),"")</f>
        <v/>
      </c>
      <c r="AT72" s="24" t="str">
        <f aca="false">IFERROR(ciq($D72,"IQ_DIVIDEND_YIELD"),"")</f>
        <v/>
      </c>
      <c r="AU72" s="24" t="str">
        <f aca="false">IFERROR(ciq($D72,"IQ_NET_DEBT"),"")</f>
        <v/>
      </c>
    </row>
    <row r="73" customFormat="false" ht="15" hidden="false" customHeight="false" outlineLevel="0" collapsed="false">
      <c r="A73" s="8" t="s">
        <v>750</v>
      </c>
      <c r="B73" s="6" t="s">
        <v>751</v>
      </c>
      <c r="C73" s="8" t="s">
        <v>72</v>
      </c>
      <c r="D73" s="8" t="s">
        <v>752</v>
      </c>
      <c r="E73" s="8" t="s">
        <v>753</v>
      </c>
      <c r="F73" s="8"/>
      <c r="G73" s="8" t="s">
        <v>55</v>
      </c>
      <c r="H73" s="8" t="s">
        <v>66</v>
      </c>
      <c r="I73" s="8"/>
      <c r="J73" s="8"/>
      <c r="K73" s="8"/>
      <c r="L73" s="8"/>
      <c r="M73" s="23" t="n">
        <v>218000</v>
      </c>
      <c r="N73" s="23" t="n">
        <v>99730.51574</v>
      </c>
      <c r="O73" s="23" t="n">
        <v>105110.44688975</v>
      </c>
      <c r="P73" s="24" t="n">
        <v>220.70893575</v>
      </c>
      <c r="Q73" s="24" t="n">
        <v>270.084839558333</v>
      </c>
      <c r="R73" s="24" t="n">
        <v>220.70893575</v>
      </c>
      <c r="S73" s="25" t="n">
        <v>0.00221305318750576</v>
      </c>
      <c r="T73" s="26" t="n">
        <v>0.540747828694012</v>
      </c>
      <c r="U73" s="23" t="n">
        <v>0</v>
      </c>
      <c r="V73" s="26" t="n">
        <v>-0.06</v>
      </c>
      <c r="W73" s="26" t="n">
        <v>-0.0480560209820621</v>
      </c>
      <c r="X73" s="26" t="n">
        <v>-0.108011967280116</v>
      </c>
      <c r="Y73" s="26" t="n">
        <v>-0.0408944536288994</v>
      </c>
      <c r="Z73" s="26" t="n">
        <v>-0.112985183120126</v>
      </c>
      <c r="AA73" s="26" t="n">
        <v>-0.338818671883096</v>
      </c>
      <c r="AB73" s="26" t="n">
        <v>-0.356326513475738</v>
      </c>
      <c r="AC73" s="27" t="n">
        <v>0.638514761364101</v>
      </c>
      <c r="AD73" s="28" t="n">
        <f aca="false">Params!$B$6*Params!$B$7*$R73</f>
        <v>132.42536145</v>
      </c>
      <c r="AE73" s="29" t="n">
        <f aca="false">MIN(Params!$B$9,AD73/Params!$B$4)</f>
        <v>0.06</v>
      </c>
      <c r="AF73" s="29" t="n">
        <f aca="false">MIN(Params!$B$9,AD73/Params!$B$5)</f>
        <v>0.06</v>
      </c>
      <c r="AG73" s="28" t="n">
        <f aca="false">IF($R73&gt;0,Params!$B$9*Params!$B$4/(Params!$B$6*$R73),"n/a")</f>
        <v>0.679628124209285</v>
      </c>
      <c r="AH73" s="28" t="n">
        <f aca="false">IF($R73&gt;0,Params!$B$9*Params!$B$5/(Params!$B$6*$R73),"n/a")</f>
        <v>1.35925624841857</v>
      </c>
      <c r="AI73" s="28" t="n">
        <f aca="false">IF($R73&gt;0,Params!$B$15*Params!$B$4/(Params!$B$6*$R73),"n/a")</f>
        <v>0.226542708069762</v>
      </c>
      <c r="AJ73" s="29" t="n">
        <f aca="false">MIN(Params!$B$9,AD73*Params!$B$8/Params!$B$4)</f>
        <v>0.06</v>
      </c>
      <c r="AK73" s="28" t="n">
        <f aca="false">IF($R73&gt;0,Params!$B$9*Params!$B$4/(Params!$B$6*$R73*Params!$B$8),"n/a")</f>
        <v>1.35925624841857</v>
      </c>
      <c r="AL73" s="27" t="str">
        <f aca="false">IFERROR(ciq($D73,"IQ_PE_EXCL"),"")</f>
        <v/>
      </c>
      <c r="AM73" s="27" t="str">
        <f aca="false">IFERROR(ciq($D73,"IQ_PE_EXCL_FWD_CIQ"),"")</f>
        <v/>
      </c>
      <c r="AN73" s="27" t="str">
        <f aca="false">IFERROR(ciq($D73,"IQ_PBV"),"")</f>
        <v/>
      </c>
      <c r="AO73" s="27" t="str">
        <f aca="false">IFERROR(ciq($D73,"IQ_TEV_EBITDA"),"")</f>
        <v/>
      </c>
      <c r="AP73" s="24" t="str">
        <f aca="false">IFERROR(ciq($D73,"IQ_RETURN_EQUITY"),"")</f>
        <v/>
      </c>
      <c r="AQ73" s="24" t="str">
        <f aca="false">IFERROR(ciq($D73,"IQ_RETURN_CAPITAL"),"")</f>
        <v/>
      </c>
      <c r="AR73" s="24" t="str">
        <f aca="false">IFERROR(ciq($D73,"IQ_TOTAL_REV_1YR_ANN_GROWTH"),"")</f>
        <v/>
      </c>
      <c r="AS73" s="24" t="str">
        <f aca="false">IFERROR(ciq($D73,"IQ_EPS_1YR_ANN_GROWTH"),"")</f>
        <v/>
      </c>
      <c r="AT73" s="24" t="str">
        <f aca="false">IFERROR(ciq($D73,"IQ_DIVIDEND_YIELD"),"")</f>
        <v/>
      </c>
      <c r="AU73" s="24" t="str">
        <f aca="false">IFERROR(ciq($D73,"IQ_NET_DEBT"),"")</f>
        <v/>
      </c>
    </row>
    <row r="74" customFormat="false" ht="15" hidden="false" customHeight="false" outlineLevel="0" collapsed="false">
      <c r="A74" s="8" t="s">
        <v>754</v>
      </c>
      <c r="B74" s="6" t="s">
        <v>755</v>
      </c>
      <c r="C74" s="8" t="s">
        <v>72</v>
      </c>
      <c r="D74" s="8" t="s">
        <v>756</v>
      </c>
      <c r="E74" s="8" t="s">
        <v>757</v>
      </c>
      <c r="F74" s="6" t="s">
        <v>758</v>
      </c>
      <c r="G74" s="8" t="s">
        <v>55</v>
      </c>
      <c r="H74" s="8" t="s">
        <v>66</v>
      </c>
      <c r="I74" s="8"/>
      <c r="J74" s="8"/>
      <c r="K74" s="8"/>
      <c r="L74" s="8"/>
      <c r="M74" s="23" t="n">
        <v>55500</v>
      </c>
      <c r="N74" s="23" t="n">
        <v>97637.14734</v>
      </c>
      <c r="O74" s="23" t="n">
        <v>94778.402035</v>
      </c>
      <c r="P74" s="24" t="n">
        <v>1451.4066035375</v>
      </c>
      <c r="Q74" s="24" t="n">
        <v>671.440094104167</v>
      </c>
      <c r="R74" s="24" t="n">
        <v>671.440094104167</v>
      </c>
      <c r="S74" s="25" t="n">
        <v>0.0148653114422044</v>
      </c>
      <c r="T74" s="26" t="n">
        <v>0.637063540321356</v>
      </c>
      <c r="U74" s="23" t="n">
        <v>0</v>
      </c>
      <c r="V74" s="26" t="n">
        <v>-0.06</v>
      </c>
      <c r="W74" s="26" t="n">
        <v>0.0203132091808314</v>
      </c>
      <c r="X74" s="26" t="n">
        <v>-0.0142223976554472</v>
      </c>
      <c r="Y74" s="26" t="n">
        <v>-0.273539058125491</v>
      </c>
      <c r="Z74" s="26" t="n">
        <v>0.119097586666591</v>
      </c>
      <c r="AA74" s="26" t="n">
        <v>0.0719703670349683</v>
      </c>
      <c r="AB74" s="26" t="n">
        <v>-0.364195184485965</v>
      </c>
      <c r="AC74" s="27" t="n">
        <v>2.20009523766661</v>
      </c>
      <c r="AD74" s="28" t="n">
        <f aca="false">Params!$B$6*Params!$B$7*$R74</f>
        <v>402.8640564625</v>
      </c>
      <c r="AE74" s="29" t="n">
        <f aca="false">MIN(Params!$B$9,AD74/Params!$B$4)</f>
        <v>0.06</v>
      </c>
      <c r="AF74" s="29" t="n">
        <f aca="false">MIN(Params!$B$9,AD74/Params!$B$5)</f>
        <v>0.06</v>
      </c>
      <c r="AG74" s="28" t="n">
        <f aca="false">IF($R74&gt;0,Params!$B$9*Params!$B$4/(Params!$B$6*$R74),"n/a")</f>
        <v>0.223400421448066</v>
      </c>
      <c r="AH74" s="28" t="n">
        <f aca="false">IF($R74&gt;0,Params!$B$9*Params!$B$5/(Params!$B$6*$R74),"n/a")</f>
        <v>0.446800842896132</v>
      </c>
      <c r="AI74" s="28" t="n">
        <f aca="false">IF($R74&gt;0,Params!$B$15*Params!$B$4/(Params!$B$6*$R74),"n/a")</f>
        <v>0.0744668071493554</v>
      </c>
      <c r="AJ74" s="29" t="n">
        <f aca="false">MIN(Params!$B$9,AD74*Params!$B$8/Params!$B$4)</f>
        <v>0.06</v>
      </c>
      <c r="AK74" s="28" t="n">
        <f aca="false">IF($R74&gt;0,Params!$B$9*Params!$B$4/(Params!$B$6*$R74*Params!$B$8),"n/a")</f>
        <v>0.446800842896132</v>
      </c>
      <c r="AL74" s="27" t="str">
        <f aca="false">IFERROR(ciq($D74,"IQ_PE_EXCL"),"")</f>
        <v/>
      </c>
      <c r="AM74" s="27" t="str">
        <f aca="false">IFERROR(ciq($D74,"IQ_PE_EXCL_FWD_CIQ"),"")</f>
        <v/>
      </c>
      <c r="AN74" s="27" t="str">
        <f aca="false">IFERROR(ciq($D74,"IQ_PBV"),"")</f>
        <v/>
      </c>
      <c r="AO74" s="27" t="str">
        <f aca="false">IFERROR(ciq($D74,"IQ_TEV_EBITDA"),"")</f>
        <v/>
      </c>
      <c r="AP74" s="24" t="str">
        <f aca="false">IFERROR(ciq($D74,"IQ_RETURN_EQUITY"),"")</f>
        <v/>
      </c>
      <c r="AQ74" s="24" t="str">
        <f aca="false">IFERROR(ciq($D74,"IQ_RETURN_CAPITAL"),"")</f>
        <v/>
      </c>
      <c r="AR74" s="24" t="str">
        <f aca="false">IFERROR(ciq($D74,"IQ_TOTAL_REV_1YR_ANN_GROWTH"),"")</f>
        <v/>
      </c>
      <c r="AS74" s="24" t="str">
        <f aca="false">IFERROR(ciq($D74,"IQ_EPS_1YR_ANN_GROWTH"),"")</f>
        <v/>
      </c>
      <c r="AT74" s="24" t="str">
        <f aca="false">IFERROR(ciq($D74,"IQ_DIVIDEND_YIELD"),"")</f>
        <v/>
      </c>
      <c r="AU74" s="24" t="str">
        <f aca="false">IFERROR(ciq($D74,"IQ_NET_DEBT"),"")</f>
        <v/>
      </c>
    </row>
    <row r="75" customFormat="false" ht="15" hidden="false" customHeight="false" outlineLevel="0" collapsed="false">
      <c r="A75" s="8" t="s">
        <v>759</v>
      </c>
      <c r="B75" s="8" t="s">
        <v>760</v>
      </c>
      <c r="C75" s="8" t="s">
        <v>72</v>
      </c>
      <c r="D75" s="8" t="s">
        <v>761</v>
      </c>
      <c r="E75" s="8" t="s">
        <v>762</v>
      </c>
      <c r="F75" s="6" t="s">
        <v>650</v>
      </c>
      <c r="G75" s="8" t="s">
        <v>55</v>
      </c>
      <c r="H75" s="8" t="s">
        <v>66</v>
      </c>
      <c r="I75" s="8"/>
      <c r="J75" s="8"/>
      <c r="K75" s="8"/>
      <c r="L75" s="8"/>
      <c r="M75" s="23" t="n">
        <v>26300</v>
      </c>
      <c r="N75" s="23" t="n">
        <v>97101.205615</v>
      </c>
      <c r="O75" s="23" t="n">
        <v>100119.465523375</v>
      </c>
      <c r="P75" s="24" t="n">
        <v>123.5611701875</v>
      </c>
      <c r="Q75" s="24" t="n">
        <v>198.597011629167</v>
      </c>
      <c r="R75" s="24" t="n">
        <v>123.5611701875</v>
      </c>
      <c r="S75" s="25" t="n">
        <v>0.00127249882640399</v>
      </c>
      <c r="T75" s="26" t="n">
        <v>0.532298844030242</v>
      </c>
      <c r="U75" s="23" t="n">
        <v>0</v>
      </c>
      <c r="V75" s="26" t="n">
        <v>-0.06</v>
      </c>
      <c r="W75" s="26" t="n">
        <v>-0.0690515655778307</v>
      </c>
      <c r="X75" s="26" t="n">
        <v>-0.158489036699052</v>
      </c>
      <c r="Y75" s="26" t="n">
        <v>-0.210142017042926</v>
      </c>
      <c r="Z75" s="26" t="n">
        <v>0.246781027717122</v>
      </c>
      <c r="AA75" s="26" t="n">
        <v>0.352635688066988</v>
      </c>
      <c r="AB75" s="26" t="n">
        <v>-0.329034342347871</v>
      </c>
      <c r="AC75" s="27" t="n">
        <v>0.451317967849899</v>
      </c>
      <c r="AD75" s="28" t="n">
        <f aca="false">Params!$B$6*Params!$B$7*$R75</f>
        <v>74.1367021125</v>
      </c>
      <c r="AE75" s="29" t="n">
        <f aca="false">MIN(Params!$B$9,AD75/Params!$B$4)</f>
        <v>0.06</v>
      </c>
      <c r="AF75" s="29" t="n">
        <f aca="false">MIN(Params!$B$9,AD75/Params!$B$5)</f>
        <v>0.06</v>
      </c>
      <c r="AG75" s="28" t="n">
        <f aca="false">IF($R75&gt;0,Params!$B$9*Params!$B$4/(Params!$B$6*$R75),"n/a")</f>
        <v>1.21397361138924</v>
      </c>
      <c r="AH75" s="28" t="n">
        <f aca="false">IF($R75&gt;0,Params!$B$9*Params!$B$5/(Params!$B$6*$R75),"n/a")</f>
        <v>2.42794722277848</v>
      </c>
      <c r="AI75" s="28" t="n">
        <f aca="false">IF($R75&gt;0,Params!$B$15*Params!$B$4/(Params!$B$6*$R75),"n/a")</f>
        <v>0.40465787046308</v>
      </c>
      <c r="AJ75" s="29" t="n">
        <f aca="false">MIN(Params!$B$9,AD75*Params!$B$8/Params!$B$4)</f>
        <v>0.06</v>
      </c>
      <c r="AK75" s="28" t="n">
        <f aca="false">IF($R75&gt;0,Params!$B$9*Params!$B$4/(Params!$B$6*$R75*Params!$B$8),"n/a")</f>
        <v>2.42794722277848</v>
      </c>
      <c r="AL75" s="27" t="str">
        <f aca="false">IFERROR(ciq($D75,"IQ_PE_EXCL"),"")</f>
        <v/>
      </c>
      <c r="AM75" s="27" t="str">
        <f aca="false">IFERROR(ciq($D75,"IQ_PE_EXCL_FWD_CIQ"),"")</f>
        <v/>
      </c>
      <c r="AN75" s="27" t="str">
        <f aca="false">IFERROR(ciq($D75,"IQ_PBV"),"")</f>
        <v/>
      </c>
      <c r="AO75" s="27" t="str">
        <f aca="false">IFERROR(ciq($D75,"IQ_TEV_EBITDA"),"")</f>
        <v/>
      </c>
      <c r="AP75" s="24" t="str">
        <f aca="false">IFERROR(ciq($D75,"IQ_RETURN_EQUITY"),"")</f>
        <v/>
      </c>
      <c r="AQ75" s="24" t="str">
        <f aca="false">IFERROR(ciq($D75,"IQ_RETURN_CAPITAL"),"")</f>
        <v/>
      </c>
      <c r="AR75" s="24" t="str">
        <f aca="false">IFERROR(ciq($D75,"IQ_TOTAL_REV_1YR_ANN_GROWTH"),"")</f>
        <v/>
      </c>
      <c r="AS75" s="24" t="str">
        <f aca="false">IFERROR(ciq($D75,"IQ_EPS_1YR_ANN_GROWTH"),"")</f>
        <v/>
      </c>
      <c r="AT75" s="24" t="str">
        <f aca="false">IFERROR(ciq($D75,"IQ_DIVIDEND_YIELD"),"")</f>
        <v/>
      </c>
      <c r="AU75" s="24" t="str">
        <f aca="false">IFERROR(ciq($D75,"IQ_NET_DEBT"),"")</f>
        <v/>
      </c>
    </row>
    <row r="76" customFormat="false" ht="15" hidden="false" customHeight="false" outlineLevel="0" collapsed="false">
      <c r="A76" s="8" t="s">
        <v>763</v>
      </c>
      <c r="B76" s="8" t="s">
        <v>764</v>
      </c>
      <c r="C76" s="8" t="s">
        <v>72</v>
      </c>
      <c r="D76" s="8" t="s">
        <v>765</v>
      </c>
      <c r="E76" s="8" t="s">
        <v>766</v>
      </c>
      <c r="F76" s="8"/>
      <c r="G76" s="8" t="s">
        <v>55</v>
      </c>
      <c r="H76" s="8" t="s">
        <v>66</v>
      </c>
      <c r="I76" s="8"/>
      <c r="J76" s="8"/>
      <c r="K76" s="8"/>
      <c r="L76" s="8"/>
      <c r="M76" s="23" t="n">
        <v>205500</v>
      </c>
      <c r="N76" s="23" t="n">
        <v>92132.7603</v>
      </c>
      <c r="O76" s="23" t="n">
        <v>91913.076346</v>
      </c>
      <c r="P76" s="24" t="n">
        <v>163.606119965</v>
      </c>
      <c r="Q76" s="24" t="n">
        <v>296.420206218</v>
      </c>
      <c r="R76" s="24" t="n">
        <v>163.606119965</v>
      </c>
      <c r="S76" s="25" t="n">
        <v>0.00177576487920551</v>
      </c>
      <c r="T76" s="26" t="n">
        <v>0.624912864542879</v>
      </c>
      <c r="U76" s="23" t="n">
        <v>0</v>
      </c>
      <c r="V76" s="26" t="n">
        <v>-0.06</v>
      </c>
      <c r="W76" s="26" t="n">
        <v>0.064353986730654</v>
      </c>
      <c r="X76" s="26" t="n">
        <v>-0.0217473764297325</v>
      </c>
      <c r="Y76" s="26" t="n">
        <v>0.154857984759605</v>
      </c>
      <c r="Z76" s="26" t="n">
        <v>0.0610314268377159</v>
      </c>
      <c r="AA76" s="26" t="n">
        <v>0.039402410628768</v>
      </c>
      <c r="AB76" s="26" t="n">
        <v>-0.26768583754523</v>
      </c>
      <c r="AC76" s="27" t="n">
        <v>0.348090552540954</v>
      </c>
      <c r="AD76" s="28" t="n">
        <f aca="false">Params!$B$6*Params!$B$7*$R76</f>
        <v>98.163671979</v>
      </c>
      <c r="AE76" s="29" t="n">
        <f aca="false">MIN(Params!$B$9,AD76/Params!$B$4)</f>
        <v>0.06</v>
      </c>
      <c r="AF76" s="29" t="n">
        <f aca="false">MIN(Params!$B$9,AD76/Params!$B$5)</f>
        <v>0.06</v>
      </c>
      <c r="AG76" s="28" t="n">
        <f aca="false">IF($R76&gt;0,Params!$B$9*Params!$B$4/(Params!$B$6*$R76),"n/a")</f>
        <v>0.916836118551612</v>
      </c>
      <c r="AH76" s="28" t="n">
        <f aca="false">IF($R76&gt;0,Params!$B$9*Params!$B$5/(Params!$B$6*$R76),"n/a")</f>
        <v>1.83367223710322</v>
      </c>
      <c r="AI76" s="28" t="n">
        <f aca="false">IF($R76&gt;0,Params!$B$15*Params!$B$4/(Params!$B$6*$R76),"n/a")</f>
        <v>0.305612039517204</v>
      </c>
      <c r="AJ76" s="29" t="n">
        <f aca="false">MIN(Params!$B$9,AD76*Params!$B$8/Params!$B$4)</f>
        <v>0.06</v>
      </c>
      <c r="AK76" s="28" t="n">
        <f aca="false">IF($R76&gt;0,Params!$B$9*Params!$B$4/(Params!$B$6*$R76*Params!$B$8),"n/a")</f>
        <v>1.83367223710322</v>
      </c>
      <c r="AL76" s="27" t="str">
        <f aca="false">IFERROR(ciq($D76,"IQ_PE_EXCL"),"")</f>
        <v/>
      </c>
      <c r="AM76" s="27" t="str">
        <f aca="false">IFERROR(ciq($D76,"IQ_PE_EXCL_FWD_CIQ"),"")</f>
        <v/>
      </c>
      <c r="AN76" s="27" t="str">
        <f aca="false">IFERROR(ciq($D76,"IQ_PBV"),"")</f>
        <v/>
      </c>
      <c r="AO76" s="27" t="str">
        <f aca="false">IFERROR(ciq($D76,"IQ_TEV_EBITDA"),"")</f>
        <v/>
      </c>
      <c r="AP76" s="24" t="str">
        <f aca="false">IFERROR(ciq($D76,"IQ_RETURN_EQUITY"),"")</f>
        <v/>
      </c>
      <c r="AQ76" s="24" t="str">
        <f aca="false">IFERROR(ciq($D76,"IQ_RETURN_CAPITAL"),"")</f>
        <v/>
      </c>
      <c r="AR76" s="24" t="str">
        <f aca="false">IFERROR(ciq($D76,"IQ_TOTAL_REV_1YR_ANN_GROWTH"),"")</f>
        <v/>
      </c>
      <c r="AS76" s="24" t="str">
        <f aca="false">IFERROR(ciq($D76,"IQ_EPS_1YR_ANN_GROWTH"),"")</f>
        <v/>
      </c>
      <c r="AT76" s="24" t="str">
        <f aca="false">IFERROR(ciq($D76,"IQ_DIVIDEND_YIELD"),"")</f>
        <v/>
      </c>
      <c r="AU76" s="24" t="str">
        <f aca="false">IFERROR(ciq($D76,"IQ_NET_DEBT"),"")</f>
        <v/>
      </c>
    </row>
    <row r="77" customFormat="false" ht="15" hidden="false" customHeight="false" outlineLevel="0" collapsed="false">
      <c r="A77" s="8" t="s">
        <v>767</v>
      </c>
      <c r="B77" s="8" t="s">
        <v>768</v>
      </c>
      <c r="C77" s="8" t="s">
        <v>72</v>
      </c>
      <c r="D77" s="8" t="s">
        <v>769</v>
      </c>
      <c r="E77" s="8" t="s">
        <v>770</v>
      </c>
      <c r="F77" s="6" t="s">
        <v>536</v>
      </c>
      <c r="G77" s="8" t="s">
        <v>55</v>
      </c>
      <c r="H77" s="8" t="s">
        <v>66</v>
      </c>
      <c r="I77" s="8"/>
      <c r="J77" s="8"/>
      <c r="K77" s="8"/>
      <c r="L77" s="8"/>
      <c r="M77" s="23" t="n">
        <v>292000</v>
      </c>
      <c r="N77" s="23" t="n">
        <v>91104</v>
      </c>
      <c r="O77" s="23" t="n">
        <v>97975.8</v>
      </c>
      <c r="P77" s="24" t="n">
        <v>526.565434375</v>
      </c>
      <c r="Q77" s="24" t="n">
        <v>586.961352958333</v>
      </c>
      <c r="R77" s="24" t="n">
        <v>526.565434375</v>
      </c>
      <c r="S77" s="25" t="n">
        <v>0.00577982782726335</v>
      </c>
      <c r="T77" s="26" t="n">
        <v>0.951606511027803</v>
      </c>
      <c r="U77" s="23" t="n">
        <v>1</v>
      </c>
      <c r="V77" s="26" t="n">
        <v>-0.06</v>
      </c>
      <c r="W77" s="26" t="n">
        <v>-0.112441698744141</v>
      </c>
      <c r="X77" s="26" t="n">
        <v>-0.246242310216079</v>
      </c>
      <c r="Y77" s="26" t="n">
        <v>0.156343645376712</v>
      </c>
      <c r="Z77" s="26" t="n">
        <v>0.460704820815935</v>
      </c>
      <c r="AA77" s="26" t="n">
        <v>0.757338006021765</v>
      </c>
      <c r="AB77" s="26" t="n">
        <v>-0.471816956845693</v>
      </c>
      <c r="AC77" s="27" t="n">
        <v>0.682372290250259</v>
      </c>
      <c r="AD77" s="28" t="n">
        <f aca="false">Params!$B$6*Params!$B$7*$R77</f>
        <v>315.939260625</v>
      </c>
      <c r="AE77" s="29" t="n">
        <f aca="false">MIN(Params!$B$9,AD77/Params!$B$4)</f>
        <v>0.06</v>
      </c>
      <c r="AF77" s="29" t="n">
        <f aca="false">MIN(Params!$B$9,AD77/Params!$B$5)</f>
        <v>0.06</v>
      </c>
      <c r="AG77" s="28" t="n">
        <f aca="false">IF($R77&gt;0,Params!$B$9*Params!$B$4/(Params!$B$6*$R77),"n/a")</f>
        <v>0.284864881376121</v>
      </c>
      <c r="AH77" s="28" t="n">
        <f aca="false">IF($R77&gt;0,Params!$B$9*Params!$B$5/(Params!$B$6*$R77),"n/a")</f>
        <v>0.569729762752242</v>
      </c>
      <c r="AI77" s="28" t="n">
        <f aca="false">IF($R77&gt;0,Params!$B$15*Params!$B$4/(Params!$B$6*$R77),"n/a")</f>
        <v>0.094954960458707</v>
      </c>
      <c r="AJ77" s="29" t="n">
        <f aca="false">MIN(Params!$B$9,AD77*Params!$B$8/Params!$B$4)</f>
        <v>0.06</v>
      </c>
      <c r="AK77" s="28" t="n">
        <f aca="false">IF($R77&gt;0,Params!$B$9*Params!$B$4/(Params!$B$6*$R77*Params!$B$8),"n/a")</f>
        <v>0.569729762752242</v>
      </c>
      <c r="AL77" s="27" t="str">
        <f aca="false">IFERROR(ciq($D77,"IQ_PE_EXCL"),"")</f>
        <v/>
      </c>
      <c r="AM77" s="27" t="str">
        <f aca="false">IFERROR(ciq($D77,"IQ_PE_EXCL_FWD_CIQ"),"")</f>
        <v/>
      </c>
      <c r="AN77" s="27" t="str">
        <f aca="false">IFERROR(ciq($D77,"IQ_PBV"),"")</f>
        <v/>
      </c>
      <c r="AO77" s="27" t="str">
        <f aca="false">IFERROR(ciq($D77,"IQ_TEV_EBITDA"),"")</f>
        <v/>
      </c>
      <c r="AP77" s="24" t="str">
        <f aca="false">IFERROR(ciq($D77,"IQ_RETURN_EQUITY"),"")</f>
        <v/>
      </c>
      <c r="AQ77" s="24" t="str">
        <f aca="false">IFERROR(ciq($D77,"IQ_RETURN_CAPITAL"),"")</f>
        <v/>
      </c>
      <c r="AR77" s="24" t="str">
        <f aca="false">IFERROR(ciq($D77,"IQ_TOTAL_REV_1YR_ANN_GROWTH"),"")</f>
        <v/>
      </c>
      <c r="AS77" s="24" t="str">
        <f aca="false">IFERROR(ciq($D77,"IQ_EPS_1YR_ANN_GROWTH"),"")</f>
        <v/>
      </c>
      <c r="AT77" s="24" t="str">
        <f aca="false">IFERROR(ciq($D77,"IQ_DIVIDEND_YIELD"),"")</f>
        <v/>
      </c>
      <c r="AU77" s="24" t="str">
        <f aca="false">IFERROR(ciq($D77,"IQ_NET_DEBT"),"")</f>
        <v/>
      </c>
    </row>
    <row r="78" customFormat="false" ht="15" hidden="false" customHeight="false" outlineLevel="0" collapsed="false">
      <c r="A78" s="8" t="s">
        <v>771</v>
      </c>
      <c r="B78" s="6" t="s">
        <v>772</v>
      </c>
      <c r="C78" s="8" t="s">
        <v>72</v>
      </c>
      <c r="D78" s="8" t="s">
        <v>773</v>
      </c>
      <c r="E78" s="8" t="s">
        <v>774</v>
      </c>
      <c r="F78" s="6" t="s">
        <v>775</v>
      </c>
      <c r="G78" s="8" t="s">
        <v>55</v>
      </c>
      <c r="H78" s="8" t="s">
        <v>66</v>
      </c>
      <c r="I78" s="8"/>
      <c r="J78" s="8"/>
      <c r="K78" s="8"/>
      <c r="L78" s="8"/>
      <c r="M78" s="23" t="n">
        <v>46100</v>
      </c>
      <c r="N78" s="23" t="n">
        <v>90356</v>
      </c>
      <c r="O78" s="23" t="n">
        <v>93438.1</v>
      </c>
      <c r="P78" s="24" t="n">
        <v>712.1149661125</v>
      </c>
      <c r="Q78" s="24" t="n">
        <v>1035.74921482917</v>
      </c>
      <c r="R78" s="24" t="n">
        <v>712.1149661125</v>
      </c>
      <c r="S78" s="25" t="n">
        <v>0.00788121393280468</v>
      </c>
      <c r="T78" s="26" t="n">
        <v>0.840093467681233</v>
      </c>
      <c r="U78" s="23" t="n">
        <v>0</v>
      </c>
      <c r="V78" s="26" t="n">
        <v>-0.06</v>
      </c>
      <c r="W78" s="26" t="n">
        <v>-0.0613198954289421</v>
      </c>
      <c r="X78" s="26" t="n">
        <v>-0.00764181439248657</v>
      </c>
      <c r="Y78" s="26" t="n">
        <v>0.44966229670445</v>
      </c>
      <c r="Z78" s="26" t="n">
        <v>0.91601850642573</v>
      </c>
      <c r="AA78" s="26" t="n">
        <v>0.594410076549571</v>
      </c>
      <c r="AB78" s="26" t="n">
        <v>-0.284190529255896</v>
      </c>
      <c r="AC78" s="27" t="n">
        <v>0.529952039308194</v>
      </c>
      <c r="AD78" s="28" t="n">
        <f aca="false">Params!$B$6*Params!$B$7*$R78</f>
        <v>427.2689796675</v>
      </c>
      <c r="AE78" s="29" t="n">
        <f aca="false">MIN(Params!$B$9,AD78/Params!$B$4)</f>
        <v>0.06</v>
      </c>
      <c r="AF78" s="29" t="n">
        <f aca="false">MIN(Params!$B$9,AD78/Params!$B$5)</f>
        <v>0.06</v>
      </c>
      <c r="AG78" s="28" t="n">
        <f aca="false">IF($R78&gt;0,Params!$B$9*Params!$B$4/(Params!$B$6*$R78),"n/a")</f>
        <v>0.210640145395151</v>
      </c>
      <c r="AH78" s="28" t="n">
        <f aca="false">IF($R78&gt;0,Params!$B$9*Params!$B$5/(Params!$B$6*$R78),"n/a")</f>
        <v>0.421280290790302</v>
      </c>
      <c r="AI78" s="28" t="n">
        <f aca="false">IF($R78&gt;0,Params!$B$15*Params!$B$4/(Params!$B$6*$R78),"n/a")</f>
        <v>0.0702133817983836</v>
      </c>
      <c r="AJ78" s="29" t="n">
        <f aca="false">MIN(Params!$B$9,AD78*Params!$B$8/Params!$B$4)</f>
        <v>0.06</v>
      </c>
      <c r="AK78" s="28" t="n">
        <f aca="false">IF($R78&gt;0,Params!$B$9*Params!$B$4/(Params!$B$6*$R78*Params!$B$8),"n/a")</f>
        <v>0.421280290790302</v>
      </c>
      <c r="AL78" s="27" t="str">
        <f aca="false">IFERROR(ciq($D78,"IQ_PE_EXCL"),"")</f>
        <v/>
      </c>
      <c r="AM78" s="27" t="str">
        <f aca="false">IFERROR(ciq($D78,"IQ_PE_EXCL_FWD_CIQ"),"")</f>
        <v/>
      </c>
      <c r="AN78" s="27" t="str">
        <f aca="false">IFERROR(ciq($D78,"IQ_PBV"),"")</f>
        <v/>
      </c>
      <c r="AO78" s="27" t="str">
        <f aca="false">IFERROR(ciq($D78,"IQ_TEV_EBITDA"),"")</f>
        <v/>
      </c>
      <c r="AP78" s="24" t="str">
        <f aca="false">IFERROR(ciq($D78,"IQ_RETURN_EQUITY"),"")</f>
        <v/>
      </c>
      <c r="AQ78" s="24" t="str">
        <f aca="false">IFERROR(ciq($D78,"IQ_RETURN_CAPITAL"),"")</f>
        <v/>
      </c>
      <c r="AR78" s="24" t="str">
        <f aca="false">IFERROR(ciq($D78,"IQ_TOTAL_REV_1YR_ANN_GROWTH"),"")</f>
        <v/>
      </c>
      <c r="AS78" s="24" t="str">
        <f aca="false">IFERROR(ciq($D78,"IQ_EPS_1YR_ANN_GROWTH"),"")</f>
        <v/>
      </c>
      <c r="AT78" s="24" t="str">
        <f aca="false">IFERROR(ciq($D78,"IQ_DIVIDEND_YIELD"),"")</f>
        <v/>
      </c>
      <c r="AU78" s="24" t="str">
        <f aca="false">IFERROR(ciq($D78,"IQ_NET_DEBT"),"")</f>
        <v/>
      </c>
    </row>
    <row r="79" customFormat="false" ht="15" hidden="false" customHeight="false" outlineLevel="0" collapsed="false">
      <c r="A79" s="8" t="s">
        <v>233</v>
      </c>
      <c r="B79" s="6" t="s">
        <v>234</v>
      </c>
      <c r="C79" s="8" t="s">
        <v>72</v>
      </c>
      <c r="D79" s="8" t="s">
        <v>776</v>
      </c>
      <c r="E79" s="8" t="s">
        <v>777</v>
      </c>
      <c r="F79" s="6" t="s">
        <v>536</v>
      </c>
      <c r="G79" s="8" t="s">
        <v>55</v>
      </c>
      <c r="H79" s="8" t="s">
        <v>66</v>
      </c>
      <c r="I79" s="8" t="s">
        <v>508</v>
      </c>
      <c r="J79" s="6" t="s">
        <v>235</v>
      </c>
      <c r="K79" s="6" t="s">
        <v>236</v>
      </c>
      <c r="L79" s="8"/>
      <c r="M79" s="23" t="n">
        <v>133800</v>
      </c>
      <c r="N79" s="23" t="n">
        <v>89327.929302</v>
      </c>
      <c r="O79" s="23" t="n">
        <v>82508.16250215</v>
      </c>
      <c r="P79" s="24" t="n">
        <v>123.40482875</v>
      </c>
      <c r="Q79" s="24" t="n">
        <v>142.068842975</v>
      </c>
      <c r="R79" s="24" t="n">
        <v>123.40482875</v>
      </c>
      <c r="S79" s="25" t="n">
        <v>0.00138148090652357</v>
      </c>
      <c r="T79" s="26" t="n">
        <v>0.650108800046812</v>
      </c>
      <c r="U79" s="23" t="n">
        <v>1</v>
      </c>
      <c r="V79" s="26" t="n">
        <v>-0.06</v>
      </c>
      <c r="W79" s="26" t="n">
        <v>0.0918744846849273</v>
      </c>
      <c r="X79" s="26" t="n">
        <v>0.169233834973376</v>
      </c>
      <c r="Y79" s="26" t="n">
        <v>0.108625114655396</v>
      </c>
      <c r="Z79" s="26" t="n">
        <v>0.0783705050160346</v>
      </c>
      <c r="AA79" s="26" t="n">
        <v>0.18154496123797</v>
      </c>
      <c r="AB79" s="26" t="n">
        <v>-0.227184237861652</v>
      </c>
      <c r="AC79" s="27" t="n">
        <v>0.736610049098452</v>
      </c>
      <c r="AD79" s="28" t="n">
        <f aca="false">Params!$B$6*Params!$B$7*$R79</f>
        <v>74.04289725</v>
      </c>
      <c r="AE79" s="29" t="n">
        <f aca="false">MIN(Params!$B$9,AD79/Params!$B$4)</f>
        <v>0.06</v>
      </c>
      <c r="AF79" s="29" t="n">
        <f aca="false">MIN(Params!$B$9,AD79/Params!$B$5)</f>
        <v>0.06</v>
      </c>
      <c r="AG79" s="28" t="n">
        <f aca="false">IF($R79&gt;0,Params!$B$9*Params!$B$4/(Params!$B$6*$R79),"n/a")</f>
        <v>1.21551159317986</v>
      </c>
      <c r="AH79" s="28" t="n">
        <f aca="false">IF($R79&gt;0,Params!$B$9*Params!$B$5/(Params!$B$6*$R79),"n/a")</f>
        <v>2.43102318635972</v>
      </c>
      <c r="AI79" s="28" t="n">
        <f aca="false">IF($R79&gt;0,Params!$B$15*Params!$B$4/(Params!$B$6*$R79),"n/a")</f>
        <v>0.405170531059953</v>
      </c>
      <c r="AJ79" s="29" t="n">
        <f aca="false">MIN(Params!$B$9,AD79*Params!$B$8/Params!$B$4)</f>
        <v>0.06</v>
      </c>
      <c r="AK79" s="28" t="n">
        <f aca="false">IF($R79&gt;0,Params!$B$9*Params!$B$4/(Params!$B$6*$R79*Params!$B$8),"n/a")</f>
        <v>2.43102318635972</v>
      </c>
      <c r="AL79" s="27" t="str">
        <f aca="false">IFERROR(ciq($D79,"IQ_PE_EXCL"),"")</f>
        <v/>
      </c>
      <c r="AM79" s="27" t="str">
        <f aca="false">IFERROR(ciq($D79,"IQ_PE_EXCL_FWD_CIQ"),"")</f>
        <v/>
      </c>
      <c r="AN79" s="27" t="str">
        <f aca="false">IFERROR(ciq($D79,"IQ_PBV"),"")</f>
        <v/>
      </c>
      <c r="AO79" s="27" t="str">
        <f aca="false">IFERROR(ciq($D79,"IQ_TEV_EBITDA"),"")</f>
        <v/>
      </c>
      <c r="AP79" s="24" t="str">
        <f aca="false">IFERROR(ciq($D79,"IQ_RETURN_EQUITY"),"")</f>
        <v/>
      </c>
      <c r="AQ79" s="24" t="str">
        <f aca="false">IFERROR(ciq($D79,"IQ_RETURN_CAPITAL"),"")</f>
        <v/>
      </c>
      <c r="AR79" s="24" t="str">
        <f aca="false">IFERROR(ciq($D79,"IQ_TOTAL_REV_1YR_ANN_GROWTH"),"")</f>
        <v/>
      </c>
      <c r="AS79" s="24" t="str">
        <f aca="false">IFERROR(ciq($D79,"IQ_EPS_1YR_ANN_GROWTH"),"")</f>
        <v/>
      </c>
      <c r="AT79" s="24" t="str">
        <f aca="false">IFERROR(ciq($D79,"IQ_DIVIDEND_YIELD"),"")</f>
        <v/>
      </c>
      <c r="AU79" s="24" t="str">
        <f aca="false">IFERROR(ciq($D79,"IQ_NET_DEBT"),"")</f>
        <v/>
      </c>
    </row>
    <row r="80" customFormat="false" ht="15" hidden="false" customHeight="false" outlineLevel="0" collapsed="false">
      <c r="A80" s="8" t="s">
        <v>237</v>
      </c>
      <c r="B80" s="6" t="s">
        <v>238</v>
      </c>
      <c r="C80" s="8" t="s">
        <v>72</v>
      </c>
      <c r="D80" s="8" t="s">
        <v>778</v>
      </c>
      <c r="E80" s="8" t="s">
        <v>779</v>
      </c>
      <c r="F80" s="8"/>
      <c r="G80" s="8" t="s">
        <v>55</v>
      </c>
      <c r="H80" s="8" t="s">
        <v>66</v>
      </c>
      <c r="I80" s="8" t="s">
        <v>508</v>
      </c>
      <c r="J80" s="6" t="s">
        <v>239</v>
      </c>
      <c r="K80" s="6" t="s">
        <v>240</v>
      </c>
      <c r="L80" s="8" t="s">
        <v>241</v>
      </c>
      <c r="M80" s="23" t="n">
        <v>355500</v>
      </c>
      <c r="N80" s="23" t="n">
        <v>88459.239195</v>
      </c>
      <c r="O80" s="23" t="n">
        <v>96434.2563995</v>
      </c>
      <c r="P80" s="24" t="n">
        <v>354.180406375</v>
      </c>
      <c r="Q80" s="24" t="n">
        <v>262.982942416667</v>
      </c>
      <c r="R80" s="24" t="n">
        <v>262.982942416667</v>
      </c>
      <c r="S80" s="25" t="n">
        <v>0.00400388257459736</v>
      </c>
      <c r="T80" s="26" t="n">
        <v>0.69815945570709</v>
      </c>
      <c r="U80" s="23" t="n">
        <v>0</v>
      </c>
      <c r="V80" s="26" t="n">
        <v>-0.06</v>
      </c>
      <c r="W80" s="26" t="n">
        <v>-0.0860628156822291</v>
      </c>
      <c r="X80" s="26" t="n">
        <v>-0.155397447948243</v>
      </c>
      <c r="Y80" s="26" t="n">
        <v>-0.34292809089229</v>
      </c>
      <c r="Z80" s="26" t="n">
        <v>-0.521668749587279</v>
      </c>
      <c r="AA80" s="26"/>
      <c r="AB80" s="26" t="n">
        <v>-0.521668749587279</v>
      </c>
      <c r="AC80" s="27" t="n">
        <v>1.26168537643154</v>
      </c>
      <c r="AD80" s="28" t="n">
        <f aca="false">Params!$B$6*Params!$B$7*$R80</f>
        <v>157.78976545</v>
      </c>
      <c r="AE80" s="29" t="n">
        <f aca="false">MIN(Params!$B$9,AD80/Params!$B$4)</f>
        <v>0.06</v>
      </c>
      <c r="AF80" s="29" t="n">
        <f aca="false">MIN(Params!$B$9,AD80/Params!$B$5)</f>
        <v>0.06</v>
      </c>
      <c r="AG80" s="28" t="n">
        <f aca="false">IF($R80&gt;0,Params!$B$9*Params!$B$4/(Params!$B$6*$R80),"n/a")</f>
        <v>0.570379198824013</v>
      </c>
      <c r="AH80" s="28" t="n">
        <f aca="false">IF($R80&gt;0,Params!$B$9*Params!$B$5/(Params!$B$6*$R80),"n/a")</f>
        <v>1.14075839764803</v>
      </c>
      <c r="AI80" s="28" t="n">
        <f aca="false">IF($R80&gt;0,Params!$B$15*Params!$B$4/(Params!$B$6*$R80),"n/a")</f>
        <v>0.190126399608004</v>
      </c>
      <c r="AJ80" s="29" t="n">
        <f aca="false">MIN(Params!$B$9,AD80*Params!$B$8/Params!$B$4)</f>
        <v>0.06</v>
      </c>
      <c r="AK80" s="28" t="n">
        <f aca="false">IF($R80&gt;0,Params!$B$9*Params!$B$4/(Params!$B$6*$R80*Params!$B$8),"n/a")</f>
        <v>1.14075839764803</v>
      </c>
      <c r="AL80" s="27" t="str">
        <f aca="false">IFERROR(ciq($D80,"IQ_PE_EXCL"),"")</f>
        <v/>
      </c>
      <c r="AM80" s="27" t="str">
        <f aca="false">IFERROR(ciq($D80,"IQ_PE_EXCL_FWD_CIQ"),"")</f>
        <v/>
      </c>
      <c r="AN80" s="27" t="str">
        <f aca="false">IFERROR(ciq($D80,"IQ_PBV"),"")</f>
        <v/>
      </c>
      <c r="AO80" s="27" t="str">
        <f aca="false">IFERROR(ciq($D80,"IQ_TEV_EBITDA"),"")</f>
        <v/>
      </c>
      <c r="AP80" s="24" t="str">
        <f aca="false">IFERROR(ciq($D80,"IQ_RETURN_EQUITY"),"")</f>
        <v/>
      </c>
      <c r="AQ80" s="24" t="str">
        <f aca="false">IFERROR(ciq($D80,"IQ_RETURN_CAPITAL"),"")</f>
        <v/>
      </c>
      <c r="AR80" s="24" t="str">
        <f aca="false">IFERROR(ciq($D80,"IQ_TOTAL_REV_1YR_ANN_GROWTH"),"")</f>
        <v/>
      </c>
      <c r="AS80" s="24" t="str">
        <f aca="false">IFERROR(ciq($D80,"IQ_EPS_1YR_ANN_GROWTH"),"")</f>
        <v/>
      </c>
      <c r="AT80" s="24" t="str">
        <f aca="false">IFERROR(ciq($D80,"IQ_DIVIDEND_YIELD"),"")</f>
        <v/>
      </c>
      <c r="AU80" s="24" t="str">
        <f aca="false">IFERROR(ciq($D80,"IQ_NET_DEBT"),"")</f>
        <v/>
      </c>
    </row>
    <row r="81" customFormat="false" ht="15" hidden="false" customHeight="false" outlineLevel="0" collapsed="false">
      <c r="A81" s="8" t="s">
        <v>780</v>
      </c>
      <c r="B81" s="6" t="s">
        <v>781</v>
      </c>
      <c r="C81" s="8" t="s">
        <v>73</v>
      </c>
      <c r="D81" s="8" t="s">
        <v>782</v>
      </c>
      <c r="E81" s="8" t="s">
        <v>783</v>
      </c>
      <c r="F81" s="8"/>
      <c r="G81" s="8" t="s">
        <v>55</v>
      </c>
      <c r="H81" s="8" t="s">
        <v>66</v>
      </c>
      <c r="I81" s="8"/>
      <c r="J81" s="8"/>
      <c r="K81" s="8"/>
      <c r="L81" s="8" t="s">
        <v>115</v>
      </c>
      <c r="M81" s="23" t="n">
        <v>436500</v>
      </c>
      <c r="N81" s="23" t="n">
        <v>84680.38017</v>
      </c>
      <c r="O81" s="23" t="n">
        <v>90490.637641</v>
      </c>
      <c r="P81" s="24" t="n">
        <v>440.6049905</v>
      </c>
      <c r="Q81" s="24" t="n">
        <v>614.048194375</v>
      </c>
      <c r="R81" s="24" t="n">
        <v>440.6049905</v>
      </c>
      <c r="S81" s="25" t="n">
        <v>0.00520315319340164</v>
      </c>
      <c r="T81" s="26" t="n">
        <v>0.967087470427379</v>
      </c>
      <c r="U81" s="23" t="n">
        <v>3</v>
      </c>
      <c r="V81" s="26" t="n">
        <v>-0.04</v>
      </c>
      <c r="W81" s="26" t="n">
        <v>-0.0981306047600987</v>
      </c>
      <c r="X81" s="26" t="n">
        <v>-0.299405918576507</v>
      </c>
      <c r="Y81" s="26" t="n">
        <v>-0.416367102382954</v>
      </c>
      <c r="Z81" s="26" t="n">
        <v>-0.0723838627989537</v>
      </c>
      <c r="AA81" s="26" t="n">
        <v>0.507074623412395</v>
      </c>
      <c r="AB81" s="26" t="n">
        <v>-0.503969107117206</v>
      </c>
      <c r="AC81" s="27" t="n">
        <v>0.445084760051307</v>
      </c>
      <c r="AD81" s="28" t="n">
        <f aca="false">Params!$B$6*Params!$B$7*$R81</f>
        <v>264.3629943</v>
      </c>
      <c r="AE81" s="29" t="n">
        <f aca="false">MIN(Params!$B$9,AD81/Params!$B$4)</f>
        <v>0.06</v>
      </c>
      <c r="AF81" s="29" t="n">
        <f aca="false">MIN(Params!$B$9,AD81/Params!$B$5)</f>
        <v>0.06</v>
      </c>
      <c r="AG81" s="28" t="n">
        <f aca="false">IF($R81&gt;0,Params!$B$9*Params!$B$4/(Params!$B$6*$R81),"n/a")</f>
        <v>0.340440991895665</v>
      </c>
      <c r="AH81" s="28" t="n">
        <f aca="false">IF($R81&gt;0,Params!$B$9*Params!$B$5/(Params!$B$6*$R81),"n/a")</f>
        <v>0.68088198379133</v>
      </c>
      <c r="AI81" s="28" t="n">
        <f aca="false">IF($R81&gt;0,Params!$B$15*Params!$B$4/(Params!$B$6*$R81),"n/a")</f>
        <v>0.113480330631888</v>
      </c>
      <c r="AJ81" s="29" t="n">
        <f aca="false">MIN(Params!$B$9,AD81*Params!$B$8/Params!$B$4)</f>
        <v>0.06</v>
      </c>
      <c r="AK81" s="28" t="n">
        <f aca="false">IF($R81&gt;0,Params!$B$9*Params!$B$4/(Params!$B$6*$R81*Params!$B$8),"n/a")</f>
        <v>0.68088198379133</v>
      </c>
      <c r="AL81" s="27" t="str">
        <f aca="false">IFERROR(ciq($D81,"IQ_PE_EXCL"),"")</f>
        <v/>
      </c>
      <c r="AM81" s="27" t="str">
        <f aca="false">IFERROR(ciq($D81,"IQ_PE_EXCL_FWD_CIQ"),"")</f>
        <v/>
      </c>
      <c r="AN81" s="27" t="str">
        <f aca="false">IFERROR(ciq($D81,"IQ_PBV"),"")</f>
        <v/>
      </c>
      <c r="AO81" s="27" t="str">
        <f aca="false">IFERROR(ciq($D81,"IQ_TEV_EBITDA"),"")</f>
        <v/>
      </c>
      <c r="AP81" s="24" t="str">
        <f aca="false">IFERROR(ciq($D81,"IQ_RETURN_EQUITY"),"")</f>
        <v/>
      </c>
      <c r="AQ81" s="24" t="str">
        <f aca="false">IFERROR(ciq($D81,"IQ_RETURN_CAPITAL"),"")</f>
        <v/>
      </c>
      <c r="AR81" s="24" t="str">
        <f aca="false">IFERROR(ciq($D81,"IQ_TOTAL_REV_1YR_ANN_GROWTH"),"")</f>
        <v/>
      </c>
      <c r="AS81" s="24" t="str">
        <f aca="false">IFERROR(ciq($D81,"IQ_EPS_1YR_ANN_GROWTH"),"")</f>
        <v/>
      </c>
      <c r="AT81" s="24" t="str">
        <f aca="false">IFERROR(ciq($D81,"IQ_DIVIDEND_YIELD"),"")</f>
        <v/>
      </c>
      <c r="AU81" s="24" t="str">
        <f aca="false">IFERROR(ciq($D81,"IQ_NET_DEBT"),"")</f>
        <v/>
      </c>
    </row>
    <row r="82" customFormat="false" ht="15" hidden="false" customHeight="false" outlineLevel="0" collapsed="false">
      <c r="A82" s="8" t="s">
        <v>784</v>
      </c>
      <c r="B82" s="6" t="s">
        <v>785</v>
      </c>
      <c r="C82" s="8" t="s">
        <v>72</v>
      </c>
      <c r="D82" s="8" t="s">
        <v>786</v>
      </c>
      <c r="E82" s="8" t="s">
        <v>787</v>
      </c>
      <c r="F82" s="6" t="s">
        <v>721</v>
      </c>
      <c r="G82" s="8" t="s">
        <v>55</v>
      </c>
      <c r="H82" s="8" t="s">
        <v>66</v>
      </c>
      <c r="I82" s="8"/>
      <c r="J82" s="8"/>
      <c r="K82" s="8"/>
      <c r="L82" s="8"/>
      <c r="M82" s="23" t="n">
        <v>142500</v>
      </c>
      <c r="N82" s="23" t="n">
        <v>83352.181575</v>
      </c>
      <c r="O82" s="23" t="n">
        <v>81787.50027175</v>
      </c>
      <c r="P82" s="24" t="n">
        <v>428.032414462</v>
      </c>
      <c r="Q82" s="24" t="n">
        <v>421.699755879</v>
      </c>
      <c r="R82" s="24" t="n">
        <v>421.699755879</v>
      </c>
      <c r="S82" s="25" t="n">
        <v>0.00513522749343828</v>
      </c>
      <c r="T82" s="26" t="n">
        <v>0.588228669216433</v>
      </c>
      <c r="U82" s="23" t="n">
        <v>0</v>
      </c>
      <c r="V82" s="26" t="n">
        <v>-0.06</v>
      </c>
      <c r="W82" s="26" t="n">
        <v>0.0851823087835053</v>
      </c>
      <c r="X82" s="26" t="n">
        <v>0.272181692334958</v>
      </c>
      <c r="Y82" s="26" t="n">
        <v>0.0888144392647796</v>
      </c>
      <c r="Z82" s="26" t="n">
        <v>0.192792725518241</v>
      </c>
      <c r="AA82" s="26" t="n">
        <v>0.159664734279722</v>
      </c>
      <c r="AB82" s="26" t="n">
        <v>-0.136635174295075</v>
      </c>
      <c r="AC82" s="27" t="n">
        <v>1.11584128256183</v>
      </c>
      <c r="AD82" s="28" t="n">
        <f aca="false">Params!$B$6*Params!$B$7*$R82</f>
        <v>253.0198535274</v>
      </c>
      <c r="AE82" s="29" t="n">
        <f aca="false">MIN(Params!$B$9,AD82/Params!$B$4)</f>
        <v>0.06</v>
      </c>
      <c r="AF82" s="29" t="n">
        <f aca="false">MIN(Params!$B$9,AD82/Params!$B$5)</f>
        <v>0.06</v>
      </c>
      <c r="AG82" s="28" t="n">
        <f aca="false">IF($R82&gt;0,Params!$B$9*Params!$B$4/(Params!$B$6*$R82),"n/a")</f>
        <v>0.355703312389491</v>
      </c>
      <c r="AH82" s="28" t="n">
        <f aca="false">IF($R82&gt;0,Params!$B$9*Params!$B$5/(Params!$B$6*$R82),"n/a")</f>
        <v>0.711406624778982</v>
      </c>
      <c r="AI82" s="28" t="n">
        <f aca="false">IF($R82&gt;0,Params!$B$15*Params!$B$4/(Params!$B$6*$R82),"n/a")</f>
        <v>0.118567770796497</v>
      </c>
      <c r="AJ82" s="29" t="n">
        <f aca="false">MIN(Params!$B$9,AD82*Params!$B$8/Params!$B$4)</f>
        <v>0.06</v>
      </c>
      <c r="AK82" s="28" t="n">
        <f aca="false">IF($R82&gt;0,Params!$B$9*Params!$B$4/(Params!$B$6*$R82*Params!$B$8),"n/a")</f>
        <v>0.711406624778982</v>
      </c>
      <c r="AL82" s="27" t="str">
        <f aca="false">IFERROR(ciq($D82,"IQ_PE_EXCL"),"")</f>
        <v/>
      </c>
      <c r="AM82" s="27" t="str">
        <f aca="false">IFERROR(ciq($D82,"IQ_PE_EXCL_FWD_CIQ"),"")</f>
        <v/>
      </c>
      <c r="AN82" s="27" t="str">
        <f aca="false">IFERROR(ciq($D82,"IQ_PBV"),"")</f>
        <v/>
      </c>
      <c r="AO82" s="27" t="str">
        <f aca="false">IFERROR(ciq($D82,"IQ_TEV_EBITDA"),"")</f>
        <v/>
      </c>
      <c r="AP82" s="24" t="str">
        <f aca="false">IFERROR(ciq($D82,"IQ_RETURN_EQUITY"),"")</f>
        <v/>
      </c>
      <c r="AQ82" s="24" t="str">
        <f aca="false">IFERROR(ciq($D82,"IQ_RETURN_CAPITAL"),"")</f>
        <v/>
      </c>
      <c r="AR82" s="24" t="str">
        <f aca="false">IFERROR(ciq($D82,"IQ_TOTAL_REV_1YR_ANN_GROWTH"),"")</f>
        <v/>
      </c>
      <c r="AS82" s="24" t="str">
        <f aca="false">IFERROR(ciq($D82,"IQ_EPS_1YR_ANN_GROWTH"),"")</f>
        <v/>
      </c>
      <c r="AT82" s="24" t="str">
        <f aca="false">IFERROR(ciq($D82,"IQ_DIVIDEND_YIELD"),"")</f>
        <v/>
      </c>
      <c r="AU82" s="24" t="str">
        <f aca="false">IFERROR(ciq($D82,"IQ_NET_DEBT"),"")</f>
        <v/>
      </c>
    </row>
    <row r="83" customFormat="false" ht="15" hidden="false" customHeight="false" outlineLevel="0" collapsed="false">
      <c r="A83" s="8" t="s">
        <v>788</v>
      </c>
      <c r="B83" s="6" t="s">
        <v>789</v>
      </c>
      <c r="C83" s="8" t="s">
        <v>72</v>
      </c>
      <c r="D83" s="8" t="s">
        <v>790</v>
      </c>
      <c r="E83" s="8" t="s">
        <v>791</v>
      </c>
      <c r="F83" s="6" t="s">
        <v>792</v>
      </c>
      <c r="G83" s="8" t="s">
        <v>55</v>
      </c>
      <c r="H83" s="8" t="s">
        <v>66</v>
      </c>
      <c r="I83" s="8"/>
      <c r="J83" s="8"/>
      <c r="K83" s="8"/>
      <c r="L83" s="8"/>
      <c r="M83" s="23" t="n">
        <v>66500</v>
      </c>
      <c r="N83" s="23" t="n">
        <v>82376.920885</v>
      </c>
      <c r="O83" s="23" t="n">
        <v>84204.07815275</v>
      </c>
      <c r="P83" s="24" t="n">
        <v>182.8049797</v>
      </c>
      <c r="Q83" s="24" t="n">
        <v>246.312230802833</v>
      </c>
      <c r="R83" s="24" t="n">
        <v>182.8049797</v>
      </c>
      <c r="S83" s="25" t="n">
        <v>0.00221912858281265</v>
      </c>
      <c r="T83" s="26" t="n">
        <v>0.526441826908391</v>
      </c>
      <c r="U83" s="23" t="n">
        <v>0</v>
      </c>
      <c r="V83" s="26" t="n">
        <v>-0.06</v>
      </c>
      <c r="W83" s="26" t="n">
        <v>-0.0177477639417479</v>
      </c>
      <c r="X83" s="26" t="n">
        <v>-0.0888307508630671</v>
      </c>
      <c r="Y83" s="26" t="n">
        <v>0.127445978822393</v>
      </c>
      <c r="Z83" s="26" t="n">
        <v>0.140981177882322</v>
      </c>
      <c r="AA83" s="26" t="n">
        <v>0.652449113712436</v>
      </c>
      <c r="AB83" s="26" t="n">
        <v>-0.132855536722677</v>
      </c>
      <c r="AC83" s="27" t="n">
        <v>0.697453975612213</v>
      </c>
      <c r="AD83" s="28" t="n">
        <f aca="false">Params!$B$6*Params!$B$7*$R83</f>
        <v>109.68298782</v>
      </c>
      <c r="AE83" s="29" t="n">
        <f aca="false">MIN(Params!$B$9,AD83/Params!$B$4)</f>
        <v>0.06</v>
      </c>
      <c r="AF83" s="29" t="n">
        <f aca="false">MIN(Params!$B$9,AD83/Params!$B$5)</f>
        <v>0.06</v>
      </c>
      <c r="AG83" s="28" t="n">
        <f aca="false">IF($R83&gt;0,Params!$B$9*Params!$B$4/(Params!$B$6*$R83),"n/a")</f>
        <v>0.820546575077791</v>
      </c>
      <c r="AH83" s="28" t="n">
        <f aca="false">IF($R83&gt;0,Params!$B$9*Params!$B$5/(Params!$B$6*$R83),"n/a")</f>
        <v>1.64109315015558</v>
      </c>
      <c r="AI83" s="28" t="n">
        <f aca="false">IF($R83&gt;0,Params!$B$15*Params!$B$4/(Params!$B$6*$R83),"n/a")</f>
        <v>0.27351552502593</v>
      </c>
      <c r="AJ83" s="29" t="n">
        <f aca="false">MIN(Params!$B$9,AD83*Params!$B$8/Params!$B$4)</f>
        <v>0.06</v>
      </c>
      <c r="AK83" s="28" t="n">
        <f aca="false">IF($R83&gt;0,Params!$B$9*Params!$B$4/(Params!$B$6*$R83*Params!$B$8),"n/a")</f>
        <v>1.64109315015558</v>
      </c>
      <c r="AL83" s="27" t="str">
        <f aca="false">IFERROR(ciq($D83,"IQ_PE_EXCL"),"")</f>
        <v/>
      </c>
      <c r="AM83" s="27" t="str">
        <f aca="false">IFERROR(ciq($D83,"IQ_PE_EXCL_FWD_CIQ"),"")</f>
        <v/>
      </c>
      <c r="AN83" s="27" t="str">
        <f aca="false">IFERROR(ciq($D83,"IQ_PBV"),"")</f>
        <v/>
      </c>
      <c r="AO83" s="27" t="str">
        <f aca="false">IFERROR(ciq($D83,"IQ_TEV_EBITDA"),"")</f>
        <v/>
      </c>
      <c r="AP83" s="24" t="str">
        <f aca="false">IFERROR(ciq($D83,"IQ_RETURN_EQUITY"),"")</f>
        <v/>
      </c>
      <c r="AQ83" s="24" t="str">
        <f aca="false">IFERROR(ciq($D83,"IQ_RETURN_CAPITAL"),"")</f>
        <v/>
      </c>
      <c r="AR83" s="24" t="str">
        <f aca="false">IFERROR(ciq($D83,"IQ_TOTAL_REV_1YR_ANN_GROWTH"),"")</f>
        <v/>
      </c>
      <c r="AS83" s="24" t="str">
        <f aca="false">IFERROR(ciq($D83,"IQ_EPS_1YR_ANN_GROWTH"),"")</f>
        <v/>
      </c>
      <c r="AT83" s="24" t="str">
        <f aca="false">IFERROR(ciq($D83,"IQ_DIVIDEND_YIELD"),"")</f>
        <v/>
      </c>
      <c r="AU83" s="24" t="str">
        <f aca="false">IFERROR(ciq($D83,"IQ_NET_DEBT"),"")</f>
        <v/>
      </c>
    </row>
    <row r="84" customFormat="false" ht="15" hidden="false" customHeight="false" outlineLevel="0" collapsed="false">
      <c r="A84" s="8" t="s">
        <v>793</v>
      </c>
      <c r="B84" s="6" t="s">
        <v>794</v>
      </c>
      <c r="C84" s="8" t="s">
        <v>74</v>
      </c>
      <c r="D84" s="8" t="s">
        <v>795</v>
      </c>
      <c r="E84" s="8" t="s">
        <v>796</v>
      </c>
      <c r="F84" s="6" t="s">
        <v>627</v>
      </c>
      <c r="G84" s="8" t="s">
        <v>55</v>
      </c>
      <c r="H84" s="8" t="s">
        <v>66</v>
      </c>
      <c r="I84" s="8"/>
      <c r="J84" s="8"/>
      <c r="K84" s="8"/>
      <c r="L84" s="8" t="s">
        <v>514</v>
      </c>
      <c r="M84" s="23" t="n">
        <v>168000</v>
      </c>
      <c r="N84" s="23" t="n">
        <v>78088.28328</v>
      </c>
      <c r="O84" s="23" t="n">
        <v>78137.08845705</v>
      </c>
      <c r="P84" s="24" t="n">
        <v>1991.16455475</v>
      </c>
      <c r="Q84" s="24" t="n">
        <v>3803.37529295</v>
      </c>
      <c r="R84" s="24" t="n">
        <v>1991.16455475</v>
      </c>
      <c r="S84" s="25" t="n">
        <v>0.0254988901165916</v>
      </c>
      <c r="T84" s="26" t="n">
        <v>1.39994755435665</v>
      </c>
      <c r="U84" s="23" t="n">
        <v>2</v>
      </c>
      <c r="V84" s="26" t="n">
        <v>-0.04</v>
      </c>
      <c r="W84" s="26" t="n">
        <v>0.175481589287833</v>
      </c>
      <c r="X84" s="26" t="n">
        <v>-0.123876984343114</v>
      </c>
      <c r="Y84" s="26" t="n">
        <v>1.50601861201798</v>
      </c>
      <c r="Z84" s="26" t="n">
        <v>5.06034217658457</v>
      </c>
      <c r="AA84" s="26" t="n">
        <v>5.23872310779417</v>
      </c>
      <c r="AB84" s="26" t="n">
        <v>-0.329521896876019</v>
      </c>
      <c r="AC84" s="27" t="n">
        <v>0.546999574240797</v>
      </c>
      <c r="AD84" s="28" t="n">
        <f aca="false">Params!$B$6*Params!$B$7*$R84</f>
        <v>1194.69873285</v>
      </c>
      <c r="AE84" s="29" t="n">
        <f aca="false">MIN(Params!$B$9,AD84/Params!$B$4)</f>
        <v>0.06</v>
      </c>
      <c r="AF84" s="29" t="n">
        <f aca="false">MIN(Params!$B$9,AD84/Params!$B$5)</f>
        <v>0.06</v>
      </c>
      <c r="AG84" s="28" t="n">
        <f aca="false">IF($R84&gt;0,Params!$B$9*Params!$B$4/(Params!$B$6*$R84),"n/a")</f>
        <v>0.0753327994123686</v>
      </c>
      <c r="AH84" s="28" t="n">
        <f aca="false">IF($R84&gt;0,Params!$B$9*Params!$B$5/(Params!$B$6*$R84),"n/a")</f>
        <v>0.150665598824737</v>
      </c>
      <c r="AI84" s="28" t="n">
        <f aca="false">IF($R84&gt;0,Params!$B$15*Params!$B$4/(Params!$B$6*$R84),"n/a")</f>
        <v>0.0251109331374562</v>
      </c>
      <c r="AJ84" s="29" t="n">
        <f aca="false">MIN(Params!$B$9,AD84*Params!$B$8/Params!$B$4)</f>
        <v>0.06</v>
      </c>
      <c r="AK84" s="28" t="n">
        <f aca="false">IF($R84&gt;0,Params!$B$9*Params!$B$4/(Params!$B$6*$R84*Params!$B$8),"n/a")</f>
        <v>0.150665598824737</v>
      </c>
      <c r="AL84" s="27" t="str">
        <f aca="false">IFERROR(ciq($D84,"IQ_PE_EXCL"),"")</f>
        <v/>
      </c>
      <c r="AM84" s="27" t="str">
        <f aca="false">IFERROR(ciq($D84,"IQ_PE_EXCL_FWD_CIQ"),"")</f>
        <v/>
      </c>
      <c r="AN84" s="27" t="str">
        <f aca="false">IFERROR(ciq($D84,"IQ_PBV"),"")</f>
        <v/>
      </c>
      <c r="AO84" s="27" t="str">
        <f aca="false">IFERROR(ciq($D84,"IQ_TEV_EBITDA"),"")</f>
        <v/>
      </c>
      <c r="AP84" s="24" t="str">
        <f aca="false">IFERROR(ciq($D84,"IQ_RETURN_EQUITY"),"")</f>
        <v/>
      </c>
      <c r="AQ84" s="24" t="str">
        <f aca="false">IFERROR(ciq($D84,"IQ_RETURN_CAPITAL"),"")</f>
        <v/>
      </c>
      <c r="AR84" s="24" t="str">
        <f aca="false">IFERROR(ciq($D84,"IQ_TOTAL_REV_1YR_ANN_GROWTH"),"")</f>
        <v/>
      </c>
      <c r="AS84" s="24" t="str">
        <f aca="false">IFERROR(ciq($D84,"IQ_EPS_1YR_ANN_GROWTH"),"")</f>
        <v/>
      </c>
      <c r="AT84" s="24" t="str">
        <f aca="false">IFERROR(ciq($D84,"IQ_DIVIDEND_YIELD"),"")</f>
        <v/>
      </c>
      <c r="AU84" s="24" t="str">
        <f aca="false">IFERROR(ciq($D84,"IQ_NET_DEBT"),"")</f>
        <v/>
      </c>
    </row>
    <row r="85" customFormat="false" ht="15" hidden="false" customHeight="false" outlineLevel="0" collapsed="false">
      <c r="A85" s="8" t="s">
        <v>797</v>
      </c>
      <c r="B85" s="6" t="s">
        <v>798</v>
      </c>
      <c r="C85" s="8" t="s">
        <v>72</v>
      </c>
      <c r="D85" s="8" t="s">
        <v>799</v>
      </c>
      <c r="E85" s="8" t="s">
        <v>800</v>
      </c>
      <c r="F85" s="6" t="s">
        <v>523</v>
      </c>
      <c r="G85" s="8" t="s">
        <v>55</v>
      </c>
      <c r="H85" s="8" t="s">
        <v>66</v>
      </c>
      <c r="I85" s="8"/>
      <c r="J85" s="8"/>
      <c r="K85" s="8"/>
      <c r="L85" s="8" t="s">
        <v>514</v>
      </c>
      <c r="M85" s="23" t="n">
        <v>106000</v>
      </c>
      <c r="N85" s="23" t="n">
        <v>77813.77214</v>
      </c>
      <c r="O85" s="23" t="n">
        <v>74411.25483935</v>
      </c>
      <c r="P85" s="24" t="n">
        <v>665.299103825</v>
      </c>
      <c r="Q85" s="24" t="n">
        <v>985.0030512</v>
      </c>
      <c r="R85" s="24" t="n">
        <v>665.299103825</v>
      </c>
      <c r="S85" s="25" t="n">
        <v>0.00854988886322097</v>
      </c>
      <c r="T85" s="26" t="n">
        <v>1.12559473658016</v>
      </c>
      <c r="U85" s="23" t="n">
        <v>2</v>
      </c>
      <c r="V85" s="26" t="n">
        <v>-0.04</v>
      </c>
      <c r="W85" s="26" t="n">
        <v>0.251571727643118</v>
      </c>
      <c r="X85" s="26" t="n">
        <v>-0.0844975433222118</v>
      </c>
      <c r="Y85" s="26" t="n">
        <v>-0.0359414269673035</v>
      </c>
      <c r="Z85" s="26" t="n">
        <v>-0.110716010427451</v>
      </c>
      <c r="AA85" s="26" t="n">
        <v>0.677174876098529</v>
      </c>
      <c r="AB85" s="26" t="n">
        <v>-0.343055929214676</v>
      </c>
      <c r="AC85" s="27" t="n">
        <v>0.493490726854817</v>
      </c>
      <c r="AD85" s="28" t="n">
        <f aca="false">Params!$B$6*Params!$B$7*$R85</f>
        <v>399.179462295</v>
      </c>
      <c r="AE85" s="29" t="n">
        <f aca="false">MIN(Params!$B$9,AD85/Params!$B$4)</f>
        <v>0.06</v>
      </c>
      <c r="AF85" s="29" t="n">
        <f aca="false">MIN(Params!$B$9,AD85/Params!$B$5)</f>
        <v>0.06</v>
      </c>
      <c r="AG85" s="28" t="n">
        <f aca="false">IF($R85&gt;0,Params!$B$9*Params!$B$4/(Params!$B$6*$R85),"n/a")</f>
        <v>0.225462501208262</v>
      </c>
      <c r="AH85" s="28" t="n">
        <f aca="false">IF($R85&gt;0,Params!$B$9*Params!$B$5/(Params!$B$6*$R85),"n/a")</f>
        <v>0.450925002416525</v>
      </c>
      <c r="AI85" s="28" t="n">
        <f aca="false">IF($R85&gt;0,Params!$B$15*Params!$B$4/(Params!$B$6*$R85),"n/a")</f>
        <v>0.0751541670694208</v>
      </c>
      <c r="AJ85" s="29" t="n">
        <f aca="false">MIN(Params!$B$9,AD85*Params!$B$8/Params!$B$4)</f>
        <v>0.06</v>
      </c>
      <c r="AK85" s="28" t="n">
        <f aca="false">IF($R85&gt;0,Params!$B$9*Params!$B$4/(Params!$B$6*$R85*Params!$B$8),"n/a")</f>
        <v>0.450925002416525</v>
      </c>
      <c r="AL85" s="27" t="str">
        <f aca="false">IFERROR(ciq($D85,"IQ_PE_EXCL"),"")</f>
        <v/>
      </c>
      <c r="AM85" s="27" t="str">
        <f aca="false">IFERROR(ciq($D85,"IQ_PE_EXCL_FWD_CIQ"),"")</f>
        <v/>
      </c>
      <c r="AN85" s="27" t="str">
        <f aca="false">IFERROR(ciq($D85,"IQ_PBV"),"")</f>
        <v/>
      </c>
      <c r="AO85" s="27" t="str">
        <f aca="false">IFERROR(ciq($D85,"IQ_TEV_EBITDA"),"")</f>
        <v/>
      </c>
      <c r="AP85" s="24" t="str">
        <f aca="false">IFERROR(ciq($D85,"IQ_RETURN_EQUITY"),"")</f>
        <v/>
      </c>
      <c r="AQ85" s="24" t="str">
        <f aca="false">IFERROR(ciq($D85,"IQ_RETURN_CAPITAL"),"")</f>
        <v/>
      </c>
      <c r="AR85" s="24" t="str">
        <f aca="false">IFERROR(ciq($D85,"IQ_TOTAL_REV_1YR_ANN_GROWTH"),"")</f>
        <v/>
      </c>
      <c r="AS85" s="24" t="str">
        <f aca="false">IFERROR(ciq($D85,"IQ_EPS_1YR_ANN_GROWTH"),"")</f>
        <v/>
      </c>
      <c r="AT85" s="24" t="str">
        <f aca="false">IFERROR(ciq($D85,"IQ_DIVIDEND_YIELD"),"")</f>
        <v/>
      </c>
      <c r="AU85" s="24" t="str">
        <f aca="false">IFERROR(ciq($D85,"IQ_NET_DEBT"),"")</f>
        <v/>
      </c>
    </row>
    <row r="86" customFormat="false" ht="15" hidden="false" customHeight="false" outlineLevel="0" collapsed="false">
      <c r="A86" s="8" t="s">
        <v>801</v>
      </c>
      <c r="B86" s="6" t="s">
        <v>802</v>
      </c>
      <c r="C86" s="8" t="s">
        <v>72</v>
      </c>
      <c r="D86" s="8" t="s">
        <v>803</v>
      </c>
      <c r="E86" s="8" t="s">
        <v>804</v>
      </c>
      <c r="F86" s="6" t="s">
        <v>650</v>
      </c>
      <c r="G86" s="8" t="s">
        <v>55</v>
      </c>
      <c r="H86" s="8" t="s">
        <v>66</v>
      </c>
      <c r="I86" s="8"/>
      <c r="J86" s="8"/>
      <c r="K86" s="8"/>
      <c r="L86" s="8"/>
      <c r="M86" s="23" t="n">
        <v>86600</v>
      </c>
      <c r="N86" s="23" t="n">
        <v>77333.8</v>
      </c>
      <c r="O86" s="23" t="n">
        <v>80258.375</v>
      </c>
      <c r="P86" s="24" t="n">
        <v>446.72103295</v>
      </c>
      <c r="Q86" s="24" t="n">
        <v>517.916281791667</v>
      </c>
      <c r="R86" s="24" t="n">
        <v>446.72103295</v>
      </c>
      <c r="S86" s="25" t="n">
        <v>0.00577653022287797</v>
      </c>
      <c r="T86" s="26" t="n">
        <v>0.674336401865831</v>
      </c>
      <c r="U86" s="23" t="n">
        <v>0</v>
      </c>
      <c r="V86" s="26" t="n">
        <v>-0.06</v>
      </c>
      <c r="W86" s="26" t="n">
        <v>-0.112627572959686</v>
      </c>
      <c r="X86" s="26" t="n">
        <v>-0.262755260407053</v>
      </c>
      <c r="Y86" s="26" t="n">
        <v>-0.114493327353352</v>
      </c>
      <c r="Z86" s="26" t="n">
        <v>0.14849251505962</v>
      </c>
      <c r="AA86" s="26" t="n">
        <v>0.257242047191851</v>
      </c>
      <c r="AB86" s="26" t="n">
        <v>-0.42060911602932</v>
      </c>
      <c r="AC86" s="27" t="n">
        <v>0.676137371732705</v>
      </c>
      <c r="AD86" s="28" t="n">
        <f aca="false">Params!$B$6*Params!$B$7*$R86</f>
        <v>268.03261977</v>
      </c>
      <c r="AE86" s="29" t="n">
        <f aca="false">MIN(Params!$B$9,AD86/Params!$B$4)</f>
        <v>0.06</v>
      </c>
      <c r="AF86" s="29" t="n">
        <f aca="false">MIN(Params!$B$9,AD86/Params!$B$5)</f>
        <v>0.06</v>
      </c>
      <c r="AG86" s="28" t="n">
        <f aca="false">IF($R86&gt;0,Params!$B$9*Params!$B$4/(Params!$B$6*$R86),"n/a")</f>
        <v>0.335780025868603</v>
      </c>
      <c r="AH86" s="28" t="n">
        <f aca="false">IF($R86&gt;0,Params!$B$9*Params!$B$5/(Params!$B$6*$R86),"n/a")</f>
        <v>0.671560051737206</v>
      </c>
      <c r="AI86" s="28" t="n">
        <f aca="false">IF($R86&gt;0,Params!$B$15*Params!$B$4/(Params!$B$6*$R86),"n/a")</f>
        <v>0.111926675289534</v>
      </c>
      <c r="AJ86" s="29" t="n">
        <f aca="false">MIN(Params!$B$9,AD86*Params!$B$8/Params!$B$4)</f>
        <v>0.06</v>
      </c>
      <c r="AK86" s="28" t="n">
        <f aca="false">IF($R86&gt;0,Params!$B$9*Params!$B$4/(Params!$B$6*$R86*Params!$B$8),"n/a")</f>
        <v>0.671560051737206</v>
      </c>
      <c r="AL86" s="27" t="str">
        <f aca="false">IFERROR(ciq($D86,"IQ_PE_EXCL"),"")</f>
        <v/>
      </c>
      <c r="AM86" s="27" t="str">
        <f aca="false">IFERROR(ciq($D86,"IQ_PE_EXCL_FWD_CIQ"),"")</f>
        <v/>
      </c>
      <c r="AN86" s="27" t="str">
        <f aca="false">IFERROR(ciq($D86,"IQ_PBV"),"")</f>
        <v/>
      </c>
      <c r="AO86" s="27" t="str">
        <f aca="false">IFERROR(ciq($D86,"IQ_TEV_EBITDA"),"")</f>
        <v/>
      </c>
      <c r="AP86" s="24" t="str">
        <f aca="false">IFERROR(ciq($D86,"IQ_RETURN_EQUITY"),"")</f>
        <v/>
      </c>
      <c r="AQ86" s="24" t="str">
        <f aca="false">IFERROR(ciq($D86,"IQ_RETURN_CAPITAL"),"")</f>
        <v/>
      </c>
      <c r="AR86" s="24" t="str">
        <f aca="false">IFERROR(ciq($D86,"IQ_TOTAL_REV_1YR_ANN_GROWTH"),"")</f>
        <v/>
      </c>
      <c r="AS86" s="24" t="str">
        <f aca="false">IFERROR(ciq($D86,"IQ_EPS_1YR_ANN_GROWTH"),"")</f>
        <v/>
      </c>
      <c r="AT86" s="24" t="str">
        <f aca="false">IFERROR(ciq($D86,"IQ_DIVIDEND_YIELD"),"")</f>
        <v/>
      </c>
      <c r="AU86" s="24" t="str">
        <f aca="false">IFERROR(ciq($D86,"IQ_NET_DEBT"),"")</f>
        <v/>
      </c>
    </row>
    <row r="87" customFormat="false" ht="15" hidden="false" customHeight="false" outlineLevel="0" collapsed="false">
      <c r="A87" s="8" t="s">
        <v>805</v>
      </c>
      <c r="B87" s="6" t="s">
        <v>806</v>
      </c>
      <c r="C87" s="8" t="s">
        <v>72</v>
      </c>
      <c r="D87" s="8" t="s">
        <v>807</v>
      </c>
      <c r="E87" s="8" t="s">
        <v>808</v>
      </c>
      <c r="F87" s="8"/>
      <c r="G87" s="8" t="s">
        <v>55</v>
      </c>
      <c r="H87" s="8" t="s">
        <v>66</v>
      </c>
      <c r="I87" s="8"/>
      <c r="J87" s="8"/>
      <c r="K87" s="8"/>
      <c r="L87" s="8" t="s">
        <v>241</v>
      </c>
      <c r="M87" s="23" t="n">
        <v>176000</v>
      </c>
      <c r="N87" s="23" t="n">
        <v>75868.03136</v>
      </c>
      <c r="O87" s="23" t="n">
        <v>76385.313392</v>
      </c>
      <c r="P87" s="24" t="n">
        <v>350.59362765</v>
      </c>
      <c r="Q87" s="24" t="n">
        <v>535.8814093475</v>
      </c>
      <c r="R87" s="24" t="n">
        <v>350.59362765</v>
      </c>
      <c r="S87" s="25" t="n">
        <v>0.00462109825924446</v>
      </c>
      <c r="T87" s="26" t="n">
        <v>0.698293263729138</v>
      </c>
      <c r="U87" s="23" t="n">
        <v>1</v>
      </c>
      <c r="V87" s="26" t="n">
        <v>-0.06</v>
      </c>
      <c r="W87" s="26" t="n">
        <v>-0.0275896471088146</v>
      </c>
      <c r="X87" s="26" t="n">
        <v>-0.147898671307366</v>
      </c>
      <c r="Y87" s="26" t="n">
        <v>-0.502297537186823</v>
      </c>
      <c r="Z87" s="26" t="n">
        <v>-0.466869199896321</v>
      </c>
      <c r="AA87" s="26" t="n">
        <v>-0.400277270292137</v>
      </c>
      <c r="AB87" s="26" t="n">
        <v>-0.565075249352032</v>
      </c>
      <c r="AC87" s="27" t="n">
        <v>0.503718451616838</v>
      </c>
      <c r="AD87" s="28" t="n">
        <f aca="false">Params!$B$6*Params!$B$7*$R87</f>
        <v>210.35617659</v>
      </c>
      <c r="AE87" s="29" t="n">
        <f aca="false">MIN(Params!$B$9,AD87/Params!$B$4)</f>
        <v>0.06</v>
      </c>
      <c r="AF87" s="29" t="n">
        <f aca="false">MIN(Params!$B$9,AD87/Params!$B$5)</f>
        <v>0.06</v>
      </c>
      <c r="AG87" s="28" t="n">
        <f aca="false">IF($R87&gt;0,Params!$B$9*Params!$B$4/(Params!$B$6*$R87),"n/a")</f>
        <v>0.427845768348494</v>
      </c>
      <c r="AH87" s="28" t="n">
        <f aca="false">IF($R87&gt;0,Params!$B$9*Params!$B$5/(Params!$B$6*$R87),"n/a")</f>
        <v>0.855691536696988</v>
      </c>
      <c r="AI87" s="28" t="n">
        <f aca="false">IF($R87&gt;0,Params!$B$15*Params!$B$4/(Params!$B$6*$R87),"n/a")</f>
        <v>0.142615256116165</v>
      </c>
      <c r="AJ87" s="29" t="n">
        <f aca="false">MIN(Params!$B$9,AD87*Params!$B$8/Params!$B$4)</f>
        <v>0.06</v>
      </c>
      <c r="AK87" s="28" t="n">
        <f aca="false">IF($R87&gt;0,Params!$B$9*Params!$B$4/(Params!$B$6*$R87*Params!$B$8),"n/a")</f>
        <v>0.855691536696988</v>
      </c>
      <c r="AL87" s="27" t="str">
        <f aca="false">IFERROR(ciq($D87,"IQ_PE_EXCL"),"")</f>
        <v/>
      </c>
      <c r="AM87" s="27" t="str">
        <f aca="false">IFERROR(ciq($D87,"IQ_PE_EXCL_FWD_CIQ"),"")</f>
        <v/>
      </c>
      <c r="AN87" s="27" t="str">
        <f aca="false">IFERROR(ciq($D87,"IQ_PBV"),"")</f>
        <v/>
      </c>
      <c r="AO87" s="27" t="str">
        <f aca="false">IFERROR(ciq($D87,"IQ_TEV_EBITDA"),"")</f>
        <v/>
      </c>
      <c r="AP87" s="24" t="str">
        <f aca="false">IFERROR(ciq($D87,"IQ_RETURN_EQUITY"),"")</f>
        <v/>
      </c>
      <c r="AQ87" s="24" t="str">
        <f aca="false">IFERROR(ciq($D87,"IQ_RETURN_CAPITAL"),"")</f>
        <v/>
      </c>
      <c r="AR87" s="24" t="str">
        <f aca="false">IFERROR(ciq($D87,"IQ_TOTAL_REV_1YR_ANN_GROWTH"),"")</f>
        <v/>
      </c>
      <c r="AS87" s="24" t="str">
        <f aca="false">IFERROR(ciq($D87,"IQ_EPS_1YR_ANN_GROWTH"),"")</f>
        <v/>
      </c>
      <c r="AT87" s="24" t="str">
        <f aca="false">IFERROR(ciq($D87,"IQ_DIVIDEND_YIELD"),"")</f>
        <v/>
      </c>
      <c r="AU87" s="24" t="str">
        <f aca="false">IFERROR(ciq($D87,"IQ_NET_DEBT"),"")</f>
        <v/>
      </c>
    </row>
    <row r="88" customFormat="false" ht="15" hidden="false" customHeight="false" outlineLevel="0" collapsed="false">
      <c r="A88" s="8" t="s">
        <v>242</v>
      </c>
      <c r="B88" s="6" t="s">
        <v>243</v>
      </c>
      <c r="C88" s="8" t="s">
        <v>72</v>
      </c>
      <c r="D88" s="8" t="s">
        <v>809</v>
      </c>
      <c r="E88" s="8" t="s">
        <v>810</v>
      </c>
      <c r="F88" s="6" t="s">
        <v>721</v>
      </c>
      <c r="G88" s="8" t="s">
        <v>55</v>
      </c>
      <c r="H88" s="8" t="s">
        <v>66</v>
      </c>
      <c r="I88" s="8" t="s">
        <v>508</v>
      </c>
      <c r="J88" s="6" t="s">
        <v>244</v>
      </c>
      <c r="K88" s="8" t="s">
        <v>245</v>
      </c>
      <c r="L88" s="6" t="s">
        <v>246</v>
      </c>
      <c r="M88" s="23" t="n">
        <v>133700</v>
      </c>
      <c r="N88" s="23" t="n">
        <v>71300.735289</v>
      </c>
      <c r="O88" s="23" t="n">
        <v>62811.77227905</v>
      </c>
      <c r="P88" s="24" t="n">
        <v>581.1737042025</v>
      </c>
      <c r="Q88" s="24" t="n">
        <v>271.418314095814</v>
      </c>
      <c r="R88" s="24" t="n">
        <v>271.418314095814</v>
      </c>
      <c r="S88" s="25" t="n">
        <v>0.00815101978747983</v>
      </c>
      <c r="T88" s="26" t="n">
        <v>0.673628798827789</v>
      </c>
      <c r="U88" s="23" t="n">
        <v>1</v>
      </c>
      <c r="V88" s="26" t="n">
        <v>-0.06</v>
      </c>
      <c r="W88" s="26" t="n">
        <v>0.329072677634658</v>
      </c>
      <c r="X88" s="26" t="n">
        <v>-0.0381871113311099</v>
      </c>
      <c r="Y88" s="26" t="n">
        <v>-0.140495353008923</v>
      </c>
      <c r="Z88" s="26" t="n">
        <v>0.365360400602974</v>
      </c>
      <c r="AA88" s="26" t="n">
        <v>0.35153878911425</v>
      </c>
      <c r="AB88" s="26" t="n">
        <v>-0.261884979806956</v>
      </c>
      <c r="AC88" s="27" t="n">
        <v>1.84492959994552</v>
      </c>
      <c r="AD88" s="28" t="n">
        <f aca="false">Params!$B$6*Params!$B$7*$R88</f>
        <v>162.850988457488</v>
      </c>
      <c r="AE88" s="29" t="n">
        <f aca="false">MIN(Params!$B$9,AD88/Params!$B$4)</f>
        <v>0.06</v>
      </c>
      <c r="AF88" s="29" t="n">
        <f aca="false">MIN(Params!$B$9,AD88/Params!$B$5)</f>
        <v>0.06</v>
      </c>
      <c r="AG88" s="28" t="n">
        <f aca="false">IF($R88&gt;0,Params!$B$9*Params!$B$4/(Params!$B$6*$R88),"n/a")</f>
        <v>0.552652463779759</v>
      </c>
      <c r="AH88" s="28" t="n">
        <f aca="false">IF($R88&gt;0,Params!$B$9*Params!$B$5/(Params!$B$6*$R88),"n/a")</f>
        <v>1.10530492755952</v>
      </c>
      <c r="AI88" s="28" t="n">
        <f aca="false">IF($R88&gt;0,Params!$B$15*Params!$B$4/(Params!$B$6*$R88),"n/a")</f>
        <v>0.184217487926586</v>
      </c>
      <c r="AJ88" s="29" t="n">
        <f aca="false">MIN(Params!$B$9,AD88*Params!$B$8/Params!$B$4)</f>
        <v>0.06</v>
      </c>
      <c r="AK88" s="28" t="n">
        <f aca="false">IF($R88&gt;0,Params!$B$9*Params!$B$4/(Params!$B$6*$R88*Params!$B$8),"n/a")</f>
        <v>1.10530492755952</v>
      </c>
      <c r="AL88" s="27" t="str">
        <f aca="false">IFERROR(ciq($D88,"IQ_PE_EXCL"),"")</f>
        <v/>
      </c>
      <c r="AM88" s="27" t="str">
        <f aca="false">IFERROR(ciq($D88,"IQ_PE_EXCL_FWD_CIQ"),"")</f>
        <v/>
      </c>
      <c r="AN88" s="27" t="str">
        <f aca="false">IFERROR(ciq($D88,"IQ_PBV"),"")</f>
        <v/>
      </c>
      <c r="AO88" s="27" t="str">
        <f aca="false">IFERROR(ciq($D88,"IQ_TEV_EBITDA"),"")</f>
        <v/>
      </c>
      <c r="AP88" s="24" t="str">
        <f aca="false">IFERROR(ciq($D88,"IQ_RETURN_EQUITY"),"")</f>
        <v/>
      </c>
      <c r="AQ88" s="24" t="str">
        <f aca="false">IFERROR(ciq($D88,"IQ_RETURN_CAPITAL"),"")</f>
        <v/>
      </c>
      <c r="AR88" s="24" t="str">
        <f aca="false">IFERROR(ciq($D88,"IQ_TOTAL_REV_1YR_ANN_GROWTH"),"")</f>
        <v/>
      </c>
      <c r="AS88" s="24" t="str">
        <f aca="false">IFERROR(ciq($D88,"IQ_EPS_1YR_ANN_GROWTH"),"")</f>
        <v/>
      </c>
      <c r="AT88" s="24" t="str">
        <f aca="false">IFERROR(ciq($D88,"IQ_DIVIDEND_YIELD"),"")</f>
        <v/>
      </c>
      <c r="AU88" s="24" t="str">
        <f aca="false">IFERROR(ciq($D88,"IQ_NET_DEBT"),"")</f>
        <v/>
      </c>
    </row>
    <row r="89" customFormat="false" ht="15" hidden="false" customHeight="false" outlineLevel="0" collapsed="false">
      <c r="A89" s="8" t="s">
        <v>811</v>
      </c>
      <c r="B89" s="6" t="s">
        <v>812</v>
      </c>
      <c r="C89" s="8" t="s">
        <v>72</v>
      </c>
      <c r="D89" s="8" t="s">
        <v>813</v>
      </c>
      <c r="E89" s="8" t="s">
        <v>814</v>
      </c>
      <c r="F89" s="6" t="s">
        <v>650</v>
      </c>
      <c r="G89" s="8" t="s">
        <v>55</v>
      </c>
      <c r="H89" s="8" t="s">
        <v>66</v>
      </c>
      <c r="I89" s="8"/>
      <c r="J89" s="8"/>
      <c r="K89" s="8"/>
      <c r="L89" s="8"/>
      <c r="M89" s="23" t="n">
        <v>268500</v>
      </c>
      <c r="N89" s="23" t="n">
        <v>70423.02846</v>
      </c>
      <c r="O89" s="23" t="n">
        <v>73917.951567</v>
      </c>
      <c r="P89" s="24" t="n">
        <v>269.241817528</v>
      </c>
      <c r="Q89" s="24" t="n">
        <v>375.166911894333</v>
      </c>
      <c r="R89" s="24" t="n">
        <v>269.241817528</v>
      </c>
      <c r="S89" s="25" t="n">
        <v>0.00382320703065089</v>
      </c>
      <c r="T89" s="26" t="n">
        <v>0.757910269699029</v>
      </c>
      <c r="U89" s="23" t="n">
        <v>0</v>
      </c>
      <c r="V89" s="26" t="n">
        <v>-0.06</v>
      </c>
      <c r="W89" s="26" t="n">
        <v>-0.0820519812434953</v>
      </c>
      <c r="X89" s="26" t="n">
        <v>-0.248896535956463</v>
      </c>
      <c r="Y89" s="26" t="n">
        <v>-0.403472822097978</v>
      </c>
      <c r="Z89" s="26" t="n">
        <v>-0.0726523636650566</v>
      </c>
      <c r="AA89" s="26" t="n">
        <v>0.309776946398495</v>
      </c>
      <c r="AB89" s="26" t="n">
        <v>-0.458335995536599</v>
      </c>
      <c r="AC89" s="27" t="n">
        <v>0.530376802286222</v>
      </c>
      <c r="AD89" s="28" t="n">
        <f aca="false">Params!$B$6*Params!$B$7*$R89</f>
        <v>161.5450905168</v>
      </c>
      <c r="AE89" s="29" t="n">
        <f aca="false">MIN(Params!$B$9,AD89/Params!$B$4)</f>
        <v>0.06</v>
      </c>
      <c r="AF89" s="29" t="n">
        <f aca="false">MIN(Params!$B$9,AD89/Params!$B$5)</f>
        <v>0.06</v>
      </c>
      <c r="AG89" s="28" t="n">
        <f aca="false">IF($R89&gt;0,Params!$B$9*Params!$B$4/(Params!$B$6*$R89),"n/a")</f>
        <v>0.557119994870041</v>
      </c>
      <c r="AH89" s="28" t="n">
        <f aca="false">IF($R89&gt;0,Params!$B$9*Params!$B$5/(Params!$B$6*$R89),"n/a")</f>
        <v>1.11423998974008</v>
      </c>
      <c r="AI89" s="28" t="n">
        <f aca="false">IF($R89&gt;0,Params!$B$15*Params!$B$4/(Params!$B$6*$R89),"n/a")</f>
        <v>0.18570666495668</v>
      </c>
      <c r="AJ89" s="29" t="n">
        <f aca="false">MIN(Params!$B$9,AD89*Params!$B$8/Params!$B$4)</f>
        <v>0.06</v>
      </c>
      <c r="AK89" s="28" t="n">
        <f aca="false">IF($R89&gt;0,Params!$B$9*Params!$B$4/(Params!$B$6*$R89*Params!$B$8),"n/a")</f>
        <v>1.11423998974008</v>
      </c>
      <c r="AL89" s="27" t="str">
        <f aca="false">IFERROR(ciq($D89,"IQ_PE_EXCL"),"")</f>
        <v/>
      </c>
      <c r="AM89" s="27" t="str">
        <f aca="false">IFERROR(ciq($D89,"IQ_PE_EXCL_FWD_CIQ"),"")</f>
        <v/>
      </c>
      <c r="AN89" s="27" t="str">
        <f aca="false">IFERROR(ciq($D89,"IQ_PBV"),"")</f>
        <v/>
      </c>
      <c r="AO89" s="27" t="str">
        <f aca="false">IFERROR(ciq($D89,"IQ_TEV_EBITDA"),"")</f>
        <v/>
      </c>
      <c r="AP89" s="24" t="str">
        <f aca="false">IFERROR(ciq($D89,"IQ_RETURN_EQUITY"),"")</f>
        <v/>
      </c>
      <c r="AQ89" s="24" t="str">
        <f aca="false">IFERROR(ciq($D89,"IQ_RETURN_CAPITAL"),"")</f>
        <v/>
      </c>
      <c r="AR89" s="24" t="str">
        <f aca="false">IFERROR(ciq($D89,"IQ_TOTAL_REV_1YR_ANN_GROWTH"),"")</f>
        <v/>
      </c>
      <c r="AS89" s="24" t="str">
        <f aca="false">IFERROR(ciq($D89,"IQ_EPS_1YR_ANN_GROWTH"),"")</f>
        <v/>
      </c>
      <c r="AT89" s="24" t="str">
        <f aca="false">IFERROR(ciq($D89,"IQ_DIVIDEND_YIELD"),"")</f>
        <v/>
      </c>
      <c r="AU89" s="24" t="str">
        <f aca="false">IFERROR(ciq($D89,"IQ_NET_DEBT"),"")</f>
        <v/>
      </c>
    </row>
    <row r="90" customFormat="false" ht="15" hidden="false" customHeight="false" outlineLevel="0" collapsed="false">
      <c r="A90" s="8" t="s">
        <v>815</v>
      </c>
      <c r="B90" s="8" t="s">
        <v>816</v>
      </c>
      <c r="C90" s="8" t="s">
        <v>72</v>
      </c>
      <c r="D90" s="8" t="s">
        <v>817</v>
      </c>
      <c r="E90" s="8" t="s">
        <v>818</v>
      </c>
      <c r="F90" s="8"/>
      <c r="G90" s="8" t="s">
        <v>55</v>
      </c>
      <c r="H90" s="8" t="s">
        <v>66</v>
      </c>
      <c r="I90" s="8"/>
      <c r="J90" s="8"/>
      <c r="K90" s="8"/>
      <c r="L90" s="8"/>
      <c r="M90" s="23" t="n">
        <v>72500</v>
      </c>
      <c r="N90" s="23" t="n">
        <v>70242.3123</v>
      </c>
      <c r="O90" s="23" t="n">
        <v>72150.9654756</v>
      </c>
      <c r="P90" s="24" t="n">
        <v>643.31110865</v>
      </c>
      <c r="Q90" s="24" t="n">
        <v>842.417801291667</v>
      </c>
      <c r="R90" s="24" t="n">
        <v>643.31110865</v>
      </c>
      <c r="S90" s="25" t="n">
        <v>0.0091584557453414</v>
      </c>
      <c r="T90" s="26" t="n">
        <v>0.651463432094183</v>
      </c>
      <c r="U90" s="23" t="n">
        <v>0</v>
      </c>
      <c r="V90" s="26" t="n">
        <v>-0.06</v>
      </c>
      <c r="W90" s="26" t="n">
        <v>-0.0108950380328154</v>
      </c>
      <c r="X90" s="26" t="n">
        <v>-0.267873137428425</v>
      </c>
      <c r="Y90" s="26" t="n">
        <v>0.101635790048822</v>
      </c>
      <c r="Z90" s="26" t="n">
        <v>0.180292637060229</v>
      </c>
      <c r="AA90" s="26" t="n">
        <v>0.051410255161424</v>
      </c>
      <c r="AB90" s="26" t="n">
        <v>-0.49558113827149</v>
      </c>
      <c r="AC90" s="27" t="n">
        <v>0.516151786946068</v>
      </c>
      <c r="AD90" s="28" t="n">
        <f aca="false">Params!$B$6*Params!$B$7*$R90</f>
        <v>385.98666519</v>
      </c>
      <c r="AE90" s="29" t="n">
        <f aca="false">MIN(Params!$B$9,AD90/Params!$B$4)</f>
        <v>0.06</v>
      </c>
      <c r="AF90" s="29" t="n">
        <f aca="false">MIN(Params!$B$9,AD90/Params!$B$5)</f>
        <v>0.06</v>
      </c>
      <c r="AG90" s="28" t="n">
        <f aca="false">IF($R90&gt;0,Params!$B$9*Params!$B$4/(Params!$B$6*$R90),"n/a")</f>
        <v>0.233168676839388</v>
      </c>
      <c r="AH90" s="28" t="n">
        <f aca="false">IF($R90&gt;0,Params!$B$9*Params!$B$5/(Params!$B$6*$R90),"n/a")</f>
        <v>0.466337353678775</v>
      </c>
      <c r="AI90" s="28" t="n">
        <f aca="false">IF($R90&gt;0,Params!$B$15*Params!$B$4/(Params!$B$6*$R90),"n/a")</f>
        <v>0.0777228922797958</v>
      </c>
      <c r="AJ90" s="29" t="n">
        <f aca="false">MIN(Params!$B$9,AD90*Params!$B$8/Params!$B$4)</f>
        <v>0.06</v>
      </c>
      <c r="AK90" s="28" t="n">
        <f aca="false">IF($R90&gt;0,Params!$B$9*Params!$B$4/(Params!$B$6*$R90*Params!$B$8),"n/a")</f>
        <v>0.466337353678775</v>
      </c>
      <c r="AL90" s="27" t="str">
        <f aca="false">IFERROR(ciq($D90,"IQ_PE_EXCL"),"")</f>
        <v/>
      </c>
      <c r="AM90" s="27" t="str">
        <f aca="false">IFERROR(ciq($D90,"IQ_PE_EXCL_FWD_CIQ"),"")</f>
        <v/>
      </c>
      <c r="AN90" s="27" t="str">
        <f aca="false">IFERROR(ciq($D90,"IQ_PBV"),"")</f>
        <v/>
      </c>
      <c r="AO90" s="27" t="str">
        <f aca="false">IFERROR(ciq($D90,"IQ_TEV_EBITDA"),"")</f>
        <v/>
      </c>
      <c r="AP90" s="24" t="str">
        <f aca="false">IFERROR(ciq($D90,"IQ_RETURN_EQUITY"),"")</f>
        <v/>
      </c>
      <c r="AQ90" s="24" t="str">
        <f aca="false">IFERROR(ciq($D90,"IQ_RETURN_CAPITAL"),"")</f>
        <v/>
      </c>
      <c r="AR90" s="24" t="str">
        <f aca="false">IFERROR(ciq($D90,"IQ_TOTAL_REV_1YR_ANN_GROWTH"),"")</f>
        <v/>
      </c>
      <c r="AS90" s="24" t="str">
        <f aca="false">IFERROR(ciq($D90,"IQ_EPS_1YR_ANN_GROWTH"),"")</f>
        <v/>
      </c>
      <c r="AT90" s="24" t="str">
        <f aca="false">IFERROR(ciq($D90,"IQ_DIVIDEND_YIELD"),"")</f>
        <v/>
      </c>
      <c r="AU90" s="24" t="str">
        <f aca="false">IFERROR(ciq($D90,"IQ_NET_DEBT"),"")</f>
        <v/>
      </c>
    </row>
    <row r="91" customFormat="false" ht="15" hidden="false" customHeight="false" outlineLevel="0" collapsed="false">
      <c r="A91" s="8" t="s">
        <v>819</v>
      </c>
      <c r="B91" s="6" t="s">
        <v>820</v>
      </c>
      <c r="C91" s="8" t="s">
        <v>72</v>
      </c>
      <c r="D91" s="8" t="s">
        <v>821</v>
      </c>
      <c r="E91" s="8" t="s">
        <v>822</v>
      </c>
      <c r="F91" s="6" t="s">
        <v>823</v>
      </c>
      <c r="G91" s="8" t="s">
        <v>55</v>
      </c>
      <c r="H91" s="8" t="s">
        <v>66</v>
      </c>
      <c r="I91" s="8"/>
      <c r="J91" s="8"/>
      <c r="K91" s="8"/>
      <c r="L91" s="8"/>
      <c r="M91" s="23" t="n">
        <v>98200</v>
      </c>
      <c r="N91" s="23" t="n">
        <v>69493.612332</v>
      </c>
      <c r="O91" s="23" t="n">
        <v>68686.8636756</v>
      </c>
      <c r="P91" s="24" t="n">
        <v>160.1029382315</v>
      </c>
      <c r="Q91" s="24" t="n">
        <v>188.876179549667</v>
      </c>
      <c r="R91" s="24" t="n">
        <v>160.1029382315</v>
      </c>
      <c r="S91" s="25" t="n">
        <v>0.00230385114342051</v>
      </c>
      <c r="T91" s="26" t="n">
        <v>0.397189683541585</v>
      </c>
      <c r="U91" s="23" t="n">
        <v>0</v>
      </c>
      <c r="V91" s="26" t="n">
        <v>-0.06</v>
      </c>
      <c r="W91" s="26" t="n">
        <v>0.0582481050989094</v>
      </c>
      <c r="X91" s="26" t="n">
        <v>0.0624293583229092</v>
      </c>
      <c r="Y91" s="26" t="n">
        <v>0.324622053528008</v>
      </c>
      <c r="Z91" s="26" t="n">
        <v>0.129437917495691</v>
      </c>
      <c r="AA91" s="26" t="n">
        <v>-0.0789411808335954</v>
      </c>
      <c r="AB91" s="26" t="n">
        <v>-0.0975320211969384</v>
      </c>
      <c r="AC91" s="27" t="n">
        <v>0.705960969684649</v>
      </c>
      <c r="AD91" s="28" t="n">
        <f aca="false">Params!$B$6*Params!$B$7*$R91</f>
        <v>96.0617629389</v>
      </c>
      <c r="AE91" s="29" t="n">
        <f aca="false">MIN(Params!$B$9,AD91/Params!$B$4)</f>
        <v>0.06</v>
      </c>
      <c r="AF91" s="29" t="n">
        <f aca="false">MIN(Params!$B$9,AD91/Params!$B$5)</f>
        <v>0.06</v>
      </c>
      <c r="AG91" s="28" t="n">
        <f aca="false">IF($R91&gt;0,Params!$B$9*Params!$B$4/(Params!$B$6*$R91),"n/a")</f>
        <v>0.936897234097655</v>
      </c>
      <c r="AH91" s="28" t="n">
        <f aca="false">IF($R91&gt;0,Params!$B$9*Params!$B$5/(Params!$B$6*$R91),"n/a")</f>
        <v>1.87379446819531</v>
      </c>
      <c r="AI91" s="28" t="n">
        <f aca="false">IF($R91&gt;0,Params!$B$15*Params!$B$4/(Params!$B$6*$R91),"n/a")</f>
        <v>0.312299078032552</v>
      </c>
      <c r="AJ91" s="29" t="n">
        <f aca="false">MIN(Params!$B$9,AD91*Params!$B$8/Params!$B$4)</f>
        <v>0.06</v>
      </c>
      <c r="AK91" s="28" t="n">
        <f aca="false">IF($R91&gt;0,Params!$B$9*Params!$B$4/(Params!$B$6*$R91*Params!$B$8),"n/a")</f>
        <v>1.87379446819531</v>
      </c>
      <c r="AL91" s="27" t="str">
        <f aca="false">IFERROR(ciq($D91,"IQ_PE_EXCL"),"")</f>
        <v/>
      </c>
      <c r="AM91" s="27" t="str">
        <f aca="false">IFERROR(ciq($D91,"IQ_PE_EXCL_FWD_CIQ"),"")</f>
        <v/>
      </c>
      <c r="AN91" s="27" t="str">
        <f aca="false">IFERROR(ciq($D91,"IQ_PBV"),"")</f>
        <v/>
      </c>
      <c r="AO91" s="27" t="str">
        <f aca="false">IFERROR(ciq($D91,"IQ_TEV_EBITDA"),"")</f>
        <v/>
      </c>
      <c r="AP91" s="24" t="str">
        <f aca="false">IFERROR(ciq($D91,"IQ_RETURN_EQUITY"),"")</f>
        <v/>
      </c>
      <c r="AQ91" s="24" t="str">
        <f aca="false">IFERROR(ciq($D91,"IQ_RETURN_CAPITAL"),"")</f>
        <v/>
      </c>
      <c r="AR91" s="24" t="str">
        <f aca="false">IFERROR(ciq($D91,"IQ_TOTAL_REV_1YR_ANN_GROWTH"),"")</f>
        <v/>
      </c>
      <c r="AS91" s="24" t="str">
        <f aca="false">IFERROR(ciq($D91,"IQ_EPS_1YR_ANN_GROWTH"),"")</f>
        <v/>
      </c>
      <c r="AT91" s="24" t="str">
        <f aca="false">IFERROR(ciq($D91,"IQ_DIVIDEND_YIELD"),"")</f>
        <v/>
      </c>
      <c r="AU91" s="24" t="str">
        <f aca="false">IFERROR(ciq($D91,"IQ_NET_DEBT"),"")</f>
        <v/>
      </c>
    </row>
    <row r="92" customFormat="false" ht="15" hidden="false" customHeight="false" outlineLevel="0" collapsed="false">
      <c r="A92" s="8" t="s">
        <v>247</v>
      </c>
      <c r="B92" s="6" t="s">
        <v>248</v>
      </c>
      <c r="C92" s="8" t="s">
        <v>72</v>
      </c>
      <c r="D92" s="8" t="s">
        <v>824</v>
      </c>
      <c r="E92" s="8" t="s">
        <v>825</v>
      </c>
      <c r="F92" s="6" t="s">
        <v>826</v>
      </c>
      <c r="G92" s="8" t="s">
        <v>55</v>
      </c>
      <c r="H92" s="8" t="s">
        <v>66</v>
      </c>
      <c r="I92" s="8" t="s">
        <v>508</v>
      </c>
      <c r="J92" s="6" t="s">
        <v>249</v>
      </c>
      <c r="K92" s="8" t="s">
        <v>250</v>
      </c>
      <c r="L92" s="8" t="s">
        <v>241</v>
      </c>
      <c r="M92" s="23" t="n">
        <v>16750</v>
      </c>
      <c r="N92" s="23" t="n">
        <v>68827.029365</v>
      </c>
      <c r="O92" s="23" t="n">
        <v>71721.87367471</v>
      </c>
      <c r="P92" s="24" t="n">
        <v>1252.62711817</v>
      </c>
      <c r="Q92" s="24" t="n">
        <v>1457.07928751167</v>
      </c>
      <c r="R92" s="24" t="n">
        <v>1252.62711817</v>
      </c>
      <c r="S92" s="25" t="n">
        <v>0.0181996394400103</v>
      </c>
      <c r="T92" s="26" t="n">
        <v>1.06681487344496</v>
      </c>
      <c r="U92" s="23" t="n">
        <v>0</v>
      </c>
      <c r="V92" s="26" t="n">
        <v>-0.06</v>
      </c>
      <c r="W92" s="26" t="n">
        <v>0.0318694063904301</v>
      </c>
      <c r="X92" s="26" t="n">
        <v>-0.204122071039269</v>
      </c>
      <c r="Y92" s="26" t="n">
        <v>0.684281174211769</v>
      </c>
      <c r="Z92" s="26" t="n">
        <v>3.38686823158618</v>
      </c>
      <c r="AA92" s="26" t="n">
        <v>2.896056847336</v>
      </c>
      <c r="AB92" s="26" t="n">
        <v>-0.548891978697635</v>
      </c>
      <c r="AC92" s="27" t="n">
        <v>0.27421566726771</v>
      </c>
      <c r="AD92" s="28" t="n">
        <f aca="false">Params!$B$6*Params!$B$7*$R92</f>
        <v>751.576270902</v>
      </c>
      <c r="AE92" s="29" t="n">
        <f aca="false">MIN(Params!$B$9,AD92/Params!$B$4)</f>
        <v>0.06</v>
      </c>
      <c r="AF92" s="29" t="n">
        <f aca="false">MIN(Params!$B$9,AD92/Params!$B$5)</f>
        <v>0.06</v>
      </c>
      <c r="AG92" s="28" t="n">
        <f aca="false">IF($R92&gt;0,Params!$B$9*Params!$B$4/(Params!$B$6*$R92),"n/a")</f>
        <v>0.119748325598395</v>
      </c>
      <c r="AH92" s="28" t="n">
        <f aca="false">IF($R92&gt;0,Params!$B$9*Params!$B$5/(Params!$B$6*$R92),"n/a")</f>
        <v>0.239496651196789</v>
      </c>
      <c r="AI92" s="28" t="n">
        <f aca="false">IF($R92&gt;0,Params!$B$15*Params!$B$4/(Params!$B$6*$R92),"n/a")</f>
        <v>0.0399161085327982</v>
      </c>
      <c r="AJ92" s="29" t="n">
        <f aca="false">MIN(Params!$B$9,AD92*Params!$B$8/Params!$B$4)</f>
        <v>0.06</v>
      </c>
      <c r="AK92" s="28" t="n">
        <f aca="false">IF($R92&gt;0,Params!$B$9*Params!$B$4/(Params!$B$6*$R92*Params!$B$8),"n/a")</f>
        <v>0.239496651196789</v>
      </c>
      <c r="AL92" s="27" t="str">
        <f aca="false">IFERROR(ciq($D92,"IQ_PE_EXCL"),"")</f>
        <v/>
      </c>
      <c r="AM92" s="27" t="str">
        <f aca="false">IFERROR(ciq($D92,"IQ_PE_EXCL_FWD_CIQ"),"")</f>
        <v/>
      </c>
      <c r="AN92" s="27" t="str">
        <f aca="false">IFERROR(ciq($D92,"IQ_PBV"),"")</f>
        <v/>
      </c>
      <c r="AO92" s="27" t="str">
        <f aca="false">IFERROR(ciq($D92,"IQ_TEV_EBITDA"),"")</f>
        <v/>
      </c>
      <c r="AP92" s="24" t="str">
        <f aca="false">IFERROR(ciq($D92,"IQ_RETURN_EQUITY"),"")</f>
        <v/>
      </c>
      <c r="AQ92" s="24" t="str">
        <f aca="false">IFERROR(ciq($D92,"IQ_RETURN_CAPITAL"),"")</f>
        <v/>
      </c>
      <c r="AR92" s="24" t="str">
        <f aca="false">IFERROR(ciq($D92,"IQ_TOTAL_REV_1YR_ANN_GROWTH"),"")</f>
        <v/>
      </c>
      <c r="AS92" s="24" t="str">
        <f aca="false">IFERROR(ciq($D92,"IQ_EPS_1YR_ANN_GROWTH"),"")</f>
        <v/>
      </c>
      <c r="AT92" s="24" t="str">
        <f aca="false">IFERROR(ciq($D92,"IQ_DIVIDEND_YIELD"),"")</f>
        <v/>
      </c>
      <c r="AU92" s="24" t="str">
        <f aca="false">IFERROR(ciq($D92,"IQ_NET_DEBT"),"")</f>
        <v/>
      </c>
    </row>
    <row r="93" customFormat="false" ht="15" hidden="false" customHeight="false" outlineLevel="0" collapsed="false">
      <c r="A93" s="8" t="s">
        <v>827</v>
      </c>
      <c r="B93" s="8" t="s">
        <v>828</v>
      </c>
      <c r="C93" s="8" t="s">
        <v>72</v>
      </c>
      <c r="D93" s="8" t="s">
        <v>829</v>
      </c>
      <c r="E93" s="8" t="s">
        <v>830</v>
      </c>
      <c r="F93" s="8"/>
      <c r="G93" s="8" t="s">
        <v>55</v>
      </c>
      <c r="H93" s="8" t="s">
        <v>66</v>
      </c>
      <c r="I93" s="8"/>
      <c r="J93" s="8"/>
      <c r="K93" s="8"/>
      <c r="L93" s="8"/>
      <c r="M93" s="23" t="n">
        <v>86400</v>
      </c>
      <c r="N93" s="23" t="n">
        <v>67662.648</v>
      </c>
      <c r="O93" s="23" t="n">
        <v>68105.1178625</v>
      </c>
      <c r="P93" s="24" t="n">
        <v>134.619458225</v>
      </c>
      <c r="Q93" s="24" t="n">
        <v>144.373809275</v>
      </c>
      <c r="R93" s="24" t="n">
        <v>134.619458225</v>
      </c>
      <c r="S93" s="25" t="n">
        <v>0.00198956828034575</v>
      </c>
      <c r="T93" s="26" t="n">
        <v>0.522976095477296</v>
      </c>
      <c r="U93" s="23" t="n">
        <v>0</v>
      </c>
      <c r="V93" s="26" t="n">
        <v>-0.06</v>
      </c>
      <c r="W93" s="26" t="n">
        <v>0.0538534936658597</v>
      </c>
      <c r="X93" s="26" t="n">
        <v>-0.0594686210535723</v>
      </c>
      <c r="Y93" s="26" t="n">
        <v>-0.124035416649975</v>
      </c>
      <c r="Z93" s="26" t="n">
        <v>-0.306078806509698</v>
      </c>
      <c r="AA93" s="26" t="n">
        <v>-0.139690864301907</v>
      </c>
      <c r="AB93" s="26" t="n">
        <v>-0.385652482698869</v>
      </c>
      <c r="AC93" s="27" t="n">
        <v>0.423867083388197</v>
      </c>
      <c r="AD93" s="28" t="n">
        <f aca="false">Params!$B$6*Params!$B$7*$R93</f>
        <v>80.771674935</v>
      </c>
      <c r="AE93" s="29" t="n">
        <f aca="false">MIN(Params!$B$9,AD93/Params!$B$4)</f>
        <v>0.06</v>
      </c>
      <c r="AF93" s="29" t="n">
        <f aca="false">MIN(Params!$B$9,AD93/Params!$B$5)</f>
        <v>0.06</v>
      </c>
      <c r="AG93" s="28" t="n">
        <f aca="false">IF($R93&gt;0,Params!$B$9*Params!$B$4/(Params!$B$6*$R93),"n/a")</f>
        <v>1.11425199579464</v>
      </c>
      <c r="AH93" s="28" t="n">
        <f aca="false">IF($R93&gt;0,Params!$B$9*Params!$B$5/(Params!$B$6*$R93),"n/a")</f>
        <v>2.22850399158929</v>
      </c>
      <c r="AI93" s="28" t="n">
        <f aca="false">IF($R93&gt;0,Params!$B$15*Params!$B$4/(Params!$B$6*$R93),"n/a")</f>
        <v>0.371417331931548</v>
      </c>
      <c r="AJ93" s="29" t="n">
        <f aca="false">MIN(Params!$B$9,AD93*Params!$B$8/Params!$B$4)</f>
        <v>0.06</v>
      </c>
      <c r="AK93" s="28" t="n">
        <f aca="false">IF($R93&gt;0,Params!$B$9*Params!$B$4/(Params!$B$6*$R93*Params!$B$8),"n/a")</f>
        <v>2.22850399158929</v>
      </c>
      <c r="AL93" s="27" t="str">
        <f aca="false">IFERROR(ciq($D93,"IQ_PE_EXCL"),"")</f>
        <v/>
      </c>
      <c r="AM93" s="27" t="str">
        <f aca="false">IFERROR(ciq($D93,"IQ_PE_EXCL_FWD_CIQ"),"")</f>
        <v/>
      </c>
      <c r="AN93" s="27" t="str">
        <f aca="false">IFERROR(ciq($D93,"IQ_PBV"),"")</f>
        <v/>
      </c>
      <c r="AO93" s="27" t="str">
        <f aca="false">IFERROR(ciq($D93,"IQ_TEV_EBITDA"),"")</f>
        <v/>
      </c>
      <c r="AP93" s="24" t="str">
        <f aca="false">IFERROR(ciq($D93,"IQ_RETURN_EQUITY"),"")</f>
        <v/>
      </c>
      <c r="AQ93" s="24" t="str">
        <f aca="false">IFERROR(ciq($D93,"IQ_RETURN_CAPITAL"),"")</f>
        <v/>
      </c>
      <c r="AR93" s="24" t="str">
        <f aca="false">IFERROR(ciq($D93,"IQ_TOTAL_REV_1YR_ANN_GROWTH"),"")</f>
        <v/>
      </c>
      <c r="AS93" s="24" t="str">
        <f aca="false">IFERROR(ciq($D93,"IQ_EPS_1YR_ANN_GROWTH"),"")</f>
        <v/>
      </c>
      <c r="AT93" s="24" t="str">
        <f aca="false">IFERROR(ciq($D93,"IQ_DIVIDEND_YIELD"),"")</f>
        <v/>
      </c>
      <c r="AU93" s="24" t="str">
        <f aca="false">IFERROR(ciq($D93,"IQ_NET_DEBT"),"")</f>
        <v/>
      </c>
    </row>
    <row r="94" customFormat="false" ht="15" hidden="false" customHeight="false" outlineLevel="0" collapsed="false">
      <c r="A94" s="8" t="s">
        <v>340</v>
      </c>
      <c r="B94" s="6" t="s">
        <v>341</v>
      </c>
      <c r="C94" s="8" t="s">
        <v>72</v>
      </c>
      <c r="D94" s="8" t="s">
        <v>831</v>
      </c>
      <c r="E94" s="8" t="s">
        <v>832</v>
      </c>
      <c r="F94" s="6" t="s">
        <v>619</v>
      </c>
      <c r="G94" s="8" t="s">
        <v>55</v>
      </c>
      <c r="H94" s="8" t="s">
        <v>66</v>
      </c>
      <c r="I94" s="8" t="s">
        <v>508</v>
      </c>
      <c r="J94" s="8"/>
      <c r="K94" s="8"/>
      <c r="L94" s="6" t="s">
        <v>124</v>
      </c>
      <c r="M94" s="23" t="n">
        <v>29900</v>
      </c>
      <c r="N94" s="23" t="n">
        <v>67242.868264</v>
      </c>
      <c r="O94" s="23" t="n">
        <v>72830.2377682</v>
      </c>
      <c r="P94" s="24" t="n">
        <v>1367.7735991625</v>
      </c>
      <c r="Q94" s="24" t="n">
        <v>1028.27675470833</v>
      </c>
      <c r="R94" s="24" t="n">
        <v>1028.27675470833</v>
      </c>
      <c r="S94" s="25" t="n">
        <v>0.020340797983104</v>
      </c>
      <c r="T94" s="26" t="n">
        <v>0.935403536158394</v>
      </c>
      <c r="U94" s="23" t="n">
        <v>0</v>
      </c>
      <c r="V94" s="26" t="n">
        <v>-0.06</v>
      </c>
      <c r="W94" s="26" t="n">
        <v>-0.00839140805972516</v>
      </c>
      <c r="X94" s="26" t="n">
        <v>-0.108549306516179</v>
      </c>
      <c r="Y94" s="26" t="n">
        <v>-0.383549729144375</v>
      </c>
      <c r="Z94" s="26" t="n">
        <v>0.182155339904157</v>
      </c>
      <c r="AA94" s="26" t="n">
        <v>0.0774814491854095</v>
      </c>
      <c r="AB94" s="26" t="n">
        <v>-0.458320307154728</v>
      </c>
      <c r="AC94" s="27" t="n">
        <v>0.974451250144608</v>
      </c>
      <c r="AD94" s="28" t="n">
        <f aca="false">Params!$B$6*Params!$B$7*$R94</f>
        <v>616.966052825</v>
      </c>
      <c r="AE94" s="29" t="n">
        <f aca="false">MIN(Params!$B$9,AD94/Params!$B$4)</f>
        <v>0.06</v>
      </c>
      <c r="AF94" s="29" t="n">
        <f aca="false">MIN(Params!$B$9,AD94/Params!$B$5)</f>
        <v>0.06</v>
      </c>
      <c r="AG94" s="28" t="n">
        <f aca="false">IF($R94&gt;0,Params!$B$9*Params!$B$4/(Params!$B$6*$R94),"n/a")</f>
        <v>0.145875124875838</v>
      </c>
      <c r="AH94" s="28" t="n">
        <f aca="false">IF($R94&gt;0,Params!$B$9*Params!$B$5/(Params!$B$6*$R94),"n/a")</f>
        <v>0.291750249751677</v>
      </c>
      <c r="AI94" s="28" t="n">
        <f aca="false">IF($R94&gt;0,Params!$B$15*Params!$B$4/(Params!$B$6*$R94),"n/a")</f>
        <v>0.0486250416252795</v>
      </c>
      <c r="AJ94" s="29" t="n">
        <f aca="false">MIN(Params!$B$9,AD94*Params!$B$8/Params!$B$4)</f>
        <v>0.06</v>
      </c>
      <c r="AK94" s="28" t="n">
        <f aca="false">IF($R94&gt;0,Params!$B$9*Params!$B$4/(Params!$B$6*$R94*Params!$B$8),"n/a")</f>
        <v>0.291750249751677</v>
      </c>
      <c r="AL94" s="27" t="str">
        <f aca="false">IFERROR(ciq($D94,"IQ_PE_EXCL"),"")</f>
        <v/>
      </c>
      <c r="AM94" s="27" t="str">
        <f aca="false">IFERROR(ciq($D94,"IQ_PE_EXCL_FWD_CIQ"),"")</f>
        <v/>
      </c>
      <c r="AN94" s="27" t="str">
        <f aca="false">IFERROR(ciq($D94,"IQ_PBV"),"")</f>
        <v/>
      </c>
      <c r="AO94" s="27" t="str">
        <f aca="false">IFERROR(ciq($D94,"IQ_TEV_EBITDA"),"")</f>
        <v/>
      </c>
      <c r="AP94" s="24" t="str">
        <f aca="false">IFERROR(ciq($D94,"IQ_RETURN_EQUITY"),"")</f>
        <v/>
      </c>
      <c r="AQ94" s="24" t="str">
        <f aca="false">IFERROR(ciq($D94,"IQ_RETURN_CAPITAL"),"")</f>
        <v/>
      </c>
      <c r="AR94" s="24" t="str">
        <f aca="false">IFERROR(ciq($D94,"IQ_TOTAL_REV_1YR_ANN_GROWTH"),"")</f>
        <v/>
      </c>
      <c r="AS94" s="24" t="str">
        <f aca="false">IFERROR(ciq($D94,"IQ_EPS_1YR_ANN_GROWTH"),"")</f>
        <v/>
      </c>
      <c r="AT94" s="24" t="str">
        <f aca="false">IFERROR(ciq($D94,"IQ_DIVIDEND_YIELD"),"")</f>
        <v/>
      </c>
      <c r="AU94" s="24" t="str">
        <f aca="false">IFERROR(ciq($D94,"IQ_NET_DEBT"),"")</f>
        <v/>
      </c>
    </row>
    <row r="95" customFormat="false" ht="15" hidden="false" customHeight="false" outlineLevel="0" collapsed="false">
      <c r="A95" s="8" t="s">
        <v>251</v>
      </c>
      <c r="B95" s="8" t="s">
        <v>252</v>
      </c>
      <c r="C95" s="8" t="s">
        <v>72</v>
      </c>
      <c r="D95" s="8" t="s">
        <v>833</v>
      </c>
      <c r="E95" s="8" t="s">
        <v>834</v>
      </c>
      <c r="F95" s="6" t="s">
        <v>550</v>
      </c>
      <c r="G95" s="8" t="s">
        <v>55</v>
      </c>
      <c r="H95" s="8" t="s">
        <v>66</v>
      </c>
      <c r="I95" s="8" t="s">
        <v>508</v>
      </c>
      <c r="J95" s="6" t="s">
        <v>253</v>
      </c>
      <c r="K95" s="8" t="s">
        <v>254</v>
      </c>
      <c r="L95" s="6" t="s">
        <v>124</v>
      </c>
      <c r="M95" s="23" t="n">
        <v>135300</v>
      </c>
      <c r="N95" s="23" t="n">
        <v>64838.326641</v>
      </c>
      <c r="O95" s="23" t="n">
        <v>64318.37405855</v>
      </c>
      <c r="P95" s="24" t="n">
        <v>316.4433932</v>
      </c>
      <c r="Q95" s="24" t="n">
        <v>418.867370041333</v>
      </c>
      <c r="R95" s="24" t="n">
        <v>316.4433932</v>
      </c>
      <c r="S95" s="25" t="n">
        <v>0.00488049907506249</v>
      </c>
      <c r="T95" s="26" t="n">
        <v>0.776689950049873</v>
      </c>
      <c r="U95" s="23" t="n">
        <v>0</v>
      </c>
      <c r="V95" s="26" t="n">
        <v>-0.06</v>
      </c>
      <c r="W95" s="26" t="n">
        <v>-0.0465565405502612</v>
      </c>
      <c r="X95" s="26" t="n">
        <v>-0.0597399802290278</v>
      </c>
      <c r="Y95" s="26" t="n">
        <v>0.0523798082159432</v>
      </c>
      <c r="Z95" s="26" t="n">
        <v>0.375911233936666</v>
      </c>
      <c r="AA95" s="26" t="n">
        <v>0.500915400009075</v>
      </c>
      <c r="AB95" s="26" t="n">
        <v>-0.316809068562827</v>
      </c>
      <c r="AC95" s="27" t="n">
        <v>0.609879175878561</v>
      </c>
      <c r="AD95" s="28" t="n">
        <f aca="false">Params!$B$6*Params!$B$7*$R95</f>
        <v>189.86603592</v>
      </c>
      <c r="AE95" s="29" t="n">
        <f aca="false">MIN(Params!$B$9,AD95/Params!$B$4)</f>
        <v>0.06</v>
      </c>
      <c r="AF95" s="29" t="n">
        <f aca="false">MIN(Params!$B$9,AD95/Params!$B$5)</f>
        <v>0.06</v>
      </c>
      <c r="AG95" s="28" t="n">
        <f aca="false">IF($R95&gt;0,Params!$B$9*Params!$B$4/(Params!$B$6*$R95),"n/a")</f>
        <v>0.474018428645771</v>
      </c>
      <c r="AH95" s="28" t="n">
        <f aca="false">IF($R95&gt;0,Params!$B$9*Params!$B$5/(Params!$B$6*$R95),"n/a")</f>
        <v>0.948036857291543</v>
      </c>
      <c r="AI95" s="28" t="n">
        <f aca="false">IF($R95&gt;0,Params!$B$15*Params!$B$4/(Params!$B$6*$R95),"n/a")</f>
        <v>0.158006142881924</v>
      </c>
      <c r="AJ95" s="29" t="n">
        <f aca="false">MIN(Params!$B$9,AD95*Params!$B$8/Params!$B$4)</f>
        <v>0.06</v>
      </c>
      <c r="AK95" s="28" t="n">
        <f aca="false">IF($R95&gt;0,Params!$B$9*Params!$B$4/(Params!$B$6*$R95*Params!$B$8),"n/a")</f>
        <v>0.948036857291543</v>
      </c>
      <c r="AL95" s="27" t="str">
        <f aca="false">IFERROR(ciq($D95,"IQ_PE_EXCL"),"")</f>
        <v/>
      </c>
      <c r="AM95" s="27" t="str">
        <f aca="false">IFERROR(ciq($D95,"IQ_PE_EXCL_FWD_CIQ"),"")</f>
        <v/>
      </c>
      <c r="AN95" s="27" t="str">
        <f aca="false">IFERROR(ciq($D95,"IQ_PBV"),"")</f>
        <v/>
      </c>
      <c r="AO95" s="27" t="str">
        <f aca="false">IFERROR(ciq($D95,"IQ_TEV_EBITDA"),"")</f>
        <v/>
      </c>
      <c r="AP95" s="24" t="str">
        <f aca="false">IFERROR(ciq($D95,"IQ_RETURN_EQUITY"),"")</f>
        <v/>
      </c>
      <c r="AQ95" s="24" t="str">
        <f aca="false">IFERROR(ciq($D95,"IQ_RETURN_CAPITAL"),"")</f>
        <v/>
      </c>
      <c r="AR95" s="24" t="str">
        <f aca="false">IFERROR(ciq($D95,"IQ_TOTAL_REV_1YR_ANN_GROWTH"),"")</f>
        <v/>
      </c>
      <c r="AS95" s="24" t="str">
        <f aca="false">IFERROR(ciq($D95,"IQ_EPS_1YR_ANN_GROWTH"),"")</f>
        <v/>
      </c>
      <c r="AT95" s="24" t="str">
        <f aca="false">IFERROR(ciq($D95,"IQ_DIVIDEND_YIELD"),"")</f>
        <v/>
      </c>
      <c r="AU95" s="24" t="str">
        <f aca="false">IFERROR(ciq($D95,"IQ_NET_DEBT"),"")</f>
        <v/>
      </c>
    </row>
    <row r="96" customFormat="false" ht="15" hidden="false" customHeight="false" outlineLevel="0" collapsed="false">
      <c r="A96" s="8" t="s">
        <v>255</v>
      </c>
      <c r="B96" s="6" t="s">
        <v>256</v>
      </c>
      <c r="C96" s="8" t="s">
        <v>72</v>
      </c>
      <c r="D96" s="8" t="s">
        <v>835</v>
      </c>
      <c r="E96" s="8" t="s">
        <v>836</v>
      </c>
      <c r="F96" s="8"/>
      <c r="G96" s="8" t="s">
        <v>55</v>
      </c>
      <c r="H96" s="8" t="s">
        <v>66</v>
      </c>
      <c r="I96" s="8" t="s">
        <v>508</v>
      </c>
      <c r="J96" s="6" t="s">
        <v>109</v>
      </c>
      <c r="K96" s="6" t="s">
        <v>257</v>
      </c>
      <c r="L96" s="6" t="s">
        <v>109</v>
      </c>
      <c r="M96" s="23" t="n">
        <v>184600</v>
      </c>
      <c r="N96" s="23" t="n">
        <v>64543.41478</v>
      </c>
      <c r="O96" s="23" t="n">
        <v>69134.178789</v>
      </c>
      <c r="P96" s="24" t="n">
        <v>216.616284977</v>
      </c>
      <c r="Q96" s="24" t="n">
        <v>300.590838776667</v>
      </c>
      <c r="R96" s="24" t="n">
        <v>216.616284977</v>
      </c>
      <c r="S96" s="25" t="n">
        <v>0.0033561330108633</v>
      </c>
      <c r="T96" s="26" t="n">
        <v>0.547176435338576</v>
      </c>
      <c r="U96" s="23" t="n">
        <v>0</v>
      </c>
      <c r="V96" s="26" t="n">
        <v>-0.06</v>
      </c>
      <c r="W96" s="26" t="n">
        <v>-0.0974469220958377</v>
      </c>
      <c r="X96" s="26" t="n">
        <v>-0.254250550757412</v>
      </c>
      <c r="Y96" s="26" t="n">
        <v>-0.299682738955116</v>
      </c>
      <c r="Z96" s="26" t="n">
        <v>-0.131351037676544</v>
      </c>
      <c r="AA96" s="26" t="n">
        <v>0.0798694453693774</v>
      </c>
      <c r="AB96" s="26" t="n">
        <v>-0.429491232821088</v>
      </c>
      <c r="AC96" s="27" t="n">
        <v>0.466171592817697</v>
      </c>
      <c r="AD96" s="28" t="n">
        <f aca="false">Params!$B$6*Params!$B$7*$R96</f>
        <v>129.9697709862</v>
      </c>
      <c r="AE96" s="29" t="n">
        <f aca="false">MIN(Params!$B$9,AD96/Params!$B$4)</f>
        <v>0.06</v>
      </c>
      <c r="AF96" s="29" t="n">
        <f aca="false">MIN(Params!$B$9,AD96/Params!$B$5)</f>
        <v>0.06</v>
      </c>
      <c r="AG96" s="28" t="n">
        <f aca="false">IF($R96&gt;0,Params!$B$9*Params!$B$4/(Params!$B$6*$R96),"n/a")</f>
        <v>0.692468712663624</v>
      </c>
      <c r="AH96" s="28" t="n">
        <f aca="false">IF($R96&gt;0,Params!$B$9*Params!$B$5/(Params!$B$6*$R96),"n/a")</f>
        <v>1.38493742532725</v>
      </c>
      <c r="AI96" s="28" t="n">
        <f aca="false">IF($R96&gt;0,Params!$B$15*Params!$B$4/(Params!$B$6*$R96),"n/a")</f>
        <v>0.230822904221208</v>
      </c>
      <c r="AJ96" s="29" t="n">
        <f aca="false">MIN(Params!$B$9,AD96*Params!$B$8/Params!$B$4)</f>
        <v>0.06</v>
      </c>
      <c r="AK96" s="28" t="n">
        <f aca="false">IF($R96&gt;0,Params!$B$9*Params!$B$4/(Params!$B$6*$R96*Params!$B$8),"n/a")</f>
        <v>1.38493742532725</v>
      </c>
      <c r="AL96" s="27" t="str">
        <f aca="false">IFERROR(ciq($D96,"IQ_PE_EXCL"),"")</f>
        <v/>
      </c>
      <c r="AM96" s="27" t="str">
        <f aca="false">IFERROR(ciq($D96,"IQ_PE_EXCL_FWD_CIQ"),"")</f>
        <v/>
      </c>
      <c r="AN96" s="27" t="str">
        <f aca="false">IFERROR(ciq($D96,"IQ_PBV"),"")</f>
        <v/>
      </c>
      <c r="AO96" s="27" t="str">
        <f aca="false">IFERROR(ciq($D96,"IQ_TEV_EBITDA"),"")</f>
        <v/>
      </c>
      <c r="AP96" s="24" t="str">
        <f aca="false">IFERROR(ciq($D96,"IQ_RETURN_EQUITY"),"")</f>
        <v/>
      </c>
      <c r="AQ96" s="24" t="str">
        <f aca="false">IFERROR(ciq($D96,"IQ_RETURN_CAPITAL"),"")</f>
        <v/>
      </c>
      <c r="AR96" s="24" t="str">
        <f aca="false">IFERROR(ciq($D96,"IQ_TOTAL_REV_1YR_ANN_GROWTH"),"")</f>
        <v/>
      </c>
      <c r="AS96" s="24" t="str">
        <f aca="false">IFERROR(ciq($D96,"IQ_EPS_1YR_ANN_GROWTH"),"")</f>
        <v/>
      </c>
      <c r="AT96" s="24" t="str">
        <f aca="false">IFERROR(ciq($D96,"IQ_DIVIDEND_YIELD"),"")</f>
        <v/>
      </c>
      <c r="AU96" s="24" t="str">
        <f aca="false">IFERROR(ciq($D96,"IQ_NET_DEBT"),"")</f>
        <v/>
      </c>
    </row>
    <row r="97" customFormat="false" ht="15" hidden="false" customHeight="false" outlineLevel="0" collapsed="false">
      <c r="A97" s="8" t="s">
        <v>837</v>
      </c>
      <c r="B97" s="8" t="s">
        <v>838</v>
      </c>
      <c r="C97" s="8" t="s">
        <v>72</v>
      </c>
      <c r="D97" s="8" t="s">
        <v>839</v>
      </c>
      <c r="E97" s="8" t="s">
        <v>840</v>
      </c>
      <c r="F97" s="6" t="s">
        <v>635</v>
      </c>
      <c r="G97" s="8" t="s">
        <v>55</v>
      </c>
      <c r="H97" s="8" t="s">
        <v>66</v>
      </c>
      <c r="I97" s="8"/>
      <c r="J97" s="8"/>
      <c r="K97" s="8"/>
      <c r="L97" s="8"/>
      <c r="M97" s="23" t="n">
        <v>14810</v>
      </c>
      <c r="N97" s="23" t="n">
        <v>62857.7471092</v>
      </c>
      <c r="O97" s="23" t="n">
        <v>63384.03749688</v>
      </c>
      <c r="P97" s="24" t="n">
        <v>135.356192446</v>
      </c>
      <c r="Q97" s="24" t="n">
        <v>153.577309633667</v>
      </c>
      <c r="R97" s="24" t="n">
        <v>135.356192446</v>
      </c>
      <c r="S97" s="25" t="n">
        <v>0.00215337327013728</v>
      </c>
      <c r="T97" s="26" t="n">
        <v>0.362126493069826</v>
      </c>
      <c r="U97" s="23" t="n">
        <v>0</v>
      </c>
      <c r="V97" s="26" t="n">
        <v>-0.06</v>
      </c>
      <c r="W97" s="26" t="n">
        <v>-0.00746954733625416</v>
      </c>
      <c r="X97" s="26" t="n">
        <v>-0.00750773735726373</v>
      </c>
      <c r="Y97" s="26" t="n">
        <v>-0.0156341156104507</v>
      </c>
      <c r="Z97" s="26" t="n">
        <v>0.00578374535283754</v>
      </c>
      <c r="AA97" s="26" t="n">
        <v>-0.0166726575951276</v>
      </c>
      <c r="AB97" s="26" t="n">
        <v>-0.168745438369532</v>
      </c>
      <c r="AC97" s="27" t="n">
        <v>0.734462423665293</v>
      </c>
      <c r="AD97" s="28" t="n">
        <f aca="false">Params!$B$6*Params!$B$7*$R97</f>
        <v>81.2137154676</v>
      </c>
      <c r="AE97" s="29" t="n">
        <f aca="false">MIN(Params!$B$9,AD97/Params!$B$4)</f>
        <v>0.06</v>
      </c>
      <c r="AF97" s="29" t="n">
        <f aca="false">MIN(Params!$B$9,AD97/Params!$B$5)</f>
        <v>0.06</v>
      </c>
      <c r="AG97" s="28" t="n">
        <f aca="false">IF($R97&gt;0,Params!$B$9*Params!$B$4/(Params!$B$6*$R97),"n/a")</f>
        <v>1.10818720066939</v>
      </c>
      <c r="AH97" s="28" t="n">
        <f aca="false">IF($R97&gt;0,Params!$B$9*Params!$B$5/(Params!$B$6*$R97),"n/a")</f>
        <v>2.21637440133878</v>
      </c>
      <c r="AI97" s="28" t="n">
        <f aca="false">IF($R97&gt;0,Params!$B$15*Params!$B$4/(Params!$B$6*$R97),"n/a")</f>
        <v>0.369395733556463</v>
      </c>
      <c r="AJ97" s="29" t="n">
        <f aca="false">MIN(Params!$B$9,AD97*Params!$B$8/Params!$B$4)</f>
        <v>0.06</v>
      </c>
      <c r="AK97" s="28" t="n">
        <f aca="false">IF($R97&gt;0,Params!$B$9*Params!$B$4/(Params!$B$6*$R97*Params!$B$8),"n/a")</f>
        <v>2.21637440133878</v>
      </c>
      <c r="AL97" s="27" t="str">
        <f aca="false">IFERROR(ciq($D97,"IQ_PE_EXCL"),"")</f>
        <v/>
      </c>
      <c r="AM97" s="27" t="str">
        <f aca="false">IFERROR(ciq($D97,"IQ_PE_EXCL_FWD_CIQ"),"")</f>
        <v/>
      </c>
      <c r="AN97" s="27" t="str">
        <f aca="false">IFERROR(ciq($D97,"IQ_PBV"),"")</f>
        <v/>
      </c>
      <c r="AO97" s="27" t="str">
        <f aca="false">IFERROR(ciq($D97,"IQ_TEV_EBITDA"),"")</f>
        <v/>
      </c>
      <c r="AP97" s="24" t="str">
        <f aca="false">IFERROR(ciq($D97,"IQ_RETURN_EQUITY"),"")</f>
        <v/>
      </c>
      <c r="AQ97" s="24" t="str">
        <f aca="false">IFERROR(ciq($D97,"IQ_RETURN_CAPITAL"),"")</f>
        <v/>
      </c>
      <c r="AR97" s="24" t="str">
        <f aca="false">IFERROR(ciq($D97,"IQ_TOTAL_REV_1YR_ANN_GROWTH"),"")</f>
        <v/>
      </c>
      <c r="AS97" s="24" t="str">
        <f aca="false">IFERROR(ciq($D97,"IQ_EPS_1YR_ANN_GROWTH"),"")</f>
        <v/>
      </c>
      <c r="AT97" s="24" t="str">
        <f aca="false">IFERROR(ciq($D97,"IQ_DIVIDEND_YIELD"),"")</f>
        <v/>
      </c>
      <c r="AU97" s="24" t="str">
        <f aca="false">IFERROR(ciq($D97,"IQ_NET_DEBT"),"")</f>
        <v/>
      </c>
    </row>
    <row r="98" customFormat="false" ht="15" hidden="false" customHeight="false" outlineLevel="0" collapsed="false">
      <c r="A98" s="8" t="s">
        <v>342</v>
      </c>
      <c r="B98" s="6" t="s">
        <v>343</v>
      </c>
      <c r="C98" s="8" t="s">
        <v>72</v>
      </c>
      <c r="D98" s="8" t="s">
        <v>841</v>
      </c>
      <c r="E98" s="8" t="s">
        <v>842</v>
      </c>
      <c r="F98" s="6" t="s">
        <v>843</v>
      </c>
      <c r="G98" s="8" t="s">
        <v>55</v>
      </c>
      <c r="H98" s="8" t="s">
        <v>66</v>
      </c>
      <c r="I98" s="8" t="s">
        <v>508</v>
      </c>
      <c r="J98" s="8"/>
      <c r="K98" s="8"/>
      <c r="L98" s="6" t="s">
        <v>172</v>
      </c>
      <c r="M98" s="23" t="n">
        <v>208500</v>
      </c>
      <c r="N98" s="23" t="n">
        <v>62086.310595</v>
      </c>
      <c r="O98" s="23" t="n">
        <v>51927.67996695</v>
      </c>
      <c r="P98" s="24" t="n">
        <v>342.69207195</v>
      </c>
      <c r="Q98" s="24" t="n">
        <v>523.36731795</v>
      </c>
      <c r="R98" s="24" t="n">
        <v>342.69207195</v>
      </c>
      <c r="S98" s="25" t="n">
        <v>0.00551960760215631</v>
      </c>
      <c r="T98" s="26" t="n">
        <v>1.70679985148141</v>
      </c>
      <c r="U98" s="23" t="n">
        <v>5</v>
      </c>
      <c r="V98" s="26" t="n">
        <v>-0.04</v>
      </c>
      <c r="W98" s="26" t="n">
        <v>0.312360248640747</v>
      </c>
      <c r="X98" s="26" t="n">
        <v>0.165520766012864</v>
      </c>
      <c r="Y98" s="26" t="n">
        <v>2.93379136468438</v>
      </c>
      <c r="Z98" s="26" t="n">
        <v>3.5540907899601</v>
      </c>
      <c r="AA98" s="26" t="n">
        <v>5.10186188264528</v>
      </c>
      <c r="AB98" s="26" t="n">
        <v>-0.334494815347535</v>
      </c>
      <c r="AC98" s="27" t="n">
        <v>0.729211026122912</v>
      </c>
      <c r="AD98" s="28" t="n">
        <f aca="false">Params!$B$6*Params!$B$7*$R98</f>
        <v>205.61524317</v>
      </c>
      <c r="AE98" s="29" t="n">
        <f aca="false">MIN(Params!$B$9,AD98/Params!$B$4)</f>
        <v>0.06</v>
      </c>
      <c r="AF98" s="29" t="n">
        <f aca="false">MIN(Params!$B$9,AD98/Params!$B$5)</f>
        <v>0.06</v>
      </c>
      <c r="AG98" s="28" t="n">
        <f aca="false">IF($R98&gt;0,Params!$B$9*Params!$B$4/(Params!$B$6*$R98),"n/a")</f>
        <v>0.437710738817108</v>
      </c>
      <c r="AH98" s="28" t="n">
        <f aca="false">IF($R98&gt;0,Params!$B$9*Params!$B$5/(Params!$B$6*$R98),"n/a")</f>
        <v>0.875421477634216</v>
      </c>
      <c r="AI98" s="28" t="n">
        <f aca="false">IF($R98&gt;0,Params!$B$15*Params!$B$4/(Params!$B$6*$R98),"n/a")</f>
        <v>0.145903579605703</v>
      </c>
      <c r="AJ98" s="29" t="n">
        <f aca="false">MIN(Params!$B$9,AD98*Params!$B$8/Params!$B$4)</f>
        <v>0.06</v>
      </c>
      <c r="AK98" s="28" t="n">
        <f aca="false">IF($R98&gt;0,Params!$B$9*Params!$B$4/(Params!$B$6*$R98*Params!$B$8),"n/a")</f>
        <v>0.875421477634216</v>
      </c>
      <c r="AL98" s="27" t="str">
        <f aca="false">IFERROR(ciq($D98,"IQ_PE_EXCL"),"")</f>
        <v/>
      </c>
      <c r="AM98" s="27" t="str">
        <f aca="false">IFERROR(ciq($D98,"IQ_PE_EXCL_FWD_CIQ"),"")</f>
        <v/>
      </c>
      <c r="AN98" s="27" t="str">
        <f aca="false">IFERROR(ciq($D98,"IQ_PBV"),"")</f>
        <v/>
      </c>
      <c r="AO98" s="27" t="str">
        <f aca="false">IFERROR(ciq($D98,"IQ_TEV_EBITDA"),"")</f>
        <v/>
      </c>
      <c r="AP98" s="24" t="str">
        <f aca="false">IFERROR(ciq($D98,"IQ_RETURN_EQUITY"),"")</f>
        <v/>
      </c>
      <c r="AQ98" s="24" t="str">
        <f aca="false">IFERROR(ciq($D98,"IQ_RETURN_CAPITAL"),"")</f>
        <v/>
      </c>
      <c r="AR98" s="24" t="str">
        <f aca="false">IFERROR(ciq($D98,"IQ_TOTAL_REV_1YR_ANN_GROWTH"),"")</f>
        <v/>
      </c>
      <c r="AS98" s="24" t="str">
        <f aca="false">IFERROR(ciq($D98,"IQ_EPS_1YR_ANN_GROWTH"),"")</f>
        <v/>
      </c>
      <c r="AT98" s="24" t="str">
        <f aca="false">IFERROR(ciq($D98,"IQ_DIVIDEND_YIELD"),"")</f>
        <v/>
      </c>
      <c r="AU98" s="24" t="str">
        <f aca="false">IFERROR(ciq($D98,"IQ_NET_DEBT"),"")</f>
        <v/>
      </c>
    </row>
    <row r="99" customFormat="false" ht="15" hidden="false" customHeight="false" outlineLevel="0" collapsed="false">
      <c r="A99" s="8" t="s">
        <v>844</v>
      </c>
      <c r="B99" s="6" t="s">
        <v>845</v>
      </c>
      <c r="C99" s="8" t="s">
        <v>72</v>
      </c>
      <c r="D99" s="8" t="s">
        <v>846</v>
      </c>
      <c r="E99" s="8" t="s">
        <v>847</v>
      </c>
      <c r="F99" s="8"/>
      <c r="G99" s="8" t="s">
        <v>55</v>
      </c>
      <c r="H99" s="8" t="s">
        <v>66</v>
      </c>
      <c r="I99" s="8"/>
      <c r="J99" s="8"/>
      <c r="K99" s="8"/>
      <c r="L99" s="8"/>
      <c r="M99" s="23" t="n">
        <v>44800</v>
      </c>
      <c r="N99" s="23" t="n">
        <v>60602.16288</v>
      </c>
      <c r="O99" s="23" t="n">
        <v>60304.285405</v>
      </c>
      <c r="P99" s="24" t="n">
        <v>160.71108835</v>
      </c>
      <c r="Q99" s="24" t="n">
        <v>130.130610367</v>
      </c>
      <c r="R99" s="24" t="n">
        <v>130.130610367</v>
      </c>
      <c r="S99" s="25" t="n">
        <v>0.00265190350826634</v>
      </c>
      <c r="T99" s="26" t="n">
        <v>0.621733004551916</v>
      </c>
      <c r="U99" s="23" t="n">
        <v>0</v>
      </c>
      <c r="V99" s="26" t="n">
        <v>-0.06</v>
      </c>
      <c r="W99" s="26" t="n">
        <v>0.078278379183554</v>
      </c>
      <c r="X99" s="26" t="n">
        <v>0.0146236659442776</v>
      </c>
      <c r="Y99" s="26" t="n">
        <v>-0.25712817130968</v>
      </c>
      <c r="Z99" s="26" t="n">
        <v>-0.0876666443144156</v>
      </c>
      <c r="AA99" s="26" t="n">
        <v>-0.293358350292605</v>
      </c>
      <c r="AB99" s="26" t="n">
        <v>-0.368233096238469</v>
      </c>
      <c r="AC99" s="27" t="n">
        <v>0.863653561043073</v>
      </c>
      <c r="AD99" s="28" t="n">
        <f aca="false">Params!$B$6*Params!$B$7*$R99</f>
        <v>78.0783662202</v>
      </c>
      <c r="AE99" s="29" t="n">
        <f aca="false">MIN(Params!$B$9,AD99/Params!$B$4)</f>
        <v>0.06</v>
      </c>
      <c r="AF99" s="29" t="n">
        <f aca="false">MIN(Params!$B$9,AD99/Params!$B$5)</f>
        <v>0.06</v>
      </c>
      <c r="AG99" s="28" t="n">
        <f aca="false">IF($R99&gt;0,Params!$B$9*Params!$B$4/(Params!$B$6*$R99),"n/a")</f>
        <v>1.15268805377123</v>
      </c>
      <c r="AH99" s="28" t="n">
        <f aca="false">IF($R99&gt;0,Params!$B$9*Params!$B$5/(Params!$B$6*$R99),"n/a")</f>
        <v>2.30537610754247</v>
      </c>
      <c r="AI99" s="28" t="n">
        <f aca="false">IF($R99&gt;0,Params!$B$15*Params!$B$4/(Params!$B$6*$R99),"n/a")</f>
        <v>0.384229351257078</v>
      </c>
      <c r="AJ99" s="29" t="n">
        <f aca="false">MIN(Params!$B$9,AD99*Params!$B$8/Params!$B$4)</f>
        <v>0.06</v>
      </c>
      <c r="AK99" s="28" t="n">
        <f aca="false">IF($R99&gt;0,Params!$B$9*Params!$B$4/(Params!$B$6*$R99*Params!$B$8),"n/a")</f>
        <v>2.30537610754247</v>
      </c>
      <c r="AL99" s="27" t="str">
        <f aca="false">IFERROR(ciq($D99,"IQ_PE_EXCL"),"")</f>
        <v/>
      </c>
      <c r="AM99" s="27" t="str">
        <f aca="false">IFERROR(ciq($D99,"IQ_PE_EXCL_FWD_CIQ"),"")</f>
        <v/>
      </c>
      <c r="AN99" s="27" t="str">
        <f aca="false">IFERROR(ciq($D99,"IQ_PBV"),"")</f>
        <v/>
      </c>
      <c r="AO99" s="27" t="str">
        <f aca="false">IFERROR(ciq($D99,"IQ_TEV_EBITDA"),"")</f>
        <v/>
      </c>
      <c r="AP99" s="24" t="str">
        <f aca="false">IFERROR(ciq($D99,"IQ_RETURN_EQUITY"),"")</f>
        <v/>
      </c>
      <c r="AQ99" s="24" t="str">
        <f aca="false">IFERROR(ciq($D99,"IQ_RETURN_CAPITAL"),"")</f>
        <v/>
      </c>
      <c r="AR99" s="24" t="str">
        <f aca="false">IFERROR(ciq($D99,"IQ_TOTAL_REV_1YR_ANN_GROWTH"),"")</f>
        <v/>
      </c>
      <c r="AS99" s="24" t="str">
        <f aca="false">IFERROR(ciq($D99,"IQ_EPS_1YR_ANN_GROWTH"),"")</f>
        <v/>
      </c>
      <c r="AT99" s="24" t="str">
        <f aca="false">IFERROR(ciq($D99,"IQ_DIVIDEND_YIELD"),"")</f>
        <v/>
      </c>
      <c r="AU99" s="24" t="str">
        <f aca="false">IFERROR(ciq($D99,"IQ_NET_DEBT"),"")</f>
        <v/>
      </c>
    </row>
    <row r="100" customFormat="false" ht="15" hidden="false" customHeight="false" outlineLevel="0" collapsed="false">
      <c r="A100" s="8" t="s">
        <v>848</v>
      </c>
      <c r="B100" s="6" t="s">
        <v>849</v>
      </c>
      <c r="C100" s="8" t="s">
        <v>72</v>
      </c>
      <c r="D100" s="8" t="s">
        <v>850</v>
      </c>
      <c r="E100" s="8" t="s">
        <v>851</v>
      </c>
      <c r="F100" s="6" t="s">
        <v>852</v>
      </c>
      <c r="G100" s="8" t="s">
        <v>55</v>
      </c>
      <c r="H100" s="8" t="s">
        <v>66</v>
      </c>
      <c r="I100" s="8"/>
      <c r="J100" s="8"/>
      <c r="K100" s="8"/>
      <c r="L100" s="8"/>
      <c r="M100" s="23" t="n">
        <v>81400</v>
      </c>
      <c r="N100" s="23" t="n">
        <v>59923.245734</v>
      </c>
      <c r="O100" s="23" t="n">
        <v>64508.4726456</v>
      </c>
      <c r="P100" s="24" t="n">
        <v>239.65804315</v>
      </c>
      <c r="Q100" s="24" t="n">
        <v>219.9291033</v>
      </c>
      <c r="R100" s="24" t="n">
        <v>219.9291033</v>
      </c>
      <c r="S100" s="25" t="n">
        <v>0.00399941692434093</v>
      </c>
      <c r="T100" s="26" t="n">
        <v>0.48523044617821</v>
      </c>
      <c r="U100" s="23" t="n">
        <v>0</v>
      </c>
      <c r="V100" s="26" t="n">
        <v>-0.06</v>
      </c>
      <c r="W100" s="26" t="n">
        <v>0.0839571093136957</v>
      </c>
      <c r="X100" s="26" t="n">
        <v>0.0611159103007823</v>
      </c>
      <c r="Y100" s="26" t="n">
        <v>-0.173825067628324</v>
      </c>
      <c r="Z100" s="26" t="n">
        <v>-0.275859956356869</v>
      </c>
      <c r="AA100" s="26" t="n">
        <v>-0.303137733106183</v>
      </c>
      <c r="AB100" s="26" t="n">
        <v>-0.348877543162401</v>
      </c>
      <c r="AC100" s="27" t="n">
        <v>1.03928898877058</v>
      </c>
      <c r="AD100" s="28" t="n">
        <f aca="false">Params!$B$6*Params!$B$7*$R100</f>
        <v>131.95746198</v>
      </c>
      <c r="AE100" s="29" t="n">
        <f aca="false">MIN(Params!$B$9,AD100/Params!$B$4)</f>
        <v>0.06</v>
      </c>
      <c r="AF100" s="29" t="n">
        <f aca="false">MIN(Params!$B$9,AD100/Params!$B$5)</f>
        <v>0.06</v>
      </c>
      <c r="AG100" s="28" t="n">
        <f aca="false">IF($R100&gt;0,Params!$B$9*Params!$B$4/(Params!$B$6*$R100),"n/a")</f>
        <v>0.682037973825541</v>
      </c>
      <c r="AH100" s="28" t="n">
        <f aca="false">IF($R100&gt;0,Params!$B$9*Params!$B$5/(Params!$B$6*$R100),"n/a")</f>
        <v>1.36407594765108</v>
      </c>
      <c r="AI100" s="28" t="n">
        <f aca="false">IF($R100&gt;0,Params!$B$15*Params!$B$4/(Params!$B$6*$R100),"n/a")</f>
        <v>0.22734599127518</v>
      </c>
      <c r="AJ100" s="29" t="n">
        <f aca="false">MIN(Params!$B$9,AD100*Params!$B$8/Params!$B$4)</f>
        <v>0.06</v>
      </c>
      <c r="AK100" s="28" t="n">
        <f aca="false">IF($R100&gt;0,Params!$B$9*Params!$B$4/(Params!$B$6*$R100*Params!$B$8),"n/a")</f>
        <v>1.36407594765108</v>
      </c>
      <c r="AL100" s="27" t="str">
        <f aca="false">IFERROR(ciq($D100,"IQ_PE_EXCL"),"")</f>
        <v/>
      </c>
      <c r="AM100" s="27" t="str">
        <f aca="false">IFERROR(ciq($D100,"IQ_PE_EXCL_FWD_CIQ"),"")</f>
        <v/>
      </c>
      <c r="AN100" s="27" t="str">
        <f aca="false">IFERROR(ciq($D100,"IQ_PBV"),"")</f>
        <v/>
      </c>
      <c r="AO100" s="27" t="str">
        <f aca="false">IFERROR(ciq($D100,"IQ_TEV_EBITDA"),"")</f>
        <v/>
      </c>
      <c r="AP100" s="24" t="str">
        <f aca="false">IFERROR(ciq($D100,"IQ_RETURN_EQUITY"),"")</f>
        <v/>
      </c>
      <c r="AQ100" s="24" t="str">
        <f aca="false">IFERROR(ciq($D100,"IQ_RETURN_CAPITAL"),"")</f>
        <v/>
      </c>
      <c r="AR100" s="24" t="str">
        <f aca="false">IFERROR(ciq($D100,"IQ_TOTAL_REV_1YR_ANN_GROWTH"),"")</f>
        <v/>
      </c>
      <c r="AS100" s="24" t="str">
        <f aca="false">IFERROR(ciq($D100,"IQ_EPS_1YR_ANN_GROWTH"),"")</f>
        <v/>
      </c>
      <c r="AT100" s="24" t="str">
        <f aca="false">IFERROR(ciq($D100,"IQ_DIVIDEND_YIELD"),"")</f>
        <v/>
      </c>
      <c r="AU100" s="24" t="str">
        <f aca="false">IFERROR(ciq($D100,"IQ_NET_DEBT"),"")</f>
        <v/>
      </c>
    </row>
    <row r="101" customFormat="false" ht="15" hidden="false" customHeight="false" outlineLevel="0" collapsed="false">
      <c r="A101" s="8" t="s">
        <v>258</v>
      </c>
      <c r="B101" s="6" t="s">
        <v>259</v>
      </c>
      <c r="C101" s="8" t="s">
        <v>72</v>
      </c>
      <c r="D101" s="8" t="s">
        <v>853</v>
      </c>
      <c r="E101" s="8" t="s">
        <v>854</v>
      </c>
      <c r="F101" s="6" t="s">
        <v>852</v>
      </c>
      <c r="G101" s="8" t="s">
        <v>55</v>
      </c>
      <c r="H101" s="8" t="s">
        <v>66</v>
      </c>
      <c r="I101" s="8" t="s">
        <v>508</v>
      </c>
      <c r="J101" s="6" t="s">
        <v>178</v>
      </c>
      <c r="K101" s="6" t="s">
        <v>260</v>
      </c>
      <c r="L101" s="8"/>
      <c r="M101" s="23" t="n">
        <v>460500</v>
      </c>
      <c r="N101" s="23" t="n">
        <v>58994.613555</v>
      </c>
      <c r="O101" s="23" t="n">
        <v>56976.8824725</v>
      </c>
      <c r="P101" s="24" t="n">
        <v>845.734985125</v>
      </c>
      <c r="Q101" s="24" t="n">
        <v>562.167702458333</v>
      </c>
      <c r="R101" s="24" t="n">
        <v>562.167702458333</v>
      </c>
      <c r="S101" s="25" t="n">
        <v>0.0143358000698917</v>
      </c>
      <c r="T101" s="26" t="n">
        <v>1.0110358728736</v>
      </c>
      <c r="U101" s="23" t="n">
        <v>1</v>
      </c>
      <c r="V101" s="26" t="n">
        <v>-0.06</v>
      </c>
      <c r="W101" s="26" t="n">
        <v>0.211662036993289</v>
      </c>
      <c r="X101" s="26" t="n">
        <v>0.0744770344058945</v>
      </c>
      <c r="Y101" s="26" t="n">
        <v>-0.0603575991280334</v>
      </c>
      <c r="Z101" s="26" t="n">
        <v>0.0181701827019045</v>
      </c>
      <c r="AA101" s="26" t="n">
        <v>0.586307485064979</v>
      </c>
      <c r="AB101" s="26" t="n">
        <v>-0.264581045990221</v>
      </c>
      <c r="AC101" s="27" t="n">
        <v>1.39303351665099</v>
      </c>
      <c r="AD101" s="28" t="n">
        <f aca="false">Params!$B$6*Params!$B$7*$R101</f>
        <v>337.300621475</v>
      </c>
      <c r="AE101" s="29" t="n">
        <f aca="false">MIN(Params!$B$9,AD101/Params!$B$4)</f>
        <v>0.06</v>
      </c>
      <c r="AF101" s="29" t="n">
        <f aca="false">MIN(Params!$B$9,AD101/Params!$B$5)</f>
        <v>0.06</v>
      </c>
      <c r="AG101" s="28" t="n">
        <f aca="false">IF($R101&gt;0,Params!$B$9*Params!$B$4/(Params!$B$6*$R101),"n/a")</f>
        <v>0.266824293434249</v>
      </c>
      <c r="AH101" s="28" t="n">
        <f aca="false">IF($R101&gt;0,Params!$B$9*Params!$B$5/(Params!$B$6*$R101),"n/a")</f>
        <v>0.533648586868498</v>
      </c>
      <c r="AI101" s="28" t="n">
        <f aca="false">IF($R101&gt;0,Params!$B$15*Params!$B$4/(Params!$B$6*$R101),"n/a")</f>
        <v>0.0889414311447497</v>
      </c>
      <c r="AJ101" s="29" t="n">
        <f aca="false">MIN(Params!$B$9,AD101*Params!$B$8/Params!$B$4)</f>
        <v>0.06</v>
      </c>
      <c r="AK101" s="28" t="n">
        <f aca="false">IF($R101&gt;0,Params!$B$9*Params!$B$4/(Params!$B$6*$R101*Params!$B$8),"n/a")</f>
        <v>0.533648586868498</v>
      </c>
      <c r="AL101" s="27" t="str">
        <f aca="false">IFERROR(ciq($D101,"IQ_PE_EXCL"),"")</f>
        <v/>
      </c>
      <c r="AM101" s="27" t="str">
        <f aca="false">IFERROR(ciq($D101,"IQ_PE_EXCL_FWD_CIQ"),"")</f>
        <v/>
      </c>
      <c r="AN101" s="27" t="str">
        <f aca="false">IFERROR(ciq($D101,"IQ_PBV"),"")</f>
        <v/>
      </c>
      <c r="AO101" s="27" t="str">
        <f aca="false">IFERROR(ciq($D101,"IQ_TEV_EBITDA"),"")</f>
        <v/>
      </c>
      <c r="AP101" s="24" t="str">
        <f aca="false">IFERROR(ciq($D101,"IQ_RETURN_EQUITY"),"")</f>
        <v/>
      </c>
      <c r="AQ101" s="24" t="str">
        <f aca="false">IFERROR(ciq($D101,"IQ_RETURN_CAPITAL"),"")</f>
        <v/>
      </c>
      <c r="AR101" s="24" t="str">
        <f aca="false">IFERROR(ciq($D101,"IQ_TOTAL_REV_1YR_ANN_GROWTH"),"")</f>
        <v/>
      </c>
      <c r="AS101" s="24" t="str">
        <f aca="false">IFERROR(ciq($D101,"IQ_EPS_1YR_ANN_GROWTH"),"")</f>
        <v/>
      </c>
      <c r="AT101" s="24" t="str">
        <f aca="false">IFERROR(ciq($D101,"IQ_DIVIDEND_YIELD"),"")</f>
        <v/>
      </c>
      <c r="AU101" s="24" t="str">
        <f aca="false">IFERROR(ciq($D101,"IQ_NET_DEBT"),"")</f>
        <v/>
      </c>
    </row>
    <row r="102" customFormat="false" ht="15" hidden="false" customHeight="false" outlineLevel="0" collapsed="false">
      <c r="A102" s="8" t="s">
        <v>855</v>
      </c>
      <c r="B102" s="6" t="s">
        <v>856</v>
      </c>
      <c r="C102" s="8" t="s">
        <v>72</v>
      </c>
      <c r="D102" s="8" t="s">
        <v>857</v>
      </c>
      <c r="E102" s="8" t="s">
        <v>858</v>
      </c>
      <c r="F102" s="8"/>
      <c r="G102" s="8" t="s">
        <v>55</v>
      </c>
      <c r="H102" s="8" t="s">
        <v>66</v>
      </c>
      <c r="I102" s="8"/>
      <c r="J102" s="8"/>
      <c r="K102" s="8"/>
      <c r="L102" s="8" t="s">
        <v>514</v>
      </c>
      <c r="M102" s="23" t="n">
        <v>186500</v>
      </c>
      <c r="N102" s="23" t="n">
        <v>57148.91525</v>
      </c>
      <c r="O102" s="23" t="n">
        <v>55509.522775</v>
      </c>
      <c r="P102" s="24" t="n">
        <v>530.18619145</v>
      </c>
      <c r="Q102" s="24" t="n">
        <v>559.34796637</v>
      </c>
      <c r="R102" s="24" t="n">
        <v>530.18619145</v>
      </c>
      <c r="S102" s="25" t="n">
        <v>0.0092772748026919</v>
      </c>
      <c r="T102" s="26" t="n">
        <v>1.04369086344601</v>
      </c>
      <c r="U102" s="23" t="n">
        <v>2</v>
      </c>
      <c r="V102" s="26" t="n">
        <v>-0.04</v>
      </c>
      <c r="W102" s="26" t="n">
        <v>0.115468107572669</v>
      </c>
      <c r="X102" s="26" t="n">
        <v>-0.171109509664464</v>
      </c>
      <c r="Y102" s="26" t="n">
        <v>0.291964949097147</v>
      </c>
      <c r="Z102" s="26" t="n">
        <v>0.434174242968442</v>
      </c>
      <c r="AA102" s="26" t="n">
        <v>0.590067517125925</v>
      </c>
      <c r="AB102" s="26" t="n">
        <v>-0.440655061958795</v>
      </c>
      <c r="AC102" s="27" t="n">
        <v>0.595754554447056</v>
      </c>
      <c r="AD102" s="28" t="n">
        <f aca="false">Params!$B$6*Params!$B$7*$R102</f>
        <v>318.11171487</v>
      </c>
      <c r="AE102" s="29" t="n">
        <f aca="false">MIN(Params!$B$9,AD102/Params!$B$4)</f>
        <v>0.06</v>
      </c>
      <c r="AF102" s="29" t="n">
        <f aca="false">MIN(Params!$B$9,AD102/Params!$B$5)</f>
        <v>0.06</v>
      </c>
      <c r="AG102" s="28" t="n">
        <f aca="false">IF($R102&gt;0,Params!$B$9*Params!$B$4/(Params!$B$6*$R102),"n/a")</f>
        <v>0.282919477004421</v>
      </c>
      <c r="AH102" s="28" t="n">
        <f aca="false">IF($R102&gt;0,Params!$B$9*Params!$B$5/(Params!$B$6*$R102),"n/a")</f>
        <v>0.565838954008843</v>
      </c>
      <c r="AI102" s="28" t="n">
        <f aca="false">IF($R102&gt;0,Params!$B$15*Params!$B$4/(Params!$B$6*$R102),"n/a")</f>
        <v>0.0943064923348071</v>
      </c>
      <c r="AJ102" s="29" t="n">
        <f aca="false">MIN(Params!$B$9,AD102*Params!$B$8/Params!$B$4)</f>
        <v>0.06</v>
      </c>
      <c r="AK102" s="28" t="n">
        <f aca="false">IF($R102&gt;0,Params!$B$9*Params!$B$4/(Params!$B$6*$R102*Params!$B$8),"n/a")</f>
        <v>0.565838954008843</v>
      </c>
      <c r="AL102" s="27" t="str">
        <f aca="false">IFERROR(ciq($D102,"IQ_PE_EXCL"),"")</f>
        <v/>
      </c>
      <c r="AM102" s="27" t="str">
        <f aca="false">IFERROR(ciq($D102,"IQ_PE_EXCL_FWD_CIQ"),"")</f>
        <v/>
      </c>
      <c r="AN102" s="27" t="str">
        <f aca="false">IFERROR(ciq($D102,"IQ_PBV"),"")</f>
        <v/>
      </c>
      <c r="AO102" s="27" t="str">
        <f aca="false">IFERROR(ciq($D102,"IQ_TEV_EBITDA"),"")</f>
        <v/>
      </c>
      <c r="AP102" s="24" t="str">
        <f aca="false">IFERROR(ciq($D102,"IQ_RETURN_EQUITY"),"")</f>
        <v/>
      </c>
      <c r="AQ102" s="24" t="str">
        <f aca="false">IFERROR(ciq($D102,"IQ_RETURN_CAPITAL"),"")</f>
        <v/>
      </c>
      <c r="AR102" s="24" t="str">
        <f aca="false">IFERROR(ciq($D102,"IQ_TOTAL_REV_1YR_ANN_GROWTH"),"")</f>
        <v/>
      </c>
      <c r="AS102" s="24" t="str">
        <f aca="false">IFERROR(ciq($D102,"IQ_EPS_1YR_ANN_GROWTH"),"")</f>
        <v/>
      </c>
      <c r="AT102" s="24" t="str">
        <f aca="false">IFERROR(ciq($D102,"IQ_DIVIDEND_YIELD"),"")</f>
        <v/>
      </c>
      <c r="AU102" s="24" t="str">
        <f aca="false">IFERROR(ciq($D102,"IQ_NET_DEBT"),"")</f>
        <v/>
      </c>
    </row>
    <row r="103" customFormat="false" ht="15" hidden="false" customHeight="false" outlineLevel="0" collapsed="false">
      <c r="A103" s="8" t="s">
        <v>859</v>
      </c>
      <c r="B103" s="6" t="s">
        <v>860</v>
      </c>
      <c r="C103" s="8" t="s">
        <v>72</v>
      </c>
      <c r="D103" s="8" t="s">
        <v>861</v>
      </c>
      <c r="E103" s="8" t="s">
        <v>862</v>
      </c>
      <c r="F103" s="6" t="s">
        <v>539</v>
      </c>
      <c r="G103" s="8" t="s">
        <v>55</v>
      </c>
      <c r="H103" s="8" t="s">
        <v>66</v>
      </c>
      <c r="I103" s="8"/>
      <c r="J103" s="8"/>
      <c r="K103" s="8"/>
      <c r="L103" s="8"/>
      <c r="M103" s="23" t="n">
        <v>6110</v>
      </c>
      <c r="N103" s="23" t="n">
        <v>53067.183</v>
      </c>
      <c r="O103" s="23" t="n">
        <v>46405.5579</v>
      </c>
      <c r="P103" s="24" t="n">
        <v>331.941965625</v>
      </c>
      <c r="Q103" s="24" t="n">
        <v>252.512490466667</v>
      </c>
      <c r="R103" s="24" t="n">
        <v>252.512490466667</v>
      </c>
      <c r="S103" s="25" t="n">
        <v>0.00625512693268456</v>
      </c>
      <c r="T103" s="26" t="n">
        <v>0.65286262512732</v>
      </c>
      <c r="U103" s="23" t="n">
        <v>0</v>
      </c>
      <c r="V103" s="26" t="n">
        <v>-0.06</v>
      </c>
      <c r="W103" s="26" t="n">
        <v>0.402977040541086</v>
      </c>
      <c r="X103" s="26" t="n">
        <v>0.219036594622708</v>
      </c>
      <c r="Y103" s="26" t="n">
        <v>0.197243192833625</v>
      </c>
      <c r="Z103" s="26" t="n">
        <v>0.875882233695349</v>
      </c>
      <c r="AA103" s="26" t="n">
        <v>0.94373879808562</v>
      </c>
      <c r="AB103" s="26" t="n">
        <v>-0.0749104934917013</v>
      </c>
      <c r="AC103" s="27" t="n">
        <v>1.00487713381072</v>
      </c>
      <c r="AD103" s="28" t="n">
        <f aca="false">Params!$B$6*Params!$B$7*$R103</f>
        <v>151.50749428</v>
      </c>
      <c r="AE103" s="29" t="n">
        <f aca="false">MIN(Params!$B$9,AD103/Params!$B$4)</f>
        <v>0.06</v>
      </c>
      <c r="AF103" s="29" t="n">
        <f aca="false">MIN(Params!$B$9,AD103/Params!$B$5)</f>
        <v>0.06</v>
      </c>
      <c r="AG103" s="28" t="n">
        <f aca="false">IF($R103&gt;0,Params!$B$9*Params!$B$4/(Params!$B$6*$R103),"n/a")</f>
        <v>0.594030020941879</v>
      </c>
      <c r="AH103" s="28" t="n">
        <f aca="false">IF($R103&gt;0,Params!$B$9*Params!$B$5/(Params!$B$6*$R103),"n/a")</f>
        <v>1.18806004188376</v>
      </c>
      <c r="AI103" s="28" t="n">
        <f aca="false">IF($R103&gt;0,Params!$B$15*Params!$B$4/(Params!$B$6*$R103),"n/a")</f>
        <v>0.198010006980626</v>
      </c>
      <c r="AJ103" s="29" t="n">
        <f aca="false">MIN(Params!$B$9,AD103*Params!$B$8/Params!$B$4)</f>
        <v>0.06</v>
      </c>
      <c r="AK103" s="28" t="n">
        <f aca="false">IF($R103&gt;0,Params!$B$9*Params!$B$4/(Params!$B$6*$R103*Params!$B$8),"n/a")</f>
        <v>1.18806004188376</v>
      </c>
      <c r="AL103" s="27" t="str">
        <f aca="false">IFERROR(ciq($D103,"IQ_PE_EXCL"),"")</f>
        <v/>
      </c>
      <c r="AM103" s="27" t="str">
        <f aca="false">IFERROR(ciq($D103,"IQ_PE_EXCL_FWD_CIQ"),"")</f>
        <v/>
      </c>
      <c r="AN103" s="27" t="str">
        <f aca="false">IFERROR(ciq($D103,"IQ_PBV"),"")</f>
        <v/>
      </c>
      <c r="AO103" s="27" t="str">
        <f aca="false">IFERROR(ciq($D103,"IQ_TEV_EBITDA"),"")</f>
        <v/>
      </c>
      <c r="AP103" s="24" t="str">
        <f aca="false">IFERROR(ciq($D103,"IQ_RETURN_EQUITY"),"")</f>
        <v/>
      </c>
      <c r="AQ103" s="24" t="str">
        <f aca="false">IFERROR(ciq($D103,"IQ_RETURN_CAPITAL"),"")</f>
        <v/>
      </c>
      <c r="AR103" s="24" t="str">
        <f aca="false">IFERROR(ciq($D103,"IQ_TOTAL_REV_1YR_ANN_GROWTH"),"")</f>
        <v/>
      </c>
      <c r="AS103" s="24" t="str">
        <f aca="false">IFERROR(ciq($D103,"IQ_EPS_1YR_ANN_GROWTH"),"")</f>
        <v/>
      </c>
      <c r="AT103" s="24" t="str">
        <f aca="false">IFERROR(ciq($D103,"IQ_DIVIDEND_YIELD"),"")</f>
        <v/>
      </c>
      <c r="AU103" s="24" t="str">
        <f aca="false">IFERROR(ciq($D103,"IQ_NET_DEBT"),"")</f>
        <v/>
      </c>
    </row>
    <row r="104" customFormat="false" ht="15" hidden="false" customHeight="false" outlineLevel="0" collapsed="false">
      <c r="A104" s="8" t="s">
        <v>863</v>
      </c>
      <c r="B104" s="6" t="s">
        <v>864</v>
      </c>
      <c r="C104" s="8" t="s">
        <v>72</v>
      </c>
      <c r="D104" s="8" t="s">
        <v>865</v>
      </c>
      <c r="E104" s="8" t="s">
        <v>866</v>
      </c>
      <c r="F104" s="6" t="s">
        <v>843</v>
      </c>
      <c r="G104" s="8" t="s">
        <v>55</v>
      </c>
      <c r="H104" s="8" t="s">
        <v>66</v>
      </c>
      <c r="I104" s="8"/>
      <c r="J104" s="8"/>
      <c r="K104" s="8"/>
      <c r="L104" s="8" t="s">
        <v>241</v>
      </c>
      <c r="M104" s="23" t="n">
        <v>26950</v>
      </c>
      <c r="N104" s="23" t="n">
        <v>52820.004622</v>
      </c>
      <c r="O104" s="23" t="n">
        <v>55598.1996703</v>
      </c>
      <c r="P104" s="24" t="n">
        <v>434.0492122625</v>
      </c>
      <c r="Q104" s="24" t="n">
        <v>804.387656416667</v>
      </c>
      <c r="R104" s="24" t="n">
        <v>434.0492122625</v>
      </c>
      <c r="S104" s="25" t="n">
        <v>0.00821751560547412</v>
      </c>
      <c r="T104" s="26" t="n">
        <v>0.917624778362271</v>
      </c>
      <c r="U104" s="23" t="n">
        <v>0</v>
      </c>
      <c r="V104" s="26" t="n">
        <v>-0.06</v>
      </c>
      <c r="W104" s="26" t="n">
        <v>-0.0527497710334374</v>
      </c>
      <c r="X104" s="26" t="n">
        <v>-0.303695350494509</v>
      </c>
      <c r="Y104" s="26" t="n">
        <v>-0.112131603590367</v>
      </c>
      <c r="Z104" s="26" t="n">
        <v>0.176901516094683</v>
      </c>
      <c r="AA104" s="26" t="n">
        <v>0.695886097691493</v>
      </c>
      <c r="AB104" s="26" t="n">
        <v>-0.627362987933214</v>
      </c>
      <c r="AC104" s="27" t="n">
        <v>0.177736801591234</v>
      </c>
      <c r="AD104" s="28" t="n">
        <f aca="false">Params!$B$6*Params!$B$7*$R104</f>
        <v>260.4295273575</v>
      </c>
      <c r="AE104" s="29" t="n">
        <f aca="false">MIN(Params!$B$9,AD104/Params!$B$4)</f>
        <v>0.06</v>
      </c>
      <c r="AF104" s="29" t="n">
        <f aca="false">MIN(Params!$B$9,AD104/Params!$B$5)</f>
        <v>0.06</v>
      </c>
      <c r="AG104" s="28" t="n">
        <f aca="false">IF($R104&gt;0,Params!$B$9*Params!$B$4/(Params!$B$6*$R104),"n/a")</f>
        <v>0.345582933368589</v>
      </c>
      <c r="AH104" s="28" t="n">
        <f aca="false">IF($R104&gt;0,Params!$B$9*Params!$B$5/(Params!$B$6*$R104),"n/a")</f>
        <v>0.691165866737178</v>
      </c>
      <c r="AI104" s="28" t="n">
        <f aca="false">IF($R104&gt;0,Params!$B$15*Params!$B$4/(Params!$B$6*$R104),"n/a")</f>
        <v>0.115194311122863</v>
      </c>
      <c r="AJ104" s="29" t="n">
        <f aca="false">MIN(Params!$B$9,AD104*Params!$B$8/Params!$B$4)</f>
        <v>0.06</v>
      </c>
      <c r="AK104" s="28" t="n">
        <f aca="false">IF($R104&gt;0,Params!$B$9*Params!$B$4/(Params!$B$6*$R104*Params!$B$8),"n/a")</f>
        <v>0.691165866737178</v>
      </c>
      <c r="AL104" s="27" t="str">
        <f aca="false">IFERROR(ciq($D104,"IQ_PE_EXCL"),"")</f>
        <v/>
      </c>
      <c r="AM104" s="27" t="str">
        <f aca="false">IFERROR(ciq($D104,"IQ_PE_EXCL_FWD_CIQ"),"")</f>
        <v/>
      </c>
      <c r="AN104" s="27" t="str">
        <f aca="false">IFERROR(ciq($D104,"IQ_PBV"),"")</f>
        <v/>
      </c>
      <c r="AO104" s="27" t="str">
        <f aca="false">IFERROR(ciq($D104,"IQ_TEV_EBITDA"),"")</f>
        <v/>
      </c>
      <c r="AP104" s="24" t="str">
        <f aca="false">IFERROR(ciq($D104,"IQ_RETURN_EQUITY"),"")</f>
        <v/>
      </c>
      <c r="AQ104" s="24" t="str">
        <f aca="false">IFERROR(ciq($D104,"IQ_RETURN_CAPITAL"),"")</f>
        <v/>
      </c>
      <c r="AR104" s="24" t="str">
        <f aca="false">IFERROR(ciq($D104,"IQ_TOTAL_REV_1YR_ANN_GROWTH"),"")</f>
        <v/>
      </c>
      <c r="AS104" s="24" t="str">
        <f aca="false">IFERROR(ciq($D104,"IQ_EPS_1YR_ANN_GROWTH"),"")</f>
        <v/>
      </c>
      <c r="AT104" s="24" t="str">
        <f aca="false">IFERROR(ciq($D104,"IQ_DIVIDEND_YIELD"),"")</f>
        <v/>
      </c>
      <c r="AU104" s="24" t="str">
        <f aca="false">IFERROR(ciq($D104,"IQ_NET_DEBT"),"")</f>
        <v/>
      </c>
    </row>
    <row r="105" customFormat="false" ht="15" hidden="false" customHeight="false" outlineLevel="0" collapsed="false">
      <c r="A105" s="8" t="s">
        <v>867</v>
      </c>
      <c r="B105" s="6" t="s">
        <v>868</v>
      </c>
      <c r="C105" s="8" t="s">
        <v>74</v>
      </c>
      <c r="D105" s="8" t="s">
        <v>869</v>
      </c>
      <c r="E105" s="8" t="s">
        <v>870</v>
      </c>
      <c r="F105" s="6" t="s">
        <v>627</v>
      </c>
      <c r="G105" s="8" t="s">
        <v>55</v>
      </c>
      <c r="H105" s="8" t="s">
        <v>66</v>
      </c>
      <c r="I105" s="8"/>
      <c r="J105" s="8"/>
      <c r="K105" s="8"/>
      <c r="L105" s="8" t="s">
        <v>514</v>
      </c>
      <c r="M105" s="23" t="n">
        <v>105000</v>
      </c>
      <c r="N105" s="23" t="n">
        <v>51538.09605</v>
      </c>
      <c r="O105" s="23" t="n">
        <v>53098.9641018</v>
      </c>
      <c r="P105" s="24" t="n">
        <v>871.692641075</v>
      </c>
      <c r="Q105" s="24" t="n">
        <v>2115.24655083333</v>
      </c>
      <c r="R105" s="24" t="n">
        <v>871.692641075</v>
      </c>
      <c r="S105" s="25" t="n">
        <v>0.0169135592480817</v>
      </c>
      <c r="T105" s="26" t="n">
        <v>1.4857830583254</v>
      </c>
      <c r="U105" s="23" t="n">
        <v>4</v>
      </c>
      <c r="V105" s="26" t="n">
        <v>-0.04</v>
      </c>
      <c r="W105" s="26" t="n">
        <v>0.0747820003843154</v>
      </c>
      <c r="X105" s="26" t="n">
        <v>-0.118508935513383</v>
      </c>
      <c r="Y105" s="26" t="n">
        <v>-0.124955364311097</v>
      </c>
      <c r="Z105" s="26" t="n">
        <v>0.546239965184637</v>
      </c>
      <c r="AA105" s="26" t="n">
        <v>1.55558414255069</v>
      </c>
      <c r="AB105" s="26" t="n">
        <v>-0.427206217129561</v>
      </c>
      <c r="AC105" s="27" t="n">
        <v>0.589322063210544</v>
      </c>
      <c r="AD105" s="28" t="n">
        <f aca="false">Params!$B$6*Params!$B$7*$R105</f>
        <v>523.015584645</v>
      </c>
      <c r="AE105" s="29" t="n">
        <f aca="false">MIN(Params!$B$9,AD105/Params!$B$4)</f>
        <v>0.06</v>
      </c>
      <c r="AF105" s="29" t="n">
        <f aca="false">MIN(Params!$B$9,AD105/Params!$B$5)</f>
        <v>0.06</v>
      </c>
      <c r="AG105" s="28" t="n">
        <f aca="false">IF($R105&gt;0,Params!$B$9*Params!$B$4/(Params!$B$6*$R105),"n/a")</f>
        <v>0.172079002313264</v>
      </c>
      <c r="AH105" s="28" t="n">
        <f aca="false">IF($R105&gt;0,Params!$B$9*Params!$B$5/(Params!$B$6*$R105),"n/a")</f>
        <v>0.344158004626528</v>
      </c>
      <c r="AI105" s="28" t="n">
        <f aca="false">IF($R105&gt;0,Params!$B$15*Params!$B$4/(Params!$B$6*$R105),"n/a")</f>
        <v>0.0573596674377546</v>
      </c>
      <c r="AJ105" s="29" t="n">
        <f aca="false">MIN(Params!$B$9,AD105*Params!$B$8/Params!$B$4)</f>
        <v>0.06</v>
      </c>
      <c r="AK105" s="28" t="n">
        <f aca="false">IF($R105&gt;0,Params!$B$9*Params!$B$4/(Params!$B$6*$R105*Params!$B$8),"n/a")</f>
        <v>0.344158004626528</v>
      </c>
      <c r="AL105" s="27" t="str">
        <f aca="false">IFERROR(ciq($D105,"IQ_PE_EXCL"),"")</f>
        <v/>
      </c>
      <c r="AM105" s="27" t="str">
        <f aca="false">IFERROR(ciq($D105,"IQ_PE_EXCL_FWD_CIQ"),"")</f>
        <v/>
      </c>
      <c r="AN105" s="27" t="str">
        <f aca="false">IFERROR(ciq($D105,"IQ_PBV"),"")</f>
        <v/>
      </c>
      <c r="AO105" s="27" t="str">
        <f aca="false">IFERROR(ciq($D105,"IQ_TEV_EBITDA"),"")</f>
        <v/>
      </c>
      <c r="AP105" s="24" t="str">
        <f aca="false">IFERROR(ciq($D105,"IQ_RETURN_EQUITY"),"")</f>
        <v/>
      </c>
      <c r="AQ105" s="24" t="str">
        <f aca="false">IFERROR(ciq($D105,"IQ_RETURN_CAPITAL"),"")</f>
        <v/>
      </c>
      <c r="AR105" s="24" t="str">
        <f aca="false">IFERROR(ciq($D105,"IQ_TOTAL_REV_1YR_ANN_GROWTH"),"")</f>
        <v/>
      </c>
      <c r="AS105" s="24" t="str">
        <f aca="false">IFERROR(ciq($D105,"IQ_EPS_1YR_ANN_GROWTH"),"")</f>
        <v/>
      </c>
      <c r="AT105" s="24" t="str">
        <f aca="false">IFERROR(ciq($D105,"IQ_DIVIDEND_YIELD"),"")</f>
        <v/>
      </c>
      <c r="AU105" s="24" t="str">
        <f aca="false">IFERROR(ciq($D105,"IQ_NET_DEBT"),"")</f>
        <v/>
      </c>
    </row>
    <row r="106" customFormat="false" ht="15" hidden="false" customHeight="false" outlineLevel="0" collapsed="false">
      <c r="A106" s="8" t="s">
        <v>871</v>
      </c>
      <c r="B106" s="6" t="s">
        <v>872</v>
      </c>
      <c r="C106" s="8" t="s">
        <v>73</v>
      </c>
      <c r="D106" s="8" t="s">
        <v>873</v>
      </c>
      <c r="E106" s="8" t="s">
        <v>874</v>
      </c>
      <c r="F106" s="6" t="s">
        <v>627</v>
      </c>
      <c r="G106" s="8" t="s">
        <v>55</v>
      </c>
      <c r="H106" s="8" t="s">
        <v>66</v>
      </c>
      <c r="I106" s="8"/>
      <c r="J106" s="8"/>
      <c r="K106" s="8"/>
      <c r="L106" s="8"/>
      <c r="M106" s="23" t="n">
        <v>418000</v>
      </c>
      <c r="N106" s="23" t="n">
        <v>51495.719</v>
      </c>
      <c r="O106" s="23" t="n">
        <v>48144.8014</v>
      </c>
      <c r="P106" s="24" t="n">
        <v>446.05717475</v>
      </c>
      <c r="Q106" s="24" t="n">
        <v>671.928899083333</v>
      </c>
      <c r="R106" s="24" t="n">
        <v>446.05717475</v>
      </c>
      <c r="S106" s="25" t="n">
        <v>0.00866202440536853</v>
      </c>
      <c r="T106" s="26" t="n">
        <v>1.15113726685941</v>
      </c>
      <c r="U106" s="23" t="n">
        <v>1</v>
      </c>
      <c r="V106" s="26" t="n">
        <v>-0.06</v>
      </c>
      <c r="W106" s="26" t="n">
        <v>0.278224177854256</v>
      </c>
      <c r="X106" s="26" t="n">
        <v>-0.0336282619798082</v>
      </c>
      <c r="Y106" s="26" t="n">
        <v>0.0489271872122614</v>
      </c>
      <c r="Z106" s="26" t="n">
        <v>0.53688183181983</v>
      </c>
      <c r="AA106" s="26" t="n">
        <v>0.975393798624727</v>
      </c>
      <c r="AB106" s="26" t="n">
        <v>-0.317071397564145</v>
      </c>
      <c r="AC106" s="27" t="n">
        <v>0.738326655240279</v>
      </c>
      <c r="AD106" s="28" t="n">
        <f aca="false">Params!$B$6*Params!$B$7*$R106</f>
        <v>267.63430485</v>
      </c>
      <c r="AE106" s="29" t="n">
        <f aca="false">MIN(Params!$B$9,AD106/Params!$B$4)</f>
        <v>0.06</v>
      </c>
      <c r="AF106" s="29" t="n">
        <f aca="false">MIN(Params!$B$9,AD106/Params!$B$5)</f>
        <v>0.06</v>
      </c>
      <c r="AG106" s="28" t="n">
        <f aca="false">IF($R106&gt;0,Params!$B$9*Params!$B$4/(Params!$B$6*$R106),"n/a")</f>
        <v>0.336279760737107</v>
      </c>
      <c r="AH106" s="28" t="n">
        <f aca="false">IF($R106&gt;0,Params!$B$9*Params!$B$5/(Params!$B$6*$R106),"n/a")</f>
        <v>0.672559521474214</v>
      </c>
      <c r="AI106" s="28" t="n">
        <f aca="false">IF($R106&gt;0,Params!$B$15*Params!$B$4/(Params!$B$6*$R106),"n/a")</f>
        <v>0.112093253579036</v>
      </c>
      <c r="AJ106" s="29" t="n">
        <f aca="false">MIN(Params!$B$9,AD106*Params!$B$8/Params!$B$4)</f>
        <v>0.06</v>
      </c>
      <c r="AK106" s="28" t="n">
        <f aca="false">IF($R106&gt;0,Params!$B$9*Params!$B$4/(Params!$B$6*$R106*Params!$B$8),"n/a")</f>
        <v>0.672559521474214</v>
      </c>
      <c r="AL106" s="27" t="str">
        <f aca="false">IFERROR(ciq($D106,"IQ_PE_EXCL"),"")</f>
        <v/>
      </c>
      <c r="AM106" s="27" t="str">
        <f aca="false">IFERROR(ciq($D106,"IQ_PE_EXCL_FWD_CIQ"),"")</f>
        <v/>
      </c>
      <c r="AN106" s="27" t="str">
        <f aca="false">IFERROR(ciq($D106,"IQ_PBV"),"")</f>
        <v/>
      </c>
      <c r="AO106" s="27" t="str">
        <f aca="false">IFERROR(ciq($D106,"IQ_TEV_EBITDA"),"")</f>
        <v/>
      </c>
      <c r="AP106" s="24" t="str">
        <f aca="false">IFERROR(ciq($D106,"IQ_RETURN_EQUITY"),"")</f>
        <v/>
      </c>
      <c r="AQ106" s="24" t="str">
        <f aca="false">IFERROR(ciq($D106,"IQ_RETURN_CAPITAL"),"")</f>
        <v/>
      </c>
      <c r="AR106" s="24" t="str">
        <f aca="false">IFERROR(ciq($D106,"IQ_TOTAL_REV_1YR_ANN_GROWTH"),"")</f>
        <v/>
      </c>
      <c r="AS106" s="24" t="str">
        <f aca="false">IFERROR(ciq($D106,"IQ_EPS_1YR_ANN_GROWTH"),"")</f>
        <v/>
      </c>
      <c r="AT106" s="24" t="str">
        <f aca="false">IFERROR(ciq($D106,"IQ_DIVIDEND_YIELD"),"")</f>
        <v/>
      </c>
      <c r="AU106" s="24" t="str">
        <f aca="false">IFERROR(ciq($D106,"IQ_NET_DEBT"),"")</f>
        <v/>
      </c>
    </row>
    <row r="107" customFormat="false" ht="15" hidden="false" customHeight="false" outlineLevel="0" collapsed="false">
      <c r="A107" s="8" t="s">
        <v>261</v>
      </c>
      <c r="B107" s="6" t="s">
        <v>262</v>
      </c>
      <c r="C107" s="8" t="s">
        <v>72</v>
      </c>
      <c r="D107" s="8" t="s">
        <v>875</v>
      </c>
      <c r="E107" s="8" t="s">
        <v>876</v>
      </c>
      <c r="F107" s="6" t="s">
        <v>733</v>
      </c>
      <c r="G107" s="8" t="s">
        <v>55</v>
      </c>
      <c r="H107" s="8" t="s">
        <v>66</v>
      </c>
      <c r="I107" s="8" t="s">
        <v>508</v>
      </c>
      <c r="J107" s="6" t="s">
        <v>263</v>
      </c>
      <c r="K107" s="6" t="s">
        <v>264</v>
      </c>
      <c r="L107" s="8"/>
      <c r="M107" s="23" t="n">
        <v>129300</v>
      </c>
      <c r="N107" s="23" t="n">
        <v>51110.722884</v>
      </c>
      <c r="O107" s="23" t="n">
        <v>51399.2830364</v>
      </c>
      <c r="P107" s="24" t="n">
        <v>133.579092494</v>
      </c>
      <c r="Q107" s="24" t="n">
        <v>156.1823970275</v>
      </c>
      <c r="R107" s="24" t="n">
        <v>133.579092494</v>
      </c>
      <c r="S107" s="25" t="n">
        <v>0.00261352383524625</v>
      </c>
      <c r="T107" s="26" t="n">
        <v>0.381812062385476</v>
      </c>
      <c r="U107" s="23" t="n">
        <v>0</v>
      </c>
      <c r="V107" s="26" t="n">
        <v>-0.06</v>
      </c>
      <c r="W107" s="26" t="n">
        <v>-0.00767304660705515</v>
      </c>
      <c r="X107" s="26" t="n">
        <v>-0.0269779950171849</v>
      </c>
      <c r="Y107" s="26" t="n">
        <v>0.00257056201664452</v>
      </c>
      <c r="Z107" s="26" t="n">
        <v>0.223569947085864</v>
      </c>
      <c r="AA107" s="26" t="n">
        <v>0.218723307085873</v>
      </c>
      <c r="AB107" s="26" t="n">
        <v>-0.114171761914449</v>
      </c>
      <c r="AC107" s="27" t="n">
        <v>0.870136385459912</v>
      </c>
      <c r="AD107" s="28" t="n">
        <f aca="false">Params!$B$6*Params!$B$7*$R107</f>
        <v>80.1474554964</v>
      </c>
      <c r="AE107" s="29" t="n">
        <f aca="false">MIN(Params!$B$9,AD107/Params!$B$4)</f>
        <v>0.06</v>
      </c>
      <c r="AF107" s="29" t="n">
        <f aca="false">MIN(Params!$B$9,AD107/Params!$B$5)</f>
        <v>0.06</v>
      </c>
      <c r="AG107" s="28" t="n">
        <f aca="false">IF($R107&gt;0,Params!$B$9*Params!$B$4/(Params!$B$6*$R107),"n/a")</f>
        <v>1.1229302220835</v>
      </c>
      <c r="AH107" s="28" t="n">
        <f aca="false">IF($R107&gt;0,Params!$B$9*Params!$B$5/(Params!$B$6*$R107),"n/a")</f>
        <v>2.245860444167</v>
      </c>
      <c r="AI107" s="28" t="n">
        <f aca="false">IF($R107&gt;0,Params!$B$15*Params!$B$4/(Params!$B$6*$R107),"n/a")</f>
        <v>0.374310074027834</v>
      </c>
      <c r="AJ107" s="29" t="n">
        <f aca="false">MIN(Params!$B$9,AD107*Params!$B$8/Params!$B$4)</f>
        <v>0.06</v>
      </c>
      <c r="AK107" s="28" t="n">
        <f aca="false">IF($R107&gt;0,Params!$B$9*Params!$B$4/(Params!$B$6*$R107*Params!$B$8),"n/a")</f>
        <v>2.245860444167</v>
      </c>
      <c r="AL107" s="27" t="str">
        <f aca="false">IFERROR(ciq($D107,"IQ_PE_EXCL"),"")</f>
        <v/>
      </c>
      <c r="AM107" s="27" t="str">
        <f aca="false">IFERROR(ciq($D107,"IQ_PE_EXCL_FWD_CIQ"),"")</f>
        <v/>
      </c>
      <c r="AN107" s="27" t="str">
        <f aca="false">IFERROR(ciq($D107,"IQ_PBV"),"")</f>
        <v/>
      </c>
      <c r="AO107" s="27" t="str">
        <f aca="false">IFERROR(ciq($D107,"IQ_TEV_EBITDA"),"")</f>
        <v/>
      </c>
      <c r="AP107" s="24" t="str">
        <f aca="false">IFERROR(ciq($D107,"IQ_RETURN_EQUITY"),"")</f>
        <v/>
      </c>
      <c r="AQ107" s="24" t="str">
        <f aca="false">IFERROR(ciq($D107,"IQ_RETURN_CAPITAL"),"")</f>
        <v/>
      </c>
      <c r="AR107" s="24" t="str">
        <f aca="false">IFERROR(ciq($D107,"IQ_TOTAL_REV_1YR_ANN_GROWTH"),"")</f>
        <v/>
      </c>
      <c r="AS107" s="24" t="str">
        <f aca="false">IFERROR(ciq($D107,"IQ_EPS_1YR_ANN_GROWTH"),"")</f>
        <v/>
      </c>
      <c r="AT107" s="24" t="str">
        <f aca="false">IFERROR(ciq($D107,"IQ_DIVIDEND_YIELD"),"")</f>
        <v/>
      </c>
      <c r="AU107" s="24" t="str">
        <f aca="false">IFERROR(ciq($D107,"IQ_NET_DEBT"),"")</f>
        <v/>
      </c>
    </row>
    <row r="108" customFormat="false" ht="15" hidden="false" customHeight="false" outlineLevel="0" collapsed="false">
      <c r="A108" s="8" t="s">
        <v>877</v>
      </c>
      <c r="B108" s="6" t="s">
        <v>878</v>
      </c>
      <c r="C108" s="8" t="s">
        <v>72</v>
      </c>
      <c r="D108" s="8" t="s">
        <v>879</v>
      </c>
      <c r="E108" s="8" t="s">
        <v>880</v>
      </c>
      <c r="F108" s="8"/>
      <c r="G108" s="8" t="s">
        <v>55</v>
      </c>
      <c r="H108" s="8" t="s">
        <v>66</v>
      </c>
      <c r="I108" s="8"/>
      <c r="J108" s="8"/>
      <c r="K108" s="8"/>
      <c r="L108" s="8" t="s">
        <v>514</v>
      </c>
      <c r="M108" s="23" t="n">
        <v>101600</v>
      </c>
      <c r="N108" s="23" t="n">
        <v>50207.5958</v>
      </c>
      <c r="O108" s="23" t="n">
        <v>53874.331635</v>
      </c>
      <c r="P108" s="24" t="n">
        <v>791.276302025</v>
      </c>
      <c r="Q108" s="24" t="n">
        <v>1272.49792395</v>
      </c>
      <c r="R108" s="24" t="n">
        <v>791.276302025</v>
      </c>
      <c r="S108" s="25" t="n">
        <v>0.0157600914645867</v>
      </c>
      <c r="T108" s="26" t="n">
        <v>1.24190722149988</v>
      </c>
      <c r="U108" s="23" t="n">
        <v>3</v>
      </c>
      <c r="V108" s="26" t="n">
        <v>-0.04</v>
      </c>
      <c r="W108" s="26" t="n">
        <v>-0.0440244100236897</v>
      </c>
      <c r="X108" s="26" t="n">
        <v>-0.334058552257577</v>
      </c>
      <c r="Y108" s="26" t="n">
        <v>0.626189634278072</v>
      </c>
      <c r="Z108" s="26" t="n">
        <v>1.15758077631721</v>
      </c>
      <c r="AA108" s="26" t="n">
        <v>3.40807336349124</v>
      </c>
      <c r="AB108" s="26" t="n">
        <v>-0.467676595641389</v>
      </c>
      <c r="AC108" s="27" t="n">
        <v>0.593201379049444</v>
      </c>
      <c r="AD108" s="28" t="n">
        <f aca="false">Params!$B$6*Params!$B$7*$R108</f>
        <v>474.765781215</v>
      </c>
      <c r="AE108" s="29" t="n">
        <f aca="false">MIN(Params!$B$9,AD108/Params!$B$4)</f>
        <v>0.06</v>
      </c>
      <c r="AF108" s="29" t="n">
        <f aca="false">MIN(Params!$B$9,AD108/Params!$B$5)</f>
        <v>0.06</v>
      </c>
      <c r="AG108" s="28" t="n">
        <f aca="false">IF($R108&gt;0,Params!$B$9*Params!$B$4/(Params!$B$6*$R108),"n/a")</f>
        <v>0.189567158293666</v>
      </c>
      <c r="AH108" s="28" t="n">
        <f aca="false">IF($R108&gt;0,Params!$B$9*Params!$B$5/(Params!$B$6*$R108),"n/a")</f>
        <v>0.379134316587332</v>
      </c>
      <c r="AI108" s="28" t="n">
        <f aca="false">IF($R108&gt;0,Params!$B$15*Params!$B$4/(Params!$B$6*$R108),"n/a")</f>
        <v>0.0631890527645554</v>
      </c>
      <c r="AJ108" s="29" t="n">
        <f aca="false">MIN(Params!$B$9,AD108*Params!$B$8/Params!$B$4)</f>
        <v>0.06</v>
      </c>
      <c r="AK108" s="28" t="n">
        <f aca="false">IF($R108&gt;0,Params!$B$9*Params!$B$4/(Params!$B$6*$R108*Params!$B$8),"n/a")</f>
        <v>0.379134316587332</v>
      </c>
      <c r="AL108" s="27" t="str">
        <f aca="false">IFERROR(ciq($D108,"IQ_PE_EXCL"),"")</f>
        <v/>
      </c>
      <c r="AM108" s="27" t="str">
        <f aca="false">IFERROR(ciq($D108,"IQ_PE_EXCL_FWD_CIQ"),"")</f>
        <v/>
      </c>
      <c r="AN108" s="27" t="str">
        <f aca="false">IFERROR(ciq($D108,"IQ_PBV"),"")</f>
        <v/>
      </c>
      <c r="AO108" s="27" t="str">
        <f aca="false">IFERROR(ciq($D108,"IQ_TEV_EBITDA"),"")</f>
        <v/>
      </c>
      <c r="AP108" s="24" t="str">
        <f aca="false">IFERROR(ciq($D108,"IQ_RETURN_EQUITY"),"")</f>
        <v/>
      </c>
      <c r="AQ108" s="24" t="str">
        <f aca="false">IFERROR(ciq($D108,"IQ_RETURN_CAPITAL"),"")</f>
        <v/>
      </c>
      <c r="AR108" s="24" t="str">
        <f aca="false">IFERROR(ciq($D108,"IQ_TOTAL_REV_1YR_ANN_GROWTH"),"")</f>
        <v/>
      </c>
      <c r="AS108" s="24" t="str">
        <f aca="false">IFERROR(ciq($D108,"IQ_EPS_1YR_ANN_GROWTH"),"")</f>
        <v/>
      </c>
      <c r="AT108" s="24" t="str">
        <f aca="false">IFERROR(ciq($D108,"IQ_DIVIDEND_YIELD"),"")</f>
        <v/>
      </c>
      <c r="AU108" s="24" t="str">
        <f aca="false">IFERROR(ciq($D108,"IQ_NET_DEBT"),"")</f>
        <v/>
      </c>
    </row>
    <row r="109" customFormat="false" ht="15" hidden="false" customHeight="false" outlineLevel="0" collapsed="false">
      <c r="A109" s="8" t="s">
        <v>344</v>
      </c>
      <c r="B109" s="6" t="s">
        <v>345</v>
      </c>
      <c r="C109" s="8" t="s">
        <v>72</v>
      </c>
      <c r="D109" s="8" t="s">
        <v>881</v>
      </c>
      <c r="E109" s="8" t="s">
        <v>882</v>
      </c>
      <c r="F109" s="6" t="s">
        <v>565</v>
      </c>
      <c r="G109" s="8" t="s">
        <v>55</v>
      </c>
      <c r="H109" s="8" t="s">
        <v>66</v>
      </c>
      <c r="I109" s="8" t="s">
        <v>508</v>
      </c>
      <c r="J109" s="8"/>
      <c r="K109" s="8"/>
      <c r="L109" s="8" t="s">
        <v>346</v>
      </c>
      <c r="M109" s="23" t="n">
        <v>120900</v>
      </c>
      <c r="N109" s="23" t="n">
        <v>49187.756358</v>
      </c>
      <c r="O109" s="23" t="n">
        <v>45899.8106568</v>
      </c>
      <c r="P109" s="24" t="n">
        <v>729.714557225</v>
      </c>
      <c r="Q109" s="24" t="n">
        <v>483.469707108333</v>
      </c>
      <c r="R109" s="24" t="n">
        <v>483.469707108333</v>
      </c>
      <c r="S109" s="25" t="n">
        <v>0.014835288520053</v>
      </c>
      <c r="T109" s="26" t="n">
        <v>1.05263965522999</v>
      </c>
      <c r="U109" s="23" t="n">
        <v>1</v>
      </c>
      <c r="V109" s="26" t="n">
        <v>-0.06</v>
      </c>
      <c r="W109" s="26" t="n">
        <v>0.514821389203537</v>
      </c>
      <c r="X109" s="26" t="n">
        <v>-0.0673632921984761</v>
      </c>
      <c r="Y109" s="26" t="n">
        <v>0.0591471097553438</v>
      </c>
      <c r="Z109" s="26" t="n">
        <v>0.269239718653903</v>
      </c>
      <c r="AA109" s="26" t="n">
        <v>0.456860125148529</v>
      </c>
      <c r="AB109" s="26" t="n">
        <v>-0.432530967239551</v>
      </c>
      <c r="AC109" s="27" t="n">
        <v>0.757380948575934</v>
      </c>
      <c r="AD109" s="28" t="n">
        <f aca="false">Params!$B$6*Params!$B$7*$R109</f>
        <v>290.081824265</v>
      </c>
      <c r="AE109" s="29" t="n">
        <f aca="false">MIN(Params!$B$9,AD109/Params!$B$4)</f>
        <v>0.06</v>
      </c>
      <c r="AF109" s="29" t="n">
        <f aca="false">MIN(Params!$B$9,AD109/Params!$B$5)</f>
        <v>0.06</v>
      </c>
      <c r="AG109" s="28" t="n">
        <f aca="false">IF($R109&gt;0,Params!$B$9*Params!$B$4/(Params!$B$6*$R109),"n/a")</f>
        <v>0.310257287674052</v>
      </c>
      <c r="AH109" s="28" t="n">
        <f aca="false">IF($R109&gt;0,Params!$B$9*Params!$B$5/(Params!$B$6*$R109),"n/a")</f>
        <v>0.620514575348105</v>
      </c>
      <c r="AI109" s="28" t="n">
        <f aca="false">IF($R109&gt;0,Params!$B$15*Params!$B$4/(Params!$B$6*$R109),"n/a")</f>
        <v>0.103419095891351</v>
      </c>
      <c r="AJ109" s="29" t="n">
        <f aca="false">MIN(Params!$B$9,AD109*Params!$B$8/Params!$B$4)</f>
        <v>0.06</v>
      </c>
      <c r="AK109" s="28" t="n">
        <f aca="false">IF($R109&gt;0,Params!$B$9*Params!$B$4/(Params!$B$6*$R109*Params!$B$8),"n/a")</f>
        <v>0.620514575348105</v>
      </c>
      <c r="AL109" s="27" t="str">
        <f aca="false">IFERROR(ciq($D109,"IQ_PE_EXCL"),"")</f>
        <v/>
      </c>
      <c r="AM109" s="27" t="str">
        <f aca="false">IFERROR(ciq($D109,"IQ_PE_EXCL_FWD_CIQ"),"")</f>
        <v/>
      </c>
      <c r="AN109" s="27" t="str">
        <f aca="false">IFERROR(ciq($D109,"IQ_PBV"),"")</f>
        <v/>
      </c>
      <c r="AO109" s="27" t="str">
        <f aca="false">IFERROR(ciq($D109,"IQ_TEV_EBITDA"),"")</f>
        <v/>
      </c>
      <c r="AP109" s="24" t="str">
        <f aca="false">IFERROR(ciq($D109,"IQ_RETURN_EQUITY"),"")</f>
        <v/>
      </c>
      <c r="AQ109" s="24" t="str">
        <f aca="false">IFERROR(ciq($D109,"IQ_RETURN_CAPITAL"),"")</f>
        <v/>
      </c>
      <c r="AR109" s="24" t="str">
        <f aca="false">IFERROR(ciq($D109,"IQ_TOTAL_REV_1YR_ANN_GROWTH"),"")</f>
        <v/>
      </c>
      <c r="AS109" s="24" t="str">
        <f aca="false">IFERROR(ciq($D109,"IQ_EPS_1YR_ANN_GROWTH"),"")</f>
        <v/>
      </c>
      <c r="AT109" s="24" t="str">
        <f aca="false">IFERROR(ciq($D109,"IQ_DIVIDEND_YIELD"),"")</f>
        <v/>
      </c>
      <c r="AU109" s="24" t="str">
        <f aca="false">IFERROR(ciq($D109,"IQ_NET_DEBT"),"")</f>
        <v/>
      </c>
    </row>
    <row r="110" customFormat="false" ht="15" hidden="false" customHeight="false" outlineLevel="0" collapsed="false">
      <c r="A110" s="8" t="s">
        <v>883</v>
      </c>
      <c r="B110" s="6" t="s">
        <v>884</v>
      </c>
      <c r="C110" s="8" t="s">
        <v>74</v>
      </c>
      <c r="D110" s="8" t="s">
        <v>885</v>
      </c>
      <c r="E110" s="8" t="s">
        <v>886</v>
      </c>
      <c r="F110" s="6" t="s">
        <v>523</v>
      </c>
      <c r="G110" s="8" t="s">
        <v>55</v>
      </c>
      <c r="H110" s="8" t="s">
        <v>66</v>
      </c>
      <c r="I110" s="8"/>
      <c r="J110" s="8"/>
      <c r="K110" s="8"/>
      <c r="L110" s="8"/>
      <c r="M110" s="23" t="n">
        <v>64300</v>
      </c>
      <c r="N110" s="23" t="n">
        <v>49004.21955</v>
      </c>
      <c r="O110" s="23" t="n">
        <v>51515.4000075</v>
      </c>
      <c r="P110" s="24" t="n">
        <v>333.8720072</v>
      </c>
      <c r="Q110" s="24" t="n">
        <v>830.18355855</v>
      </c>
      <c r="R110" s="24" t="n">
        <v>333.8720072</v>
      </c>
      <c r="S110" s="25" t="n">
        <v>0.00681312773197711</v>
      </c>
      <c r="T110" s="26" t="n">
        <v>0.743260973306603</v>
      </c>
      <c r="U110" s="23" t="n">
        <v>1</v>
      </c>
      <c r="V110" s="26" t="n">
        <v>-0.06</v>
      </c>
      <c r="W110" s="26" t="n">
        <v>-0.0388475950354479</v>
      </c>
      <c r="X110" s="26" t="n">
        <v>-0.350519587485753</v>
      </c>
      <c r="Y110" s="26" t="n">
        <v>-0.434467384492242</v>
      </c>
      <c r="Z110" s="26" t="n">
        <v>0.066311235447224</v>
      </c>
      <c r="AA110" s="26" t="n">
        <v>0.375147139858839</v>
      </c>
      <c r="AB110" s="26" t="n">
        <v>-0.493677392976922</v>
      </c>
      <c r="AC110" s="27" t="n">
        <v>0.360957873505655</v>
      </c>
      <c r="AD110" s="28" t="n">
        <f aca="false">Params!$B$6*Params!$B$7*$R110</f>
        <v>200.32320432</v>
      </c>
      <c r="AE110" s="29" t="n">
        <f aca="false">MIN(Params!$B$9,AD110/Params!$B$4)</f>
        <v>0.06</v>
      </c>
      <c r="AF110" s="29" t="n">
        <f aca="false">MIN(Params!$B$9,AD110/Params!$B$5)</f>
        <v>0.06</v>
      </c>
      <c r="AG110" s="28" t="n">
        <f aca="false">IF($R110&gt;0,Params!$B$9*Params!$B$4/(Params!$B$6*$R110),"n/a")</f>
        <v>0.449273963570552</v>
      </c>
      <c r="AH110" s="28" t="n">
        <f aca="false">IF($R110&gt;0,Params!$B$9*Params!$B$5/(Params!$B$6*$R110),"n/a")</f>
        <v>0.898547927141105</v>
      </c>
      <c r="AI110" s="28" t="n">
        <f aca="false">IF($R110&gt;0,Params!$B$15*Params!$B$4/(Params!$B$6*$R110),"n/a")</f>
        <v>0.149757987856851</v>
      </c>
      <c r="AJ110" s="29" t="n">
        <f aca="false">MIN(Params!$B$9,AD110*Params!$B$8/Params!$B$4)</f>
        <v>0.06</v>
      </c>
      <c r="AK110" s="28" t="n">
        <f aca="false">IF($R110&gt;0,Params!$B$9*Params!$B$4/(Params!$B$6*$R110*Params!$B$8),"n/a")</f>
        <v>0.898547927141105</v>
      </c>
      <c r="AL110" s="27" t="str">
        <f aca="false">IFERROR(ciq($D110,"IQ_PE_EXCL"),"")</f>
        <v/>
      </c>
      <c r="AM110" s="27" t="str">
        <f aca="false">IFERROR(ciq($D110,"IQ_PE_EXCL_FWD_CIQ"),"")</f>
        <v/>
      </c>
      <c r="AN110" s="27" t="str">
        <f aca="false">IFERROR(ciq($D110,"IQ_PBV"),"")</f>
        <v/>
      </c>
      <c r="AO110" s="27" t="str">
        <f aca="false">IFERROR(ciq($D110,"IQ_TEV_EBITDA"),"")</f>
        <v/>
      </c>
      <c r="AP110" s="24" t="str">
        <f aca="false">IFERROR(ciq($D110,"IQ_RETURN_EQUITY"),"")</f>
        <v/>
      </c>
      <c r="AQ110" s="24" t="str">
        <f aca="false">IFERROR(ciq($D110,"IQ_RETURN_CAPITAL"),"")</f>
        <v/>
      </c>
      <c r="AR110" s="24" t="str">
        <f aca="false">IFERROR(ciq($D110,"IQ_TOTAL_REV_1YR_ANN_GROWTH"),"")</f>
        <v/>
      </c>
      <c r="AS110" s="24" t="str">
        <f aca="false">IFERROR(ciq($D110,"IQ_EPS_1YR_ANN_GROWTH"),"")</f>
        <v/>
      </c>
      <c r="AT110" s="24" t="str">
        <f aca="false">IFERROR(ciq($D110,"IQ_DIVIDEND_YIELD"),"")</f>
        <v/>
      </c>
      <c r="AU110" s="24" t="str">
        <f aca="false">IFERROR(ciq($D110,"IQ_NET_DEBT"),"")</f>
        <v/>
      </c>
    </row>
    <row r="111" customFormat="false" ht="15" hidden="false" customHeight="false" outlineLevel="0" collapsed="false">
      <c r="A111" s="8" t="s">
        <v>887</v>
      </c>
      <c r="B111" s="8" t="s">
        <v>888</v>
      </c>
      <c r="C111" s="8" t="s">
        <v>72</v>
      </c>
      <c r="D111" s="8" t="s">
        <v>889</v>
      </c>
      <c r="E111" s="8" t="s">
        <v>890</v>
      </c>
      <c r="F111" s="6" t="s">
        <v>536</v>
      </c>
      <c r="G111" s="8" t="s">
        <v>55</v>
      </c>
      <c r="H111" s="8" t="s">
        <v>66</v>
      </c>
      <c r="I111" s="8"/>
      <c r="J111" s="8"/>
      <c r="K111" s="8"/>
      <c r="L111" s="8"/>
      <c r="M111" s="23" t="n">
        <v>15820</v>
      </c>
      <c r="N111" s="23" t="n">
        <v>48542.0486082</v>
      </c>
      <c r="O111" s="23" t="n">
        <v>46194.988982395</v>
      </c>
      <c r="P111" s="24" t="n">
        <v>145.09466729</v>
      </c>
      <c r="Q111" s="24" t="n">
        <v>182.982755515</v>
      </c>
      <c r="R111" s="24" t="n">
        <v>145.09466729</v>
      </c>
      <c r="S111" s="25" t="n">
        <v>0.00298905117213141</v>
      </c>
      <c r="T111" s="26" t="n">
        <v>0.461107781767755</v>
      </c>
      <c r="U111" s="23" t="n">
        <v>0</v>
      </c>
      <c r="V111" s="26" t="n">
        <v>-0.06</v>
      </c>
      <c r="W111" s="26" t="n">
        <v>0.0588568592471206</v>
      </c>
      <c r="X111" s="26" t="n">
        <v>-0.0727905082466063</v>
      </c>
      <c r="Y111" s="26" t="n">
        <v>-0.169742885048012</v>
      </c>
      <c r="Z111" s="26" t="n">
        <v>-0.00338890842979234</v>
      </c>
      <c r="AA111" s="26" t="n">
        <v>0.106274467404149</v>
      </c>
      <c r="AB111" s="26" t="n">
        <v>-0.301661933064145</v>
      </c>
      <c r="AC111" s="27" t="n">
        <v>0.734921309708321</v>
      </c>
      <c r="AD111" s="28" t="n">
        <f aca="false">Params!$B$6*Params!$B$7*$R111</f>
        <v>87.056800374</v>
      </c>
      <c r="AE111" s="29" t="n">
        <f aca="false">MIN(Params!$B$9,AD111/Params!$B$4)</f>
        <v>0.06</v>
      </c>
      <c r="AF111" s="29" t="n">
        <f aca="false">MIN(Params!$B$9,AD111/Params!$B$5)</f>
        <v>0.06</v>
      </c>
      <c r="AG111" s="28" t="n">
        <f aca="false">IF($R111&gt;0,Params!$B$9*Params!$B$4/(Params!$B$6*$R111),"n/a")</f>
        <v>1.03380780838896</v>
      </c>
      <c r="AH111" s="28" t="n">
        <f aca="false">IF($R111&gt;0,Params!$B$9*Params!$B$5/(Params!$B$6*$R111),"n/a")</f>
        <v>2.06761561677792</v>
      </c>
      <c r="AI111" s="28" t="n">
        <f aca="false">IF($R111&gt;0,Params!$B$15*Params!$B$4/(Params!$B$6*$R111),"n/a")</f>
        <v>0.34460260279632</v>
      </c>
      <c r="AJ111" s="29" t="n">
        <f aca="false">MIN(Params!$B$9,AD111*Params!$B$8/Params!$B$4)</f>
        <v>0.06</v>
      </c>
      <c r="AK111" s="28" t="n">
        <f aca="false">IF($R111&gt;0,Params!$B$9*Params!$B$4/(Params!$B$6*$R111*Params!$B$8),"n/a")</f>
        <v>2.06761561677792</v>
      </c>
      <c r="AL111" s="27" t="str">
        <f aca="false">IFERROR(ciq($D111,"IQ_PE_EXCL"),"")</f>
        <v/>
      </c>
      <c r="AM111" s="27" t="str">
        <f aca="false">IFERROR(ciq($D111,"IQ_PE_EXCL_FWD_CIQ"),"")</f>
        <v/>
      </c>
      <c r="AN111" s="27" t="str">
        <f aca="false">IFERROR(ciq($D111,"IQ_PBV"),"")</f>
        <v/>
      </c>
      <c r="AO111" s="27" t="str">
        <f aca="false">IFERROR(ciq($D111,"IQ_TEV_EBITDA"),"")</f>
        <v/>
      </c>
      <c r="AP111" s="24" t="str">
        <f aca="false">IFERROR(ciq($D111,"IQ_RETURN_EQUITY"),"")</f>
        <v/>
      </c>
      <c r="AQ111" s="24" t="str">
        <f aca="false">IFERROR(ciq($D111,"IQ_RETURN_CAPITAL"),"")</f>
        <v/>
      </c>
      <c r="AR111" s="24" t="str">
        <f aca="false">IFERROR(ciq($D111,"IQ_TOTAL_REV_1YR_ANN_GROWTH"),"")</f>
        <v/>
      </c>
      <c r="AS111" s="24" t="str">
        <f aca="false">IFERROR(ciq($D111,"IQ_EPS_1YR_ANN_GROWTH"),"")</f>
        <v/>
      </c>
      <c r="AT111" s="24" t="str">
        <f aca="false">IFERROR(ciq($D111,"IQ_DIVIDEND_YIELD"),"")</f>
        <v/>
      </c>
      <c r="AU111" s="24" t="str">
        <f aca="false">IFERROR(ciq($D111,"IQ_NET_DEBT"),"")</f>
        <v/>
      </c>
    </row>
    <row r="112" customFormat="false" ht="15" hidden="false" customHeight="false" outlineLevel="0" collapsed="false">
      <c r="A112" s="8" t="s">
        <v>891</v>
      </c>
      <c r="B112" s="6" t="s">
        <v>892</v>
      </c>
      <c r="C112" s="8" t="s">
        <v>72</v>
      </c>
      <c r="D112" s="8" t="s">
        <v>893</v>
      </c>
      <c r="E112" s="8" t="s">
        <v>894</v>
      </c>
      <c r="F112" s="6" t="s">
        <v>895</v>
      </c>
      <c r="G112" s="8" t="s">
        <v>55</v>
      </c>
      <c r="H112" s="8" t="s">
        <v>66</v>
      </c>
      <c r="I112" s="8"/>
      <c r="J112" s="8"/>
      <c r="K112" s="8"/>
      <c r="L112" s="8"/>
      <c r="M112" s="23" t="n">
        <v>9910</v>
      </c>
      <c r="N112" s="23" t="n">
        <v>47461.1695063</v>
      </c>
      <c r="O112" s="23" t="n">
        <v>46958.30141365</v>
      </c>
      <c r="P112" s="24" t="n">
        <v>140.23483243</v>
      </c>
      <c r="Q112" s="24" t="n">
        <v>177.359170093333</v>
      </c>
      <c r="R112" s="24" t="n">
        <v>140.23483243</v>
      </c>
      <c r="S112" s="25" t="n">
        <v>0.00295472770453718</v>
      </c>
      <c r="T112" s="26" t="n">
        <v>0.180646418945868</v>
      </c>
      <c r="U112" s="23" t="n">
        <v>0</v>
      </c>
      <c r="V112" s="26" t="n">
        <v>-0.06</v>
      </c>
      <c r="W112" s="26" t="n">
        <v>-0.00605458587087293</v>
      </c>
      <c r="X112" s="26" t="n">
        <v>-0.0939933606295466</v>
      </c>
      <c r="Y112" s="26" t="n">
        <v>-0.122895105765913</v>
      </c>
      <c r="Z112" s="26" t="n">
        <v>-0.118818819191056</v>
      </c>
      <c r="AA112" s="26" t="n">
        <v>-0.14475997222679</v>
      </c>
      <c r="AB112" s="26" t="n">
        <v>-0.162173428036788</v>
      </c>
      <c r="AC112" s="27" t="n">
        <v>0.773198589344637</v>
      </c>
      <c r="AD112" s="28" t="n">
        <f aca="false">Params!$B$6*Params!$B$7*$R112</f>
        <v>84.140899458</v>
      </c>
      <c r="AE112" s="29" t="n">
        <f aca="false">MIN(Params!$B$9,AD112/Params!$B$4)</f>
        <v>0.06</v>
      </c>
      <c r="AF112" s="29" t="n">
        <f aca="false">MIN(Params!$B$9,AD112/Params!$B$5)</f>
        <v>0.06</v>
      </c>
      <c r="AG112" s="28" t="n">
        <f aca="false">IF($R112&gt;0,Params!$B$9*Params!$B$4/(Params!$B$6*$R112),"n/a")</f>
        <v>1.0696343939718</v>
      </c>
      <c r="AH112" s="28" t="n">
        <f aca="false">IF($R112&gt;0,Params!$B$9*Params!$B$5/(Params!$B$6*$R112),"n/a")</f>
        <v>2.1392687879436</v>
      </c>
      <c r="AI112" s="28" t="n">
        <f aca="false">IF($R112&gt;0,Params!$B$15*Params!$B$4/(Params!$B$6*$R112),"n/a")</f>
        <v>0.3565447979906</v>
      </c>
      <c r="AJ112" s="29" t="n">
        <f aca="false">MIN(Params!$B$9,AD112*Params!$B$8/Params!$B$4)</f>
        <v>0.06</v>
      </c>
      <c r="AK112" s="28" t="n">
        <f aca="false">IF($R112&gt;0,Params!$B$9*Params!$B$4/(Params!$B$6*$R112*Params!$B$8),"n/a")</f>
        <v>2.1392687879436</v>
      </c>
      <c r="AL112" s="27" t="str">
        <f aca="false">IFERROR(ciq($D112,"IQ_PE_EXCL"),"")</f>
        <v/>
      </c>
      <c r="AM112" s="27" t="str">
        <f aca="false">IFERROR(ciq($D112,"IQ_PE_EXCL_FWD_CIQ"),"")</f>
        <v/>
      </c>
      <c r="AN112" s="27" t="str">
        <f aca="false">IFERROR(ciq($D112,"IQ_PBV"),"")</f>
        <v/>
      </c>
      <c r="AO112" s="27" t="str">
        <f aca="false">IFERROR(ciq($D112,"IQ_TEV_EBITDA"),"")</f>
        <v/>
      </c>
      <c r="AP112" s="24" t="str">
        <f aca="false">IFERROR(ciq($D112,"IQ_RETURN_EQUITY"),"")</f>
        <v/>
      </c>
      <c r="AQ112" s="24" t="str">
        <f aca="false">IFERROR(ciq($D112,"IQ_RETURN_CAPITAL"),"")</f>
        <v/>
      </c>
      <c r="AR112" s="24" t="str">
        <f aca="false">IFERROR(ciq($D112,"IQ_TOTAL_REV_1YR_ANN_GROWTH"),"")</f>
        <v/>
      </c>
      <c r="AS112" s="24" t="str">
        <f aca="false">IFERROR(ciq($D112,"IQ_EPS_1YR_ANN_GROWTH"),"")</f>
        <v/>
      </c>
      <c r="AT112" s="24" t="str">
        <f aca="false">IFERROR(ciq($D112,"IQ_DIVIDEND_YIELD"),"")</f>
        <v/>
      </c>
      <c r="AU112" s="24" t="str">
        <f aca="false">IFERROR(ciq($D112,"IQ_NET_DEBT"),"")</f>
        <v/>
      </c>
    </row>
    <row r="113" customFormat="false" ht="15" hidden="false" customHeight="false" outlineLevel="0" collapsed="false">
      <c r="A113" s="8" t="s">
        <v>896</v>
      </c>
      <c r="B113" s="8" t="s">
        <v>897</v>
      </c>
      <c r="C113" s="8" t="s">
        <v>72</v>
      </c>
      <c r="D113" s="8" t="s">
        <v>898</v>
      </c>
      <c r="E113" s="8" t="s">
        <v>899</v>
      </c>
      <c r="F113" s="6" t="s">
        <v>900</v>
      </c>
      <c r="G113" s="8" t="s">
        <v>55</v>
      </c>
      <c r="H113" s="8" t="s">
        <v>66</v>
      </c>
      <c r="I113" s="8"/>
      <c r="J113" s="8"/>
      <c r="K113" s="8"/>
      <c r="L113" s="8"/>
      <c r="M113" s="23" t="n">
        <v>217000</v>
      </c>
      <c r="N113" s="23" t="n">
        <v>46750.52774</v>
      </c>
      <c r="O113" s="23" t="n">
        <v>49863.638919</v>
      </c>
      <c r="P113" s="24" t="n">
        <v>181.195828125</v>
      </c>
      <c r="Q113" s="24" t="n">
        <v>219.964853916667</v>
      </c>
      <c r="R113" s="24" t="n">
        <v>181.195828125</v>
      </c>
      <c r="S113" s="25" t="n">
        <v>0.00387580283869112</v>
      </c>
      <c r="T113" s="26" t="n">
        <v>0.500344087840846</v>
      </c>
      <c r="U113" s="23" t="n">
        <v>0</v>
      </c>
      <c r="V113" s="26" t="n">
        <v>-0.06</v>
      </c>
      <c r="W113" s="26" t="n">
        <v>-0.0764976708275482</v>
      </c>
      <c r="X113" s="26" t="n">
        <v>-0.179859577668744</v>
      </c>
      <c r="Y113" s="26" t="n">
        <v>0.0330770365053428</v>
      </c>
      <c r="Z113" s="26" t="n">
        <v>0.0766552435738575</v>
      </c>
      <c r="AA113" s="26" t="n">
        <v>0.0937426793678209</v>
      </c>
      <c r="AB113" s="26" t="n">
        <v>-0.358205200180294</v>
      </c>
      <c r="AC113" s="27" t="n">
        <v>0.587696605138677</v>
      </c>
      <c r="AD113" s="28" t="n">
        <f aca="false">Params!$B$6*Params!$B$7*$R113</f>
        <v>108.717496875</v>
      </c>
      <c r="AE113" s="29" t="n">
        <f aca="false">MIN(Params!$B$9,AD113/Params!$B$4)</f>
        <v>0.06</v>
      </c>
      <c r="AF113" s="29" t="n">
        <f aca="false">MIN(Params!$B$9,AD113/Params!$B$5)</f>
        <v>0.06</v>
      </c>
      <c r="AG113" s="28" t="n">
        <f aca="false">IF($R113&gt;0,Params!$B$9*Params!$B$4/(Params!$B$6*$R113),"n/a")</f>
        <v>0.827833629240739</v>
      </c>
      <c r="AH113" s="28" t="n">
        <f aca="false">IF($R113&gt;0,Params!$B$9*Params!$B$5/(Params!$B$6*$R113),"n/a")</f>
        <v>1.65566725848148</v>
      </c>
      <c r="AI113" s="28" t="n">
        <f aca="false">IF($R113&gt;0,Params!$B$15*Params!$B$4/(Params!$B$6*$R113),"n/a")</f>
        <v>0.275944543080247</v>
      </c>
      <c r="AJ113" s="29" t="n">
        <f aca="false">MIN(Params!$B$9,AD113*Params!$B$8/Params!$B$4)</f>
        <v>0.06</v>
      </c>
      <c r="AK113" s="28" t="n">
        <f aca="false">IF($R113&gt;0,Params!$B$9*Params!$B$4/(Params!$B$6*$R113*Params!$B$8),"n/a")</f>
        <v>1.65566725848148</v>
      </c>
      <c r="AL113" s="27" t="str">
        <f aca="false">IFERROR(ciq($D113,"IQ_PE_EXCL"),"")</f>
        <v/>
      </c>
      <c r="AM113" s="27" t="str">
        <f aca="false">IFERROR(ciq($D113,"IQ_PE_EXCL_FWD_CIQ"),"")</f>
        <v/>
      </c>
      <c r="AN113" s="27" t="str">
        <f aca="false">IFERROR(ciq($D113,"IQ_PBV"),"")</f>
        <v/>
      </c>
      <c r="AO113" s="27" t="str">
        <f aca="false">IFERROR(ciq($D113,"IQ_TEV_EBITDA"),"")</f>
        <v/>
      </c>
      <c r="AP113" s="24" t="str">
        <f aca="false">IFERROR(ciq($D113,"IQ_RETURN_EQUITY"),"")</f>
        <v/>
      </c>
      <c r="AQ113" s="24" t="str">
        <f aca="false">IFERROR(ciq($D113,"IQ_RETURN_CAPITAL"),"")</f>
        <v/>
      </c>
      <c r="AR113" s="24" t="str">
        <f aca="false">IFERROR(ciq($D113,"IQ_TOTAL_REV_1YR_ANN_GROWTH"),"")</f>
        <v/>
      </c>
      <c r="AS113" s="24" t="str">
        <f aca="false">IFERROR(ciq($D113,"IQ_EPS_1YR_ANN_GROWTH"),"")</f>
        <v/>
      </c>
      <c r="AT113" s="24" t="str">
        <f aca="false">IFERROR(ciq($D113,"IQ_DIVIDEND_YIELD"),"")</f>
        <v/>
      </c>
      <c r="AU113" s="24" t="str">
        <f aca="false">IFERROR(ciq($D113,"IQ_NET_DEBT"),"")</f>
        <v/>
      </c>
    </row>
    <row r="114" customFormat="false" ht="15" hidden="false" customHeight="false" outlineLevel="0" collapsed="false">
      <c r="A114" s="8" t="s">
        <v>901</v>
      </c>
      <c r="B114" s="6" t="s">
        <v>902</v>
      </c>
      <c r="C114" s="8" t="s">
        <v>72</v>
      </c>
      <c r="D114" s="8" t="s">
        <v>903</v>
      </c>
      <c r="E114" s="8" t="s">
        <v>904</v>
      </c>
      <c r="F114" s="6" t="s">
        <v>539</v>
      </c>
      <c r="G114" s="8" t="s">
        <v>55</v>
      </c>
      <c r="H114" s="8" t="s">
        <v>66</v>
      </c>
      <c r="I114" s="8"/>
      <c r="J114" s="8"/>
      <c r="K114" s="8"/>
      <c r="L114" s="8"/>
      <c r="M114" s="23" t="n">
        <v>53500</v>
      </c>
      <c r="N114" s="23" t="n">
        <v>45607.81375</v>
      </c>
      <c r="O114" s="23" t="n">
        <v>40735.8762625</v>
      </c>
      <c r="P114" s="24" t="n">
        <v>310.448038725</v>
      </c>
      <c r="Q114" s="24" t="n">
        <v>235.944914642833</v>
      </c>
      <c r="R114" s="24" t="n">
        <v>235.944914642833</v>
      </c>
      <c r="S114" s="25" t="n">
        <v>0.00680690463320005</v>
      </c>
      <c r="T114" s="26" t="n">
        <v>0.552879190408213</v>
      </c>
      <c r="U114" s="23" t="n">
        <v>0</v>
      </c>
      <c r="V114" s="26" t="n">
        <v>-0.06</v>
      </c>
      <c r="W114" s="26" t="n">
        <v>0.457875443383287</v>
      </c>
      <c r="X114" s="26" t="n">
        <v>0.450138889796843</v>
      </c>
      <c r="Y114" s="26" t="n">
        <v>0.749012582080191</v>
      </c>
      <c r="Z114" s="26" t="n">
        <v>0.737425354475007</v>
      </c>
      <c r="AA114" s="26" t="n">
        <v>0.950622022297329</v>
      </c>
      <c r="AB114" s="26" t="n">
        <v>0</v>
      </c>
      <c r="AC114" s="27" t="n">
        <v>1.44613594300264</v>
      </c>
      <c r="AD114" s="28" t="n">
        <f aca="false">Params!$B$6*Params!$B$7*$R114</f>
        <v>141.5669487857</v>
      </c>
      <c r="AE114" s="29" t="n">
        <f aca="false">MIN(Params!$B$9,AD114/Params!$B$4)</f>
        <v>0.06</v>
      </c>
      <c r="AF114" s="29" t="n">
        <f aca="false">MIN(Params!$B$9,AD114/Params!$B$5)</f>
        <v>0.06</v>
      </c>
      <c r="AG114" s="28" t="n">
        <f aca="false">IF($R114&gt;0,Params!$B$9*Params!$B$4/(Params!$B$6*$R114),"n/a")</f>
        <v>0.635741610396926</v>
      </c>
      <c r="AH114" s="28" t="n">
        <f aca="false">IF($R114&gt;0,Params!$B$9*Params!$B$5/(Params!$B$6*$R114),"n/a")</f>
        <v>1.27148322079385</v>
      </c>
      <c r="AI114" s="28" t="n">
        <f aca="false">IF($R114&gt;0,Params!$B$15*Params!$B$4/(Params!$B$6*$R114),"n/a")</f>
        <v>0.211913870132309</v>
      </c>
      <c r="AJ114" s="29" t="n">
        <f aca="false">MIN(Params!$B$9,AD114*Params!$B$8/Params!$B$4)</f>
        <v>0.06</v>
      </c>
      <c r="AK114" s="28" t="n">
        <f aca="false">IF($R114&gt;0,Params!$B$9*Params!$B$4/(Params!$B$6*$R114*Params!$B$8),"n/a")</f>
        <v>1.27148322079385</v>
      </c>
      <c r="AL114" s="27" t="str">
        <f aca="false">IFERROR(ciq($D114,"IQ_PE_EXCL"),"")</f>
        <v/>
      </c>
      <c r="AM114" s="27" t="str">
        <f aca="false">IFERROR(ciq($D114,"IQ_PE_EXCL_FWD_CIQ"),"")</f>
        <v/>
      </c>
      <c r="AN114" s="27" t="str">
        <f aca="false">IFERROR(ciq($D114,"IQ_PBV"),"")</f>
        <v/>
      </c>
      <c r="AO114" s="27" t="str">
        <f aca="false">IFERROR(ciq($D114,"IQ_TEV_EBITDA"),"")</f>
        <v/>
      </c>
      <c r="AP114" s="24" t="str">
        <f aca="false">IFERROR(ciq($D114,"IQ_RETURN_EQUITY"),"")</f>
        <v/>
      </c>
      <c r="AQ114" s="24" t="str">
        <f aca="false">IFERROR(ciq($D114,"IQ_RETURN_CAPITAL"),"")</f>
        <v/>
      </c>
      <c r="AR114" s="24" t="str">
        <f aca="false">IFERROR(ciq($D114,"IQ_TOTAL_REV_1YR_ANN_GROWTH"),"")</f>
        <v/>
      </c>
      <c r="AS114" s="24" t="str">
        <f aca="false">IFERROR(ciq($D114,"IQ_EPS_1YR_ANN_GROWTH"),"")</f>
        <v/>
      </c>
      <c r="AT114" s="24" t="str">
        <f aca="false">IFERROR(ciq($D114,"IQ_DIVIDEND_YIELD"),"")</f>
        <v/>
      </c>
      <c r="AU114" s="24" t="str">
        <f aca="false">IFERROR(ciq($D114,"IQ_NET_DEBT"),"")</f>
        <v/>
      </c>
    </row>
    <row r="115" customFormat="false" ht="15" hidden="false" customHeight="false" outlineLevel="0" collapsed="false">
      <c r="A115" s="8" t="s">
        <v>905</v>
      </c>
      <c r="B115" s="8" t="s">
        <v>906</v>
      </c>
      <c r="C115" s="8" t="s">
        <v>72</v>
      </c>
      <c r="D115" s="8" t="s">
        <v>907</v>
      </c>
      <c r="E115" s="8" t="s">
        <v>908</v>
      </c>
      <c r="F115" s="6" t="s">
        <v>523</v>
      </c>
      <c r="G115" s="8" t="s">
        <v>55</v>
      </c>
      <c r="H115" s="8" t="s">
        <v>66</v>
      </c>
      <c r="I115" s="8"/>
      <c r="J115" s="8"/>
      <c r="K115" s="8"/>
      <c r="L115" s="8"/>
      <c r="M115" s="23" t="n">
        <v>9040</v>
      </c>
      <c r="N115" s="23" t="n">
        <v>45200</v>
      </c>
      <c r="O115" s="23" t="n">
        <v>48157.5</v>
      </c>
      <c r="P115" s="24" t="n">
        <v>486.43388934</v>
      </c>
      <c r="Q115" s="24" t="n">
        <v>537.830848174167</v>
      </c>
      <c r="R115" s="24" t="n">
        <v>486.43388934</v>
      </c>
      <c r="S115" s="25" t="n">
        <v>0.010761811711062</v>
      </c>
      <c r="T115" s="26" t="n">
        <v>0.54531402540654</v>
      </c>
      <c r="U115" s="23" t="n">
        <v>0</v>
      </c>
      <c r="V115" s="26" t="n">
        <v>-0.06</v>
      </c>
      <c r="W115" s="26" t="n">
        <v>-0.0774501068482217</v>
      </c>
      <c r="X115" s="26" t="n">
        <v>-0.352923435870779</v>
      </c>
      <c r="Y115" s="26" t="n">
        <v>-0.249880525457889</v>
      </c>
      <c r="Z115" s="26" t="n">
        <v>-0.234640889470807</v>
      </c>
      <c r="AA115" s="26" t="n">
        <v>-0.224639555570647</v>
      </c>
      <c r="AB115" s="26" t="n">
        <v>-0.458429251548725</v>
      </c>
      <c r="AC115" s="27" t="n">
        <v>0.455767137508788</v>
      </c>
      <c r="AD115" s="28" t="n">
        <f aca="false">Params!$B$6*Params!$B$7*$R115</f>
        <v>291.860333604</v>
      </c>
      <c r="AE115" s="29" t="n">
        <f aca="false">MIN(Params!$B$9,AD115/Params!$B$4)</f>
        <v>0.06</v>
      </c>
      <c r="AF115" s="29" t="n">
        <f aca="false">MIN(Params!$B$9,AD115/Params!$B$5)</f>
        <v>0.06</v>
      </c>
      <c r="AG115" s="28" t="n">
        <f aca="false">IF($R115&gt;0,Params!$B$9*Params!$B$4/(Params!$B$6*$R115),"n/a")</f>
        <v>0.308366672814515</v>
      </c>
      <c r="AH115" s="28" t="n">
        <f aca="false">IF($R115&gt;0,Params!$B$9*Params!$B$5/(Params!$B$6*$R115),"n/a")</f>
        <v>0.616733345629031</v>
      </c>
      <c r="AI115" s="28" t="n">
        <f aca="false">IF($R115&gt;0,Params!$B$15*Params!$B$4/(Params!$B$6*$R115),"n/a")</f>
        <v>0.102788890938172</v>
      </c>
      <c r="AJ115" s="29" t="n">
        <f aca="false">MIN(Params!$B$9,AD115*Params!$B$8/Params!$B$4)</f>
        <v>0.06</v>
      </c>
      <c r="AK115" s="28" t="n">
        <f aca="false">IF($R115&gt;0,Params!$B$9*Params!$B$4/(Params!$B$6*$R115*Params!$B$8),"n/a")</f>
        <v>0.616733345629031</v>
      </c>
      <c r="AL115" s="27" t="str">
        <f aca="false">IFERROR(ciq($D115,"IQ_PE_EXCL"),"")</f>
        <v/>
      </c>
      <c r="AM115" s="27" t="str">
        <f aca="false">IFERROR(ciq($D115,"IQ_PE_EXCL_FWD_CIQ"),"")</f>
        <v/>
      </c>
      <c r="AN115" s="27" t="str">
        <f aca="false">IFERROR(ciq($D115,"IQ_PBV"),"")</f>
        <v/>
      </c>
      <c r="AO115" s="27" t="str">
        <f aca="false">IFERROR(ciq($D115,"IQ_TEV_EBITDA"),"")</f>
        <v/>
      </c>
      <c r="AP115" s="24" t="str">
        <f aca="false">IFERROR(ciq($D115,"IQ_RETURN_EQUITY"),"")</f>
        <v/>
      </c>
      <c r="AQ115" s="24" t="str">
        <f aca="false">IFERROR(ciq($D115,"IQ_RETURN_CAPITAL"),"")</f>
        <v/>
      </c>
      <c r="AR115" s="24" t="str">
        <f aca="false">IFERROR(ciq($D115,"IQ_TOTAL_REV_1YR_ANN_GROWTH"),"")</f>
        <v/>
      </c>
      <c r="AS115" s="24" t="str">
        <f aca="false">IFERROR(ciq($D115,"IQ_EPS_1YR_ANN_GROWTH"),"")</f>
        <v/>
      </c>
      <c r="AT115" s="24" t="str">
        <f aca="false">IFERROR(ciq($D115,"IQ_DIVIDEND_YIELD"),"")</f>
        <v/>
      </c>
      <c r="AU115" s="24" t="str">
        <f aca="false">IFERROR(ciq($D115,"IQ_NET_DEBT"),"")</f>
        <v/>
      </c>
    </row>
    <row r="116" customFormat="false" ht="15" hidden="false" customHeight="false" outlineLevel="0" collapsed="false">
      <c r="A116" s="8" t="s">
        <v>909</v>
      </c>
      <c r="B116" s="6" t="s">
        <v>910</v>
      </c>
      <c r="C116" s="8" t="s">
        <v>74</v>
      </c>
      <c r="D116" s="8" t="s">
        <v>911</v>
      </c>
      <c r="E116" s="8" t="s">
        <v>912</v>
      </c>
      <c r="F116" s="6" t="s">
        <v>523</v>
      </c>
      <c r="G116" s="8" t="s">
        <v>55</v>
      </c>
      <c r="H116" s="8" t="s">
        <v>66</v>
      </c>
      <c r="I116" s="8"/>
      <c r="J116" s="8"/>
      <c r="K116" s="8"/>
      <c r="L116" s="8" t="s">
        <v>514</v>
      </c>
      <c r="M116" s="23" t="n">
        <v>117500</v>
      </c>
      <c r="N116" s="23" t="n">
        <v>44619.7179</v>
      </c>
      <c r="O116" s="23" t="n">
        <v>42925.31929845</v>
      </c>
      <c r="P116" s="24" t="n">
        <v>1118.90030225</v>
      </c>
      <c r="Q116" s="24" t="n">
        <v>1021.844128175</v>
      </c>
      <c r="R116" s="24" t="n">
        <v>1021.844128175</v>
      </c>
      <c r="S116" s="25" t="n">
        <v>0.0250763643274849</v>
      </c>
      <c r="T116" s="26" t="n">
        <v>1.43963168919775</v>
      </c>
      <c r="U116" s="23" t="n">
        <v>2</v>
      </c>
      <c r="V116" s="26" t="n">
        <v>-0.04</v>
      </c>
      <c r="W116" s="26" t="n">
        <v>0.140560509463387</v>
      </c>
      <c r="X116" s="26" t="n">
        <v>0.020725041683735</v>
      </c>
      <c r="Y116" s="26" t="n">
        <v>1.20471377507599</v>
      </c>
      <c r="Z116" s="26" t="n">
        <v>1.38110191225565</v>
      </c>
      <c r="AA116" s="26" t="n">
        <v>3.79431356575392</v>
      </c>
      <c r="AB116" s="26" t="n">
        <v>-0.253108299986206</v>
      </c>
      <c r="AC116" s="27" t="n">
        <v>1.25458643832816</v>
      </c>
      <c r="AD116" s="28" t="n">
        <f aca="false">Params!$B$6*Params!$B$7*$R116</f>
        <v>613.106476905</v>
      </c>
      <c r="AE116" s="29" t="n">
        <f aca="false">MIN(Params!$B$9,AD116/Params!$B$4)</f>
        <v>0.06</v>
      </c>
      <c r="AF116" s="29" t="n">
        <f aca="false">MIN(Params!$B$9,AD116/Params!$B$5)</f>
        <v>0.06</v>
      </c>
      <c r="AG116" s="28" t="n">
        <f aca="false">IF($R116&gt;0,Params!$B$9*Params!$B$4/(Params!$B$6*$R116),"n/a")</f>
        <v>0.146793425596033</v>
      </c>
      <c r="AH116" s="28" t="n">
        <f aca="false">IF($R116&gt;0,Params!$B$9*Params!$B$5/(Params!$B$6*$R116),"n/a")</f>
        <v>0.293586851192066</v>
      </c>
      <c r="AI116" s="28" t="n">
        <f aca="false">IF($R116&gt;0,Params!$B$15*Params!$B$4/(Params!$B$6*$R116),"n/a")</f>
        <v>0.0489311418653443</v>
      </c>
      <c r="AJ116" s="29" t="n">
        <f aca="false">MIN(Params!$B$9,AD116*Params!$B$8/Params!$B$4)</f>
        <v>0.06</v>
      </c>
      <c r="AK116" s="28" t="n">
        <f aca="false">IF($R116&gt;0,Params!$B$9*Params!$B$4/(Params!$B$6*$R116*Params!$B$8),"n/a")</f>
        <v>0.293586851192066</v>
      </c>
      <c r="AL116" s="27" t="str">
        <f aca="false">IFERROR(ciq($D116,"IQ_PE_EXCL"),"")</f>
        <v/>
      </c>
      <c r="AM116" s="27" t="str">
        <f aca="false">IFERROR(ciq($D116,"IQ_PE_EXCL_FWD_CIQ"),"")</f>
        <v/>
      </c>
      <c r="AN116" s="27" t="str">
        <f aca="false">IFERROR(ciq($D116,"IQ_PBV"),"")</f>
        <v/>
      </c>
      <c r="AO116" s="27" t="str">
        <f aca="false">IFERROR(ciq($D116,"IQ_TEV_EBITDA"),"")</f>
        <v/>
      </c>
      <c r="AP116" s="24" t="str">
        <f aca="false">IFERROR(ciq($D116,"IQ_RETURN_EQUITY"),"")</f>
        <v/>
      </c>
      <c r="AQ116" s="24" t="str">
        <f aca="false">IFERROR(ciq($D116,"IQ_RETURN_CAPITAL"),"")</f>
        <v/>
      </c>
      <c r="AR116" s="24" t="str">
        <f aca="false">IFERROR(ciq($D116,"IQ_TOTAL_REV_1YR_ANN_GROWTH"),"")</f>
        <v/>
      </c>
      <c r="AS116" s="24" t="str">
        <f aca="false">IFERROR(ciq($D116,"IQ_EPS_1YR_ANN_GROWTH"),"")</f>
        <v/>
      </c>
      <c r="AT116" s="24" t="str">
        <f aca="false">IFERROR(ciq($D116,"IQ_DIVIDEND_YIELD"),"")</f>
        <v/>
      </c>
      <c r="AU116" s="24" t="str">
        <f aca="false">IFERROR(ciq($D116,"IQ_NET_DEBT"),"")</f>
        <v/>
      </c>
    </row>
    <row r="117" customFormat="false" ht="15" hidden="false" customHeight="false" outlineLevel="0" collapsed="false">
      <c r="A117" s="8" t="s">
        <v>913</v>
      </c>
      <c r="B117" s="8" t="s">
        <v>914</v>
      </c>
      <c r="C117" s="8" t="s">
        <v>73</v>
      </c>
      <c r="D117" s="8" t="s">
        <v>915</v>
      </c>
      <c r="E117" s="8" t="s">
        <v>916</v>
      </c>
      <c r="F117" s="6" t="s">
        <v>592</v>
      </c>
      <c r="G117" s="8" t="s">
        <v>55</v>
      </c>
      <c r="H117" s="8" t="s">
        <v>66</v>
      </c>
      <c r="I117" s="8"/>
      <c r="J117" s="8"/>
      <c r="K117" s="8"/>
      <c r="L117" s="8" t="s">
        <v>115</v>
      </c>
      <c r="M117" s="23" t="n">
        <v>32800</v>
      </c>
      <c r="N117" s="23" t="n">
        <v>43689.017144</v>
      </c>
      <c r="O117" s="23" t="n">
        <v>51038.229098025</v>
      </c>
      <c r="P117" s="24" t="n">
        <v>557.07390795</v>
      </c>
      <c r="Q117" s="24" t="n">
        <v>481.820462504167</v>
      </c>
      <c r="R117" s="24" t="n">
        <v>481.820462504167</v>
      </c>
      <c r="S117" s="25" t="n">
        <v>0.0127508912849623</v>
      </c>
      <c r="T117" s="26" t="n">
        <v>1.27138264731681</v>
      </c>
      <c r="U117" s="23" t="n">
        <v>3</v>
      </c>
      <c r="V117" s="26" t="n">
        <v>-0.04</v>
      </c>
      <c r="W117" s="26" t="n">
        <v>-0.0600832398329928</v>
      </c>
      <c r="X117" s="26" t="n">
        <v>-0.326520680694471</v>
      </c>
      <c r="Y117" s="26" t="n">
        <v>-0.325194981491816</v>
      </c>
      <c r="Z117" s="26" t="n">
        <v>-0.354423327548968</v>
      </c>
      <c r="AA117" s="26" t="n">
        <v>-0.114247649524192</v>
      </c>
      <c r="AB117" s="26" t="n">
        <v>-0.519122818589406</v>
      </c>
      <c r="AC117" s="27" t="n">
        <v>1.25252113265925</v>
      </c>
      <c r="AD117" s="28" t="n">
        <f aca="false">Params!$B$6*Params!$B$7*$R117</f>
        <v>289.0922775025</v>
      </c>
      <c r="AE117" s="29" t="n">
        <f aca="false">MIN(Params!$B$9,AD117/Params!$B$4)</f>
        <v>0.06</v>
      </c>
      <c r="AF117" s="29" t="n">
        <f aca="false">MIN(Params!$B$9,AD117/Params!$B$5)</f>
        <v>0.06</v>
      </c>
      <c r="AG117" s="28" t="n">
        <f aca="false">IF($R117&gt;0,Params!$B$9*Params!$B$4/(Params!$B$6*$R117),"n/a")</f>
        <v>0.311319281087409</v>
      </c>
      <c r="AH117" s="28" t="n">
        <f aca="false">IF($R117&gt;0,Params!$B$9*Params!$B$5/(Params!$B$6*$R117),"n/a")</f>
        <v>0.622638562174818</v>
      </c>
      <c r="AI117" s="28" t="n">
        <f aca="false">IF($R117&gt;0,Params!$B$15*Params!$B$4/(Params!$B$6*$R117),"n/a")</f>
        <v>0.103773093695803</v>
      </c>
      <c r="AJ117" s="29" t="n">
        <f aca="false">MIN(Params!$B$9,AD117*Params!$B$8/Params!$B$4)</f>
        <v>0.06</v>
      </c>
      <c r="AK117" s="28" t="n">
        <f aca="false">IF($R117&gt;0,Params!$B$9*Params!$B$4/(Params!$B$6*$R117*Params!$B$8),"n/a")</f>
        <v>0.622638562174818</v>
      </c>
      <c r="AL117" s="27" t="str">
        <f aca="false">IFERROR(ciq($D117,"IQ_PE_EXCL"),"")</f>
        <v/>
      </c>
      <c r="AM117" s="27" t="str">
        <f aca="false">IFERROR(ciq($D117,"IQ_PE_EXCL_FWD_CIQ"),"")</f>
        <v/>
      </c>
      <c r="AN117" s="27" t="str">
        <f aca="false">IFERROR(ciq($D117,"IQ_PBV"),"")</f>
        <v/>
      </c>
      <c r="AO117" s="27" t="str">
        <f aca="false">IFERROR(ciq($D117,"IQ_TEV_EBITDA"),"")</f>
        <v/>
      </c>
      <c r="AP117" s="24" t="str">
        <f aca="false">IFERROR(ciq($D117,"IQ_RETURN_EQUITY"),"")</f>
        <v/>
      </c>
      <c r="AQ117" s="24" t="str">
        <f aca="false">IFERROR(ciq($D117,"IQ_RETURN_CAPITAL"),"")</f>
        <v/>
      </c>
      <c r="AR117" s="24" t="str">
        <f aca="false">IFERROR(ciq($D117,"IQ_TOTAL_REV_1YR_ANN_GROWTH"),"")</f>
        <v/>
      </c>
      <c r="AS117" s="24" t="str">
        <f aca="false">IFERROR(ciq($D117,"IQ_EPS_1YR_ANN_GROWTH"),"")</f>
        <v/>
      </c>
      <c r="AT117" s="24" t="str">
        <f aca="false">IFERROR(ciq($D117,"IQ_DIVIDEND_YIELD"),"")</f>
        <v/>
      </c>
      <c r="AU117" s="24" t="str">
        <f aca="false">IFERROR(ciq($D117,"IQ_NET_DEBT"),"")</f>
        <v/>
      </c>
    </row>
    <row r="118" customFormat="false" ht="15" hidden="false" customHeight="false" outlineLevel="0" collapsed="false">
      <c r="A118" s="8" t="s">
        <v>917</v>
      </c>
      <c r="B118" s="8" t="s">
        <v>918</v>
      </c>
      <c r="C118" s="8" t="s">
        <v>72</v>
      </c>
      <c r="D118" s="8" t="s">
        <v>919</v>
      </c>
      <c r="E118" s="8" t="s">
        <v>920</v>
      </c>
      <c r="F118" s="6" t="s">
        <v>721</v>
      </c>
      <c r="G118" s="8" t="s">
        <v>55</v>
      </c>
      <c r="H118" s="8" t="s">
        <v>66</v>
      </c>
      <c r="I118" s="8"/>
      <c r="J118" s="8"/>
      <c r="K118" s="8"/>
      <c r="L118" s="8"/>
      <c r="M118" s="23" t="n">
        <v>291500</v>
      </c>
      <c r="N118" s="23" t="n">
        <v>43653.649545</v>
      </c>
      <c r="O118" s="23" t="n">
        <v>46480.27951125</v>
      </c>
      <c r="P118" s="24" t="n">
        <v>303.2608285465</v>
      </c>
      <c r="Q118" s="24" t="n">
        <v>231.9849801405</v>
      </c>
      <c r="R118" s="24" t="n">
        <v>231.9849801405</v>
      </c>
      <c r="S118" s="25" t="n">
        <v>0.00694697537794374</v>
      </c>
      <c r="T118" s="26" t="n">
        <v>0.53388567239292</v>
      </c>
      <c r="U118" s="23" t="n">
        <v>0</v>
      </c>
      <c r="V118" s="26" t="n">
        <v>-0.06</v>
      </c>
      <c r="W118" s="26" t="n">
        <v>-0.00332150484803617</v>
      </c>
      <c r="X118" s="26" t="n">
        <v>0.20477478198149</v>
      </c>
      <c r="Y118" s="26" t="n">
        <v>0.175499825377421</v>
      </c>
      <c r="Z118" s="26" t="n">
        <v>0.12754248425255</v>
      </c>
      <c r="AA118" s="26" t="n">
        <v>-0.0222024452400819</v>
      </c>
      <c r="AB118" s="26" t="n">
        <v>-0.125839941135786</v>
      </c>
      <c r="AC118" s="27" t="n">
        <v>1.50986282242457</v>
      </c>
      <c r="AD118" s="28" t="n">
        <f aca="false">Params!$B$6*Params!$B$7*$R118</f>
        <v>139.1909880843</v>
      </c>
      <c r="AE118" s="29" t="n">
        <f aca="false">MIN(Params!$B$9,AD118/Params!$B$4)</f>
        <v>0.06</v>
      </c>
      <c r="AF118" s="29" t="n">
        <f aca="false">MIN(Params!$B$9,AD118/Params!$B$5)</f>
        <v>0.06</v>
      </c>
      <c r="AG118" s="28" t="n">
        <f aca="false">IF($R118&gt;0,Params!$B$9*Params!$B$4/(Params!$B$6*$R118),"n/a")</f>
        <v>0.646593585106905</v>
      </c>
      <c r="AH118" s="28" t="n">
        <f aca="false">IF($R118&gt;0,Params!$B$9*Params!$B$5/(Params!$B$6*$R118),"n/a")</f>
        <v>1.29318717021381</v>
      </c>
      <c r="AI118" s="28" t="n">
        <f aca="false">IF($R118&gt;0,Params!$B$15*Params!$B$4/(Params!$B$6*$R118),"n/a")</f>
        <v>0.215531195035635</v>
      </c>
      <c r="AJ118" s="29" t="n">
        <f aca="false">MIN(Params!$B$9,AD118*Params!$B$8/Params!$B$4)</f>
        <v>0.06</v>
      </c>
      <c r="AK118" s="28" t="n">
        <f aca="false">IF($R118&gt;0,Params!$B$9*Params!$B$4/(Params!$B$6*$R118*Params!$B$8),"n/a")</f>
        <v>1.29318717021381</v>
      </c>
      <c r="AL118" s="27" t="str">
        <f aca="false">IFERROR(ciq($D118,"IQ_PE_EXCL"),"")</f>
        <v/>
      </c>
      <c r="AM118" s="27" t="str">
        <f aca="false">IFERROR(ciq($D118,"IQ_PE_EXCL_FWD_CIQ"),"")</f>
        <v/>
      </c>
      <c r="AN118" s="27" t="str">
        <f aca="false">IFERROR(ciq($D118,"IQ_PBV"),"")</f>
        <v/>
      </c>
      <c r="AO118" s="27" t="str">
        <f aca="false">IFERROR(ciq($D118,"IQ_TEV_EBITDA"),"")</f>
        <v/>
      </c>
      <c r="AP118" s="24" t="str">
        <f aca="false">IFERROR(ciq($D118,"IQ_RETURN_EQUITY"),"")</f>
        <v/>
      </c>
      <c r="AQ118" s="24" t="str">
        <f aca="false">IFERROR(ciq($D118,"IQ_RETURN_CAPITAL"),"")</f>
        <v/>
      </c>
      <c r="AR118" s="24" t="str">
        <f aca="false">IFERROR(ciq($D118,"IQ_TOTAL_REV_1YR_ANN_GROWTH"),"")</f>
        <v/>
      </c>
      <c r="AS118" s="24" t="str">
        <f aca="false">IFERROR(ciq($D118,"IQ_EPS_1YR_ANN_GROWTH"),"")</f>
        <v/>
      </c>
      <c r="AT118" s="24" t="str">
        <f aca="false">IFERROR(ciq($D118,"IQ_DIVIDEND_YIELD"),"")</f>
        <v/>
      </c>
      <c r="AU118" s="24" t="str">
        <f aca="false">IFERROR(ciq($D118,"IQ_NET_DEBT"),"")</f>
        <v/>
      </c>
    </row>
    <row r="119" customFormat="false" ht="15" hidden="false" customHeight="false" outlineLevel="0" collapsed="false">
      <c r="A119" s="8" t="s">
        <v>347</v>
      </c>
      <c r="B119" s="6" t="s">
        <v>348</v>
      </c>
      <c r="C119" s="8" t="s">
        <v>72</v>
      </c>
      <c r="D119" s="8" t="s">
        <v>921</v>
      </c>
      <c r="E119" s="8" t="s">
        <v>922</v>
      </c>
      <c r="F119" s="8"/>
      <c r="G119" s="8" t="s">
        <v>55</v>
      </c>
      <c r="H119" s="8" t="s">
        <v>66</v>
      </c>
      <c r="I119" s="8" t="s">
        <v>508</v>
      </c>
      <c r="J119" s="8"/>
      <c r="K119" s="8"/>
      <c r="L119" s="6" t="s">
        <v>109</v>
      </c>
      <c r="M119" s="23" t="n">
        <v>184800</v>
      </c>
      <c r="N119" s="23" t="n">
        <v>43134.09408</v>
      </c>
      <c r="O119" s="23" t="n">
        <v>45994.528728</v>
      </c>
      <c r="P119" s="24" t="n">
        <v>139.061386335</v>
      </c>
      <c r="Q119" s="24" t="n">
        <v>190.222795745833</v>
      </c>
      <c r="R119" s="24" t="n">
        <v>139.061386335</v>
      </c>
      <c r="S119" s="25" t="n">
        <v>0.00322393200323358</v>
      </c>
      <c r="T119" s="26" t="n">
        <v>0.5420780990389</v>
      </c>
      <c r="U119" s="23" t="n">
        <v>0</v>
      </c>
      <c r="V119" s="26" t="n">
        <v>-0.06</v>
      </c>
      <c r="W119" s="26" t="n">
        <v>-0.08962640330794</v>
      </c>
      <c r="X119" s="26" t="n">
        <v>-0.249954404762412</v>
      </c>
      <c r="Y119" s="26" t="n">
        <v>-0.307437147767496</v>
      </c>
      <c r="Z119" s="26" t="n">
        <v>-0.102271012656487</v>
      </c>
      <c r="AA119" s="26" t="n">
        <v>0.111990186130695</v>
      </c>
      <c r="AB119" s="26" t="n">
        <v>-0.424788411994818</v>
      </c>
      <c r="AC119" s="27" t="n">
        <v>0.494119496741444</v>
      </c>
      <c r="AD119" s="28" t="n">
        <f aca="false">Params!$B$6*Params!$B$7*$R119</f>
        <v>83.436831801</v>
      </c>
      <c r="AE119" s="29" t="n">
        <f aca="false">MIN(Params!$B$9,AD119/Params!$B$4)</f>
        <v>0.06</v>
      </c>
      <c r="AF119" s="29" t="n">
        <f aca="false">MIN(Params!$B$9,AD119/Params!$B$5)</f>
        <v>0.06</v>
      </c>
      <c r="AG119" s="28" t="n">
        <f aca="false">IF($R119&gt;0,Params!$B$9*Params!$B$4/(Params!$B$6*$R119),"n/a")</f>
        <v>1.07866032371236</v>
      </c>
      <c r="AH119" s="28" t="n">
        <f aca="false">IF($R119&gt;0,Params!$B$9*Params!$B$5/(Params!$B$6*$R119),"n/a")</f>
        <v>2.15732064742471</v>
      </c>
      <c r="AI119" s="28" t="n">
        <f aca="false">IF($R119&gt;0,Params!$B$15*Params!$B$4/(Params!$B$6*$R119),"n/a")</f>
        <v>0.359553441237452</v>
      </c>
      <c r="AJ119" s="29" t="n">
        <f aca="false">MIN(Params!$B$9,AD119*Params!$B$8/Params!$B$4)</f>
        <v>0.06</v>
      </c>
      <c r="AK119" s="28" t="n">
        <f aca="false">IF($R119&gt;0,Params!$B$9*Params!$B$4/(Params!$B$6*$R119*Params!$B$8),"n/a")</f>
        <v>2.15732064742471</v>
      </c>
      <c r="AL119" s="27" t="str">
        <f aca="false">IFERROR(ciq($D119,"IQ_PE_EXCL"),"")</f>
        <v/>
      </c>
      <c r="AM119" s="27" t="str">
        <f aca="false">IFERROR(ciq($D119,"IQ_PE_EXCL_FWD_CIQ"),"")</f>
        <v/>
      </c>
      <c r="AN119" s="27" t="str">
        <f aca="false">IFERROR(ciq($D119,"IQ_PBV"),"")</f>
        <v/>
      </c>
      <c r="AO119" s="27" t="str">
        <f aca="false">IFERROR(ciq($D119,"IQ_TEV_EBITDA"),"")</f>
        <v/>
      </c>
      <c r="AP119" s="24" t="str">
        <f aca="false">IFERROR(ciq($D119,"IQ_RETURN_EQUITY"),"")</f>
        <v/>
      </c>
      <c r="AQ119" s="24" t="str">
        <f aca="false">IFERROR(ciq($D119,"IQ_RETURN_CAPITAL"),"")</f>
        <v/>
      </c>
      <c r="AR119" s="24" t="str">
        <f aca="false">IFERROR(ciq($D119,"IQ_TOTAL_REV_1YR_ANN_GROWTH"),"")</f>
        <v/>
      </c>
      <c r="AS119" s="24" t="str">
        <f aca="false">IFERROR(ciq($D119,"IQ_EPS_1YR_ANN_GROWTH"),"")</f>
        <v/>
      </c>
      <c r="AT119" s="24" t="str">
        <f aca="false">IFERROR(ciq($D119,"IQ_DIVIDEND_YIELD"),"")</f>
        <v/>
      </c>
      <c r="AU119" s="24" t="str">
        <f aca="false">IFERROR(ciq($D119,"IQ_NET_DEBT"),"")</f>
        <v/>
      </c>
    </row>
    <row r="120" customFormat="false" ht="15" hidden="false" customHeight="false" outlineLevel="0" collapsed="false">
      <c r="A120" s="8" t="s">
        <v>265</v>
      </c>
      <c r="B120" s="6" t="s">
        <v>266</v>
      </c>
      <c r="C120" s="8" t="s">
        <v>72</v>
      </c>
      <c r="D120" s="8" t="s">
        <v>923</v>
      </c>
      <c r="E120" s="8" t="s">
        <v>924</v>
      </c>
      <c r="F120" s="8"/>
      <c r="G120" s="8" t="s">
        <v>55</v>
      </c>
      <c r="H120" s="8" t="s">
        <v>66</v>
      </c>
      <c r="I120" s="8" t="s">
        <v>508</v>
      </c>
      <c r="J120" s="6" t="s">
        <v>253</v>
      </c>
      <c r="K120" s="6" t="s">
        <v>267</v>
      </c>
      <c r="L120" s="8" t="s">
        <v>241</v>
      </c>
      <c r="M120" s="23" t="n">
        <v>66200</v>
      </c>
      <c r="N120" s="23" t="n">
        <v>42910.82676</v>
      </c>
      <c r="O120" s="23" t="n">
        <v>46715.759586</v>
      </c>
      <c r="P120" s="24" t="n">
        <v>287.038862525</v>
      </c>
      <c r="Q120" s="24" t="n">
        <v>494.667102508333</v>
      </c>
      <c r="R120" s="24" t="n">
        <v>287.038862525</v>
      </c>
      <c r="S120" s="25" t="n">
        <v>0.00668919441078138</v>
      </c>
      <c r="T120" s="26" t="n">
        <v>0.761463057385394</v>
      </c>
      <c r="U120" s="23" t="n">
        <v>0</v>
      </c>
      <c r="V120" s="26" t="n">
        <v>-0.06</v>
      </c>
      <c r="W120" s="26" t="n">
        <v>-0.093120969249097</v>
      </c>
      <c r="X120" s="26" t="n">
        <v>-0.432243724198997</v>
      </c>
      <c r="Y120" s="26" t="n">
        <v>-0.270149946148468</v>
      </c>
      <c r="Z120" s="26" t="n">
        <v>-0.151412194908216</v>
      </c>
      <c r="AA120" s="26" t="n">
        <v>0.0439946251029788</v>
      </c>
      <c r="AB120" s="26" t="n">
        <v>-0.602896229172752</v>
      </c>
      <c r="AC120" s="27" t="n">
        <v>0.269931728292798</v>
      </c>
      <c r="AD120" s="28" t="n">
        <f aca="false">Params!$B$6*Params!$B$7*$R120</f>
        <v>172.223317515</v>
      </c>
      <c r="AE120" s="29" t="n">
        <f aca="false">MIN(Params!$B$9,AD120/Params!$B$4)</f>
        <v>0.06</v>
      </c>
      <c r="AF120" s="29" t="n">
        <f aca="false">MIN(Params!$B$9,AD120/Params!$B$5)</f>
        <v>0.06</v>
      </c>
      <c r="AG120" s="28" t="n">
        <f aca="false">IF($R120&gt;0,Params!$B$9*Params!$B$4/(Params!$B$6*$R120),"n/a")</f>
        <v>0.522577321692583</v>
      </c>
      <c r="AH120" s="28" t="n">
        <f aca="false">IF($R120&gt;0,Params!$B$9*Params!$B$5/(Params!$B$6*$R120),"n/a")</f>
        <v>1.04515464338517</v>
      </c>
      <c r="AI120" s="28" t="n">
        <f aca="false">IF($R120&gt;0,Params!$B$15*Params!$B$4/(Params!$B$6*$R120),"n/a")</f>
        <v>0.174192440564194</v>
      </c>
      <c r="AJ120" s="29" t="n">
        <f aca="false">MIN(Params!$B$9,AD120*Params!$B$8/Params!$B$4)</f>
        <v>0.06</v>
      </c>
      <c r="AK120" s="28" t="n">
        <f aca="false">IF($R120&gt;0,Params!$B$9*Params!$B$4/(Params!$B$6*$R120*Params!$B$8),"n/a")</f>
        <v>1.04515464338517</v>
      </c>
      <c r="AL120" s="27" t="str">
        <f aca="false">IFERROR(ciq($D120,"IQ_PE_EXCL"),"")</f>
        <v/>
      </c>
      <c r="AM120" s="27" t="str">
        <f aca="false">IFERROR(ciq($D120,"IQ_PE_EXCL_FWD_CIQ"),"")</f>
        <v/>
      </c>
      <c r="AN120" s="27" t="str">
        <f aca="false">IFERROR(ciq($D120,"IQ_PBV"),"")</f>
        <v/>
      </c>
      <c r="AO120" s="27" t="str">
        <f aca="false">IFERROR(ciq($D120,"IQ_TEV_EBITDA"),"")</f>
        <v/>
      </c>
      <c r="AP120" s="24" t="str">
        <f aca="false">IFERROR(ciq($D120,"IQ_RETURN_EQUITY"),"")</f>
        <v/>
      </c>
      <c r="AQ120" s="24" t="str">
        <f aca="false">IFERROR(ciq($D120,"IQ_RETURN_CAPITAL"),"")</f>
        <v/>
      </c>
      <c r="AR120" s="24" t="str">
        <f aca="false">IFERROR(ciq($D120,"IQ_TOTAL_REV_1YR_ANN_GROWTH"),"")</f>
        <v/>
      </c>
      <c r="AS120" s="24" t="str">
        <f aca="false">IFERROR(ciq($D120,"IQ_EPS_1YR_ANN_GROWTH"),"")</f>
        <v/>
      </c>
      <c r="AT120" s="24" t="str">
        <f aca="false">IFERROR(ciq($D120,"IQ_DIVIDEND_YIELD"),"")</f>
        <v/>
      </c>
      <c r="AU120" s="24" t="str">
        <f aca="false">IFERROR(ciq($D120,"IQ_NET_DEBT"),"")</f>
        <v/>
      </c>
    </row>
    <row r="121" customFormat="false" ht="15" hidden="false" customHeight="false" outlineLevel="0" collapsed="false">
      <c r="A121" s="8" t="s">
        <v>925</v>
      </c>
      <c r="B121" s="8" t="s">
        <v>926</v>
      </c>
      <c r="C121" s="8" t="s">
        <v>72</v>
      </c>
      <c r="D121" s="8" t="s">
        <v>927</v>
      </c>
      <c r="E121" s="8" t="s">
        <v>928</v>
      </c>
      <c r="F121" s="6" t="s">
        <v>619</v>
      </c>
      <c r="G121" s="8" t="s">
        <v>55</v>
      </c>
      <c r="H121" s="8" t="s">
        <v>66</v>
      </c>
      <c r="I121" s="8"/>
      <c r="J121" s="8"/>
      <c r="K121" s="8"/>
      <c r="L121" s="8" t="s">
        <v>514</v>
      </c>
      <c r="M121" s="23" t="n">
        <v>227500</v>
      </c>
      <c r="N121" s="23" t="n">
        <v>42474.7778</v>
      </c>
      <c r="O121" s="23" t="n">
        <v>50148.243152</v>
      </c>
      <c r="P121" s="24" t="n">
        <v>872.688628625</v>
      </c>
      <c r="Q121" s="24" t="n">
        <v>757.192671841667</v>
      </c>
      <c r="R121" s="24" t="n">
        <v>757.192671841667</v>
      </c>
      <c r="S121" s="25" t="n">
        <v>0.0205460434127333</v>
      </c>
      <c r="T121" s="26" t="n">
        <v>1.26912573552673</v>
      </c>
      <c r="U121" s="23" t="n">
        <v>2</v>
      </c>
      <c r="V121" s="26" t="n">
        <v>-0.04</v>
      </c>
      <c r="W121" s="26" t="n">
        <v>-0.075434887389756</v>
      </c>
      <c r="X121" s="26" t="n">
        <v>-0.11123606463202</v>
      </c>
      <c r="Y121" s="26" t="n">
        <v>0.55141335165756</v>
      </c>
      <c r="Z121" s="26" t="n">
        <v>0.97558791693714</v>
      </c>
      <c r="AA121" s="26" t="n">
        <v>1.51116236518008</v>
      </c>
      <c r="AB121" s="26" t="n">
        <v>-0.413559189542976</v>
      </c>
      <c r="AC121" s="27" t="n">
        <v>0.906546578731896</v>
      </c>
      <c r="AD121" s="28" t="n">
        <f aca="false">Params!$B$6*Params!$B$7*$R121</f>
        <v>454.315603105</v>
      </c>
      <c r="AE121" s="29" t="n">
        <f aca="false">MIN(Params!$B$9,AD121/Params!$B$4)</f>
        <v>0.06</v>
      </c>
      <c r="AF121" s="29" t="n">
        <f aca="false">MIN(Params!$B$9,AD121/Params!$B$5)</f>
        <v>0.06</v>
      </c>
      <c r="AG121" s="28" t="n">
        <f aca="false">IF($R121&gt;0,Params!$B$9*Params!$B$4/(Params!$B$6*$R121),"n/a")</f>
        <v>0.198100173942737</v>
      </c>
      <c r="AH121" s="28" t="n">
        <f aca="false">IF($R121&gt;0,Params!$B$9*Params!$B$5/(Params!$B$6*$R121),"n/a")</f>
        <v>0.396200347885474</v>
      </c>
      <c r="AI121" s="28" t="n">
        <f aca="false">IF($R121&gt;0,Params!$B$15*Params!$B$4/(Params!$B$6*$R121),"n/a")</f>
        <v>0.0660333913142457</v>
      </c>
      <c r="AJ121" s="29" t="n">
        <f aca="false">MIN(Params!$B$9,AD121*Params!$B$8/Params!$B$4)</f>
        <v>0.06</v>
      </c>
      <c r="AK121" s="28" t="n">
        <f aca="false">IF($R121&gt;0,Params!$B$9*Params!$B$4/(Params!$B$6*$R121*Params!$B$8),"n/a")</f>
        <v>0.396200347885474</v>
      </c>
      <c r="AL121" s="27" t="str">
        <f aca="false">IFERROR(ciq($D121,"IQ_PE_EXCL"),"")</f>
        <v/>
      </c>
      <c r="AM121" s="27" t="str">
        <f aca="false">IFERROR(ciq($D121,"IQ_PE_EXCL_FWD_CIQ"),"")</f>
        <v/>
      </c>
      <c r="AN121" s="27" t="str">
        <f aca="false">IFERROR(ciq($D121,"IQ_PBV"),"")</f>
        <v/>
      </c>
      <c r="AO121" s="27" t="str">
        <f aca="false">IFERROR(ciq($D121,"IQ_TEV_EBITDA"),"")</f>
        <v/>
      </c>
      <c r="AP121" s="24" t="str">
        <f aca="false">IFERROR(ciq($D121,"IQ_RETURN_EQUITY"),"")</f>
        <v/>
      </c>
      <c r="AQ121" s="24" t="str">
        <f aca="false">IFERROR(ciq($D121,"IQ_RETURN_CAPITAL"),"")</f>
        <v/>
      </c>
      <c r="AR121" s="24" t="str">
        <f aca="false">IFERROR(ciq($D121,"IQ_TOTAL_REV_1YR_ANN_GROWTH"),"")</f>
        <v/>
      </c>
      <c r="AS121" s="24" t="str">
        <f aca="false">IFERROR(ciq($D121,"IQ_EPS_1YR_ANN_GROWTH"),"")</f>
        <v/>
      </c>
      <c r="AT121" s="24" t="str">
        <f aca="false">IFERROR(ciq($D121,"IQ_DIVIDEND_YIELD"),"")</f>
        <v/>
      </c>
      <c r="AU121" s="24" t="str">
        <f aca="false">IFERROR(ciq($D121,"IQ_NET_DEBT"),"")</f>
        <v/>
      </c>
    </row>
    <row r="122" customFormat="false" ht="15" hidden="false" customHeight="false" outlineLevel="0" collapsed="false">
      <c r="A122" s="8" t="s">
        <v>929</v>
      </c>
      <c r="B122" s="6" t="s">
        <v>930</v>
      </c>
      <c r="C122" s="8" t="s">
        <v>72</v>
      </c>
      <c r="D122" s="8" t="s">
        <v>931</v>
      </c>
      <c r="E122" s="8" t="s">
        <v>932</v>
      </c>
      <c r="F122" s="8" t="s">
        <v>587</v>
      </c>
      <c r="G122" s="8" t="s">
        <v>55</v>
      </c>
      <c r="H122" s="8" t="s">
        <v>66</v>
      </c>
      <c r="I122" s="8"/>
      <c r="J122" s="8"/>
      <c r="K122" s="8"/>
      <c r="L122" s="8"/>
      <c r="M122" s="23" t="n">
        <v>31650</v>
      </c>
      <c r="N122" s="23" t="n">
        <v>42235.5909525</v>
      </c>
      <c r="O122" s="23" t="n">
        <v>39112.9595835</v>
      </c>
      <c r="P122" s="24" t="n">
        <v>174.0694129125</v>
      </c>
      <c r="Q122" s="24" t="n">
        <v>185.989437820833</v>
      </c>
      <c r="R122" s="24" t="n">
        <v>174.0694129125</v>
      </c>
      <c r="S122" s="25" t="n">
        <v>0.00412139167434087</v>
      </c>
      <c r="T122" s="26" t="n">
        <v>0.639784815493142</v>
      </c>
      <c r="U122" s="23" t="n">
        <v>0</v>
      </c>
      <c r="V122" s="26" t="n">
        <v>-0.06</v>
      </c>
      <c r="W122" s="26" t="n">
        <v>0.144714377547722</v>
      </c>
      <c r="X122" s="26" t="n">
        <v>-0.0539218349130262</v>
      </c>
      <c r="Y122" s="26" t="n">
        <v>-0.15387955626997</v>
      </c>
      <c r="Z122" s="26" t="n">
        <v>0.0192214749025998</v>
      </c>
      <c r="AA122" s="26" t="n">
        <v>-0.0247031806392039</v>
      </c>
      <c r="AB122" s="26" t="n">
        <v>-0.319513915699944</v>
      </c>
      <c r="AC122" s="27" t="n">
        <v>0.526827858686041</v>
      </c>
      <c r="AD122" s="28" t="n">
        <f aca="false">Params!$B$6*Params!$B$7*$R122</f>
        <v>104.4416477475</v>
      </c>
      <c r="AE122" s="29" t="n">
        <f aca="false">MIN(Params!$B$9,AD122/Params!$B$4)</f>
        <v>0.06</v>
      </c>
      <c r="AF122" s="29" t="n">
        <f aca="false">MIN(Params!$B$9,AD122/Params!$B$5)</f>
        <v>0.06</v>
      </c>
      <c r="AG122" s="28" t="n">
        <f aca="false">IF($R122&gt;0,Params!$B$9*Params!$B$4/(Params!$B$6*$R122),"n/a")</f>
        <v>0.861725201976759</v>
      </c>
      <c r="AH122" s="28" t="n">
        <f aca="false">IF($R122&gt;0,Params!$B$9*Params!$B$5/(Params!$B$6*$R122),"n/a")</f>
        <v>1.72345040395352</v>
      </c>
      <c r="AI122" s="28" t="n">
        <f aca="false">IF($R122&gt;0,Params!$B$15*Params!$B$4/(Params!$B$6*$R122),"n/a")</f>
        <v>0.287241733992253</v>
      </c>
      <c r="AJ122" s="29" t="n">
        <f aca="false">MIN(Params!$B$9,AD122*Params!$B$8/Params!$B$4)</f>
        <v>0.06</v>
      </c>
      <c r="AK122" s="28" t="n">
        <f aca="false">IF($R122&gt;0,Params!$B$9*Params!$B$4/(Params!$B$6*$R122*Params!$B$8),"n/a")</f>
        <v>1.72345040395352</v>
      </c>
      <c r="AL122" s="27" t="str">
        <f aca="false">IFERROR(ciq($D122,"IQ_PE_EXCL"),"")</f>
        <v/>
      </c>
      <c r="AM122" s="27" t="str">
        <f aca="false">IFERROR(ciq($D122,"IQ_PE_EXCL_FWD_CIQ"),"")</f>
        <v/>
      </c>
      <c r="AN122" s="27" t="str">
        <f aca="false">IFERROR(ciq($D122,"IQ_PBV"),"")</f>
        <v/>
      </c>
      <c r="AO122" s="27" t="str">
        <f aca="false">IFERROR(ciq($D122,"IQ_TEV_EBITDA"),"")</f>
        <v/>
      </c>
      <c r="AP122" s="24" t="str">
        <f aca="false">IFERROR(ciq($D122,"IQ_RETURN_EQUITY"),"")</f>
        <v/>
      </c>
      <c r="AQ122" s="24" t="str">
        <f aca="false">IFERROR(ciq($D122,"IQ_RETURN_CAPITAL"),"")</f>
        <v/>
      </c>
      <c r="AR122" s="24" t="str">
        <f aca="false">IFERROR(ciq($D122,"IQ_TOTAL_REV_1YR_ANN_GROWTH"),"")</f>
        <v/>
      </c>
      <c r="AS122" s="24" t="str">
        <f aca="false">IFERROR(ciq($D122,"IQ_EPS_1YR_ANN_GROWTH"),"")</f>
        <v/>
      </c>
      <c r="AT122" s="24" t="str">
        <f aca="false">IFERROR(ciq($D122,"IQ_DIVIDEND_YIELD"),"")</f>
        <v/>
      </c>
      <c r="AU122" s="24" t="str">
        <f aca="false">IFERROR(ciq($D122,"IQ_NET_DEBT"),"")</f>
        <v/>
      </c>
    </row>
    <row r="123" customFormat="false" ht="15" hidden="false" customHeight="false" outlineLevel="0" collapsed="false">
      <c r="A123" s="8" t="s">
        <v>933</v>
      </c>
      <c r="B123" s="8" t="s">
        <v>934</v>
      </c>
      <c r="C123" s="8" t="s">
        <v>72</v>
      </c>
      <c r="D123" s="8" t="s">
        <v>935</v>
      </c>
      <c r="E123" s="8" t="s">
        <v>936</v>
      </c>
      <c r="F123" s="6" t="s">
        <v>721</v>
      </c>
      <c r="G123" s="8" t="s">
        <v>55</v>
      </c>
      <c r="H123" s="8" t="s">
        <v>66</v>
      </c>
      <c r="I123" s="8"/>
      <c r="J123" s="8"/>
      <c r="K123" s="8"/>
      <c r="L123" s="8"/>
      <c r="M123" s="23" t="n">
        <v>485000</v>
      </c>
      <c r="N123" s="23" t="n">
        <v>41675.5456</v>
      </c>
      <c r="O123" s="23" t="n">
        <v>39705.624192</v>
      </c>
      <c r="P123" s="24" t="n">
        <v>106.8101775</v>
      </c>
      <c r="Q123" s="24" t="n">
        <v>138.051658666667</v>
      </c>
      <c r="R123" s="24" t="n">
        <v>106.8101775</v>
      </c>
      <c r="S123" s="25" t="n">
        <v>0.0025628981207627</v>
      </c>
      <c r="T123" s="26" t="n">
        <v>0.707944898530904</v>
      </c>
      <c r="U123" s="23" t="n">
        <v>0</v>
      </c>
      <c r="V123" s="26" t="n">
        <v>-0.06</v>
      </c>
      <c r="W123" s="26" t="n">
        <v>0.1225490286549</v>
      </c>
      <c r="X123" s="26" t="n">
        <v>-0.0263572654904751</v>
      </c>
      <c r="Y123" s="26" t="n">
        <v>-0.134285695244443</v>
      </c>
      <c r="Z123" s="26" t="n">
        <v>0.15302101536294</v>
      </c>
      <c r="AA123" s="26" t="n">
        <v>0.293166900364774</v>
      </c>
      <c r="AB123" s="26" t="n">
        <v>-0.287004276517563</v>
      </c>
      <c r="AC123" s="27" t="n">
        <v>0.627208779203035</v>
      </c>
      <c r="AD123" s="28" t="n">
        <f aca="false">Params!$B$6*Params!$B$7*$R123</f>
        <v>64.0861065</v>
      </c>
      <c r="AE123" s="29" t="n">
        <f aca="false">MIN(Params!$B$9,AD123/Params!$B$4)</f>
        <v>0.06</v>
      </c>
      <c r="AF123" s="29" t="n">
        <f aca="false">MIN(Params!$B$9,AD123/Params!$B$5)</f>
        <v>0.06</v>
      </c>
      <c r="AG123" s="28" t="n">
        <f aca="false">IF($R123&gt;0,Params!$B$9*Params!$B$4/(Params!$B$6*$R123),"n/a")</f>
        <v>1.40436055356242</v>
      </c>
      <c r="AH123" s="28" t="n">
        <f aca="false">IF($R123&gt;0,Params!$B$9*Params!$B$5/(Params!$B$6*$R123),"n/a")</f>
        <v>2.80872110712483</v>
      </c>
      <c r="AI123" s="28" t="n">
        <f aca="false">IF($R123&gt;0,Params!$B$15*Params!$B$4/(Params!$B$6*$R123),"n/a")</f>
        <v>0.468120184520806</v>
      </c>
      <c r="AJ123" s="29" t="n">
        <f aca="false">MIN(Params!$B$9,AD123*Params!$B$8/Params!$B$4)</f>
        <v>0.06</v>
      </c>
      <c r="AK123" s="28" t="n">
        <f aca="false">IF($R123&gt;0,Params!$B$9*Params!$B$4/(Params!$B$6*$R123*Params!$B$8),"n/a")</f>
        <v>2.80872110712483</v>
      </c>
      <c r="AL123" s="27" t="str">
        <f aca="false">IFERROR(ciq($D123,"IQ_PE_EXCL"),"")</f>
        <v/>
      </c>
      <c r="AM123" s="27" t="str">
        <f aca="false">IFERROR(ciq($D123,"IQ_PE_EXCL_FWD_CIQ"),"")</f>
        <v/>
      </c>
      <c r="AN123" s="27" t="str">
        <f aca="false">IFERROR(ciq($D123,"IQ_PBV"),"")</f>
        <v/>
      </c>
      <c r="AO123" s="27" t="str">
        <f aca="false">IFERROR(ciq($D123,"IQ_TEV_EBITDA"),"")</f>
        <v/>
      </c>
      <c r="AP123" s="24" t="str">
        <f aca="false">IFERROR(ciq($D123,"IQ_RETURN_EQUITY"),"")</f>
        <v/>
      </c>
      <c r="AQ123" s="24" t="str">
        <f aca="false">IFERROR(ciq($D123,"IQ_RETURN_CAPITAL"),"")</f>
        <v/>
      </c>
      <c r="AR123" s="24" t="str">
        <f aca="false">IFERROR(ciq($D123,"IQ_TOTAL_REV_1YR_ANN_GROWTH"),"")</f>
        <v/>
      </c>
      <c r="AS123" s="24" t="str">
        <f aca="false">IFERROR(ciq($D123,"IQ_EPS_1YR_ANN_GROWTH"),"")</f>
        <v/>
      </c>
      <c r="AT123" s="24" t="str">
        <f aca="false">IFERROR(ciq($D123,"IQ_DIVIDEND_YIELD"),"")</f>
        <v/>
      </c>
      <c r="AU123" s="24" t="str">
        <f aca="false">IFERROR(ciq($D123,"IQ_NET_DEBT"),"")</f>
        <v/>
      </c>
    </row>
    <row r="124" customFormat="false" ht="15" hidden="false" customHeight="false" outlineLevel="0" collapsed="false">
      <c r="A124" s="8" t="s">
        <v>349</v>
      </c>
      <c r="B124" s="8" t="s">
        <v>350</v>
      </c>
      <c r="C124" s="8" t="s">
        <v>72</v>
      </c>
      <c r="D124" s="8" t="s">
        <v>937</v>
      </c>
      <c r="E124" s="8" t="s">
        <v>938</v>
      </c>
      <c r="F124" s="6" t="s">
        <v>721</v>
      </c>
      <c r="G124" s="8" t="s">
        <v>55</v>
      </c>
      <c r="H124" s="8" t="s">
        <v>66</v>
      </c>
      <c r="I124" s="8" t="s">
        <v>508</v>
      </c>
      <c r="J124" s="8"/>
      <c r="K124" s="8"/>
      <c r="L124" s="6" t="s">
        <v>351</v>
      </c>
      <c r="M124" s="23" t="n">
        <v>83900</v>
      </c>
      <c r="N124" s="23" t="n">
        <v>41612.972022</v>
      </c>
      <c r="O124" s="23" t="n">
        <v>42793.4115144</v>
      </c>
      <c r="P124" s="24" t="n">
        <v>109.115157625</v>
      </c>
      <c r="Q124" s="24" t="n">
        <v>321.979010308333</v>
      </c>
      <c r="R124" s="24" t="n">
        <v>109.115157625</v>
      </c>
      <c r="S124" s="25" t="n">
        <v>0.00262214286370396</v>
      </c>
      <c r="T124" s="26" t="n">
        <v>0.862063864852684</v>
      </c>
      <c r="U124" s="23" t="n">
        <v>0</v>
      </c>
      <c r="V124" s="26" t="n">
        <v>-0.06</v>
      </c>
      <c r="W124" s="26" t="n">
        <v>0.0306065863455047</v>
      </c>
      <c r="X124" s="26" t="n">
        <v>-0.380862258278519</v>
      </c>
      <c r="Y124" s="26" t="n">
        <v>-0.129952353617653</v>
      </c>
      <c r="Z124" s="26" t="n">
        <v>-0.144975645731642</v>
      </c>
      <c r="AA124" s="26" t="n">
        <v>-0.106771706541194</v>
      </c>
      <c r="AB124" s="26" t="n">
        <v>-0.518023449356593</v>
      </c>
      <c r="AC124" s="27" t="n">
        <v>0.172801534611618</v>
      </c>
      <c r="AD124" s="28" t="n">
        <f aca="false">Params!$B$6*Params!$B$7*$R124</f>
        <v>65.469094575</v>
      </c>
      <c r="AE124" s="29" t="n">
        <f aca="false">MIN(Params!$B$9,AD124/Params!$B$4)</f>
        <v>0.06</v>
      </c>
      <c r="AF124" s="29" t="n">
        <f aca="false">MIN(Params!$B$9,AD124/Params!$B$5)</f>
        <v>0.06</v>
      </c>
      <c r="AG124" s="28" t="n">
        <f aca="false">IF($R124&gt;0,Params!$B$9*Params!$B$4/(Params!$B$6*$R124),"n/a")</f>
        <v>1.37469443535526</v>
      </c>
      <c r="AH124" s="28" t="n">
        <f aca="false">IF($R124&gt;0,Params!$B$9*Params!$B$5/(Params!$B$6*$R124),"n/a")</f>
        <v>2.74938887071053</v>
      </c>
      <c r="AI124" s="28" t="n">
        <f aca="false">IF($R124&gt;0,Params!$B$15*Params!$B$4/(Params!$B$6*$R124),"n/a")</f>
        <v>0.458231478451755</v>
      </c>
      <c r="AJ124" s="29" t="n">
        <f aca="false">MIN(Params!$B$9,AD124*Params!$B$8/Params!$B$4)</f>
        <v>0.06</v>
      </c>
      <c r="AK124" s="28" t="n">
        <f aca="false">IF($R124&gt;0,Params!$B$9*Params!$B$4/(Params!$B$6*$R124*Params!$B$8),"n/a")</f>
        <v>2.74938887071053</v>
      </c>
      <c r="AL124" s="27" t="str">
        <f aca="false">IFERROR(ciq($D124,"IQ_PE_EXCL"),"")</f>
        <v/>
      </c>
      <c r="AM124" s="27" t="str">
        <f aca="false">IFERROR(ciq($D124,"IQ_PE_EXCL_FWD_CIQ"),"")</f>
        <v/>
      </c>
      <c r="AN124" s="27" t="str">
        <f aca="false">IFERROR(ciq($D124,"IQ_PBV"),"")</f>
        <v/>
      </c>
      <c r="AO124" s="27" t="str">
        <f aca="false">IFERROR(ciq($D124,"IQ_TEV_EBITDA"),"")</f>
        <v/>
      </c>
      <c r="AP124" s="24" t="str">
        <f aca="false">IFERROR(ciq($D124,"IQ_RETURN_EQUITY"),"")</f>
        <v/>
      </c>
      <c r="AQ124" s="24" t="str">
        <f aca="false">IFERROR(ciq($D124,"IQ_RETURN_CAPITAL"),"")</f>
        <v/>
      </c>
      <c r="AR124" s="24" t="str">
        <f aca="false">IFERROR(ciq($D124,"IQ_TOTAL_REV_1YR_ANN_GROWTH"),"")</f>
        <v/>
      </c>
      <c r="AS124" s="24" t="str">
        <f aca="false">IFERROR(ciq($D124,"IQ_EPS_1YR_ANN_GROWTH"),"")</f>
        <v/>
      </c>
      <c r="AT124" s="24" t="str">
        <f aca="false">IFERROR(ciq($D124,"IQ_DIVIDEND_YIELD"),"")</f>
        <v/>
      </c>
      <c r="AU124" s="24" t="str">
        <f aca="false">IFERROR(ciq($D124,"IQ_NET_DEBT"),"")</f>
        <v/>
      </c>
    </row>
    <row r="125" customFormat="false" ht="15" hidden="false" customHeight="false" outlineLevel="0" collapsed="false">
      <c r="A125" s="8" t="s">
        <v>939</v>
      </c>
      <c r="B125" s="8" t="s">
        <v>940</v>
      </c>
      <c r="C125" s="8" t="s">
        <v>74</v>
      </c>
      <c r="D125" s="8" t="s">
        <v>941</v>
      </c>
      <c r="E125" s="8" t="s">
        <v>942</v>
      </c>
      <c r="F125" s="8"/>
      <c r="G125" s="8" t="s">
        <v>55</v>
      </c>
      <c r="H125" s="8" t="s">
        <v>66</v>
      </c>
      <c r="I125" s="8"/>
      <c r="J125" s="8"/>
      <c r="K125" s="8"/>
      <c r="L125" s="8"/>
      <c r="M125" s="23" t="n">
        <v>50200</v>
      </c>
      <c r="N125" s="23" t="n">
        <v>41314.6</v>
      </c>
      <c r="O125" s="23" t="n">
        <v>36681.11</v>
      </c>
      <c r="P125" s="24" t="n">
        <v>1209.7716115875</v>
      </c>
      <c r="Q125" s="24" t="n">
        <v>2557.90032339317</v>
      </c>
      <c r="R125" s="24" t="n">
        <v>1209.7716115875</v>
      </c>
      <c r="S125" s="25" t="n">
        <v>0.0292819393528559</v>
      </c>
      <c r="T125" s="26" t="n">
        <v>1.34495956105801</v>
      </c>
      <c r="U125" s="23" t="n">
        <v>1</v>
      </c>
      <c r="V125" s="26" t="n">
        <v>-0.06</v>
      </c>
      <c r="W125" s="26" t="n">
        <v>0.371175874604633</v>
      </c>
      <c r="X125" s="26" t="n">
        <v>-0.119568188093837</v>
      </c>
      <c r="Y125" s="26" t="n">
        <v>0.151030682494919</v>
      </c>
      <c r="Z125" s="26" t="n">
        <v>0.498132338528466</v>
      </c>
      <c r="AA125" s="26" t="n">
        <v>0.971469030130855</v>
      </c>
      <c r="AB125" s="26" t="n">
        <v>-0.398994403123655</v>
      </c>
      <c r="AC125" s="27" t="n">
        <v>0.575494055823843</v>
      </c>
      <c r="AD125" s="28" t="n">
        <f aca="false">Params!$B$6*Params!$B$7*$R125</f>
        <v>725.8629669525</v>
      </c>
      <c r="AE125" s="29" t="n">
        <f aca="false">MIN(Params!$B$9,AD125/Params!$B$4)</f>
        <v>0.06</v>
      </c>
      <c r="AF125" s="29" t="n">
        <f aca="false">MIN(Params!$B$9,AD125/Params!$B$5)</f>
        <v>0.06</v>
      </c>
      <c r="AG125" s="28" t="n">
        <f aca="false">IF($R125&gt;0,Params!$B$9*Params!$B$4/(Params!$B$6*$R125),"n/a")</f>
        <v>0.123990345419963</v>
      </c>
      <c r="AH125" s="28" t="n">
        <f aca="false">IF($R125&gt;0,Params!$B$9*Params!$B$5/(Params!$B$6*$R125),"n/a")</f>
        <v>0.247980690839927</v>
      </c>
      <c r="AI125" s="28" t="n">
        <f aca="false">IF($R125&gt;0,Params!$B$15*Params!$B$4/(Params!$B$6*$R125),"n/a")</f>
        <v>0.0413301151399878</v>
      </c>
      <c r="AJ125" s="29" t="n">
        <f aca="false">MIN(Params!$B$9,AD125*Params!$B$8/Params!$B$4)</f>
        <v>0.06</v>
      </c>
      <c r="AK125" s="28" t="n">
        <f aca="false">IF($R125&gt;0,Params!$B$9*Params!$B$4/(Params!$B$6*$R125*Params!$B$8),"n/a")</f>
        <v>0.247980690839927</v>
      </c>
      <c r="AL125" s="27" t="str">
        <f aca="false">IFERROR(ciq($D125,"IQ_PE_EXCL"),"")</f>
        <v/>
      </c>
      <c r="AM125" s="27" t="str">
        <f aca="false">IFERROR(ciq($D125,"IQ_PE_EXCL_FWD_CIQ"),"")</f>
        <v/>
      </c>
      <c r="AN125" s="27" t="str">
        <f aca="false">IFERROR(ciq($D125,"IQ_PBV"),"")</f>
        <v/>
      </c>
      <c r="AO125" s="27" t="str">
        <f aca="false">IFERROR(ciq($D125,"IQ_TEV_EBITDA"),"")</f>
        <v/>
      </c>
      <c r="AP125" s="24" t="str">
        <f aca="false">IFERROR(ciq($D125,"IQ_RETURN_EQUITY"),"")</f>
        <v/>
      </c>
      <c r="AQ125" s="24" t="str">
        <f aca="false">IFERROR(ciq($D125,"IQ_RETURN_CAPITAL"),"")</f>
        <v/>
      </c>
      <c r="AR125" s="24" t="str">
        <f aca="false">IFERROR(ciq($D125,"IQ_TOTAL_REV_1YR_ANN_GROWTH"),"")</f>
        <v/>
      </c>
      <c r="AS125" s="24" t="str">
        <f aca="false">IFERROR(ciq($D125,"IQ_EPS_1YR_ANN_GROWTH"),"")</f>
        <v/>
      </c>
      <c r="AT125" s="24" t="str">
        <f aca="false">IFERROR(ciq($D125,"IQ_DIVIDEND_YIELD"),"")</f>
        <v/>
      </c>
      <c r="AU125" s="24" t="str">
        <f aca="false">IFERROR(ciq($D125,"IQ_NET_DEBT"),"")</f>
        <v/>
      </c>
    </row>
    <row r="126" customFormat="false" ht="15" hidden="false" customHeight="false" outlineLevel="0" collapsed="false">
      <c r="A126" s="8" t="s">
        <v>943</v>
      </c>
      <c r="B126" s="6" t="s">
        <v>944</v>
      </c>
      <c r="C126" s="8" t="s">
        <v>72</v>
      </c>
      <c r="D126" s="8" t="s">
        <v>945</v>
      </c>
      <c r="E126" s="8" t="s">
        <v>946</v>
      </c>
      <c r="F126" s="6" t="s">
        <v>775</v>
      </c>
      <c r="G126" s="8" t="s">
        <v>55</v>
      </c>
      <c r="H126" s="8" t="s">
        <v>66</v>
      </c>
      <c r="I126" s="8"/>
      <c r="J126" s="8"/>
      <c r="K126" s="8"/>
      <c r="L126" s="8"/>
      <c r="M126" s="23" t="n">
        <v>107400</v>
      </c>
      <c r="N126" s="23" t="n">
        <v>41048.28</v>
      </c>
      <c r="O126" s="23" t="n">
        <v>39966.654</v>
      </c>
      <c r="P126" s="24" t="n">
        <v>373.7907664</v>
      </c>
      <c r="Q126" s="24" t="n">
        <v>251.573077825</v>
      </c>
      <c r="R126" s="24" t="n">
        <v>251.573077825</v>
      </c>
      <c r="S126" s="25" t="n">
        <v>0.009106124943603</v>
      </c>
      <c r="T126" s="26" t="n">
        <v>1.09923806522241</v>
      </c>
      <c r="U126" s="23" t="n">
        <v>1</v>
      </c>
      <c r="V126" s="26" t="n">
        <v>-0.06</v>
      </c>
      <c r="W126" s="26" t="n">
        <v>0.0477881678819629</v>
      </c>
      <c r="X126" s="26" t="n">
        <v>-0.107326784939795</v>
      </c>
      <c r="Y126" s="26" t="n">
        <v>-0.317580806335488</v>
      </c>
      <c r="Z126" s="26" t="n">
        <v>0.193556678310447</v>
      </c>
      <c r="AA126" s="26" t="n">
        <v>0.0614157503061443</v>
      </c>
      <c r="AB126" s="26" t="n">
        <v>-0.448683990765134</v>
      </c>
      <c r="AC126" s="27" t="n">
        <v>1.11811270599739</v>
      </c>
      <c r="AD126" s="28" t="n">
        <f aca="false">Params!$B$6*Params!$B$7*$R126</f>
        <v>150.943846695</v>
      </c>
      <c r="AE126" s="29" t="n">
        <f aca="false">MIN(Params!$B$9,AD126/Params!$B$4)</f>
        <v>0.06</v>
      </c>
      <c r="AF126" s="29" t="n">
        <f aca="false">MIN(Params!$B$9,AD126/Params!$B$5)</f>
        <v>0.06</v>
      </c>
      <c r="AG126" s="28" t="n">
        <f aca="false">IF($R126&gt;0,Params!$B$9*Params!$B$4/(Params!$B$6*$R126),"n/a")</f>
        <v>0.596248220584014</v>
      </c>
      <c r="AH126" s="28" t="n">
        <f aca="false">IF($R126&gt;0,Params!$B$9*Params!$B$5/(Params!$B$6*$R126),"n/a")</f>
        <v>1.19249644116803</v>
      </c>
      <c r="AI126" s="28" t="n">
        <f aca="false">IF($R126&gt;0,Params!$B$15*Params!$B$4/(Params!$B$6*$R126),"n/a")</f>
        <v>0.198749406861338</v>
      </c>
      <c r="AJ126" s="29" t="n">
        <f aca="false">MIN(Params!$B$9,AD126*Params!$B$8/Params!$B$4)</f>
        <v>0.06</v>
      </c>
      <c r="AK126" s="28" t="n">
        <f aca="false">IF($R126&gt;0,Params!$B$9*Params!$B$4/(Params!$B$6*$R126*Params!$B$8),"n/a")</f>
        <v>1.19249644116803</v>
      </c>
      <c r="AL126" s="27" t="str">
        <f aca="false">IFERROR(ciq($D126,"IQ_PE_EXCL"),"")</f>
        <v/>
      </c>
      <c r="AM126" s="27" t="str">
        <f aca="false">IFERROR(ciq($D126,"IQ_PE_EXCL_FWD_CIQ"),"")</f>
        <v/>
      </c>
      <c r="AN126" s="27" t="str">
        <f aca="false">IFERROR(ciq($D126,"IQ_PBV"),"")</f>
        <v/>
      </c>
      <c r="AO126" s="27" t="str">
        <f aca="false">IFERROR(ciq($D126,"IQ_TEV_EBITDA"),"")</f>
        <v/>
      </c>
      <c r="AP126" s="24" t="str">
        <f aca="false">IFERROR(ciq($D126,"IQ_RETURN_EQUITY"),"")</f>
        <v/>
      </c>
      <c r="AQ126" s="24" t="str">
        <f aca="false">IFERROR(ciq($D126,"IQ_RETURN_CAPITAL"),"")</f>
        <v/>
      </c>
      <c r="AR126" s="24" t="str">
        <f aca="false">IFERROR(ciq($D126,"IQ_TOTAL_REV_1YR_ANN_GROWTH"),"")</f>
        <v/>
      </c>
      <c r="AS126" s="24" t="str">
        <f aca="false">IFERROR(ciq($D126,"IQ_EPS_1YR_ANN_GROWTH"),"")</f>
        <v/>
      </c>
      <c r="AT126" s="24" t="str">
        <f aca="false">IFERROR(ciq($D126,"IQ_DIVIDEND_YIELD"),"")</f>
        <v/>
      </c>
      <c r="AU126" s="24" t="str">
        <f aca="false">IFERROR(ciq($D126,"IQ_NET_DEBT"),"")</f>
        <v/>
      </c>
    </row>
    <row r="127" customFormat="false" ht="15" hidden="false" customHeight="false" outlineLevel="0" collapsed="false">
      <c r="A127" s="8" t="s">
        <v>947</v>
      </c>
      <c r="B127" s="6" t="s">
        <v>948</v>
      </c>
      <c r="C127" s="8" t="s">
        <v>74</v>
      </c>
      <c r="D127" s="8" t="s">
        <v>949</v>
      </c>
      <c r="E127" s="8" t="s">
        <v>950</v>
      </c>
      <c r="F127" s="6" t="s">
        <v>951</v>
      </c>
      <c r="G127" s="8" t="s">
        <v>55</v>
      </c>
      <c r="H127" s="8" t="s">
        <v>66</v>
      </c>
      <c r="I127" s="8"/>
      <c r="J127" s="8"/>
      <c r="K127" s="8"/>
      <c r="L127" s="8"/>
      <c r="M127" s="23" t="n">
        <v>381000</v>
      </c>
      <c r="N127" s="23" t="n">
        <v>39584.55888</v>
      </c>
      <c r="O127" s="23" t="n">
        <v>42646.907628</v>
      </c>
      <c r="P127" s="24" t="n">
        <v>729.207394</v>
      </c>
      <c r="Q127" s="24" t="n">
        <v>661.162556583333</v>
      </c>
      <c r="R127" s="24" t="n">
        <v>661.162556583333</v>
      </c>
      <c r="S127" s="25" t="n">
        <v>0.0184215111809274</v>
      </c>
      <c r="T127" s="26" t="n">
        <v>0.772266829710552</v>
      </c>
      <c r="U127" s="23" t="n">
        <v>0</v>
      </c>
      <c r="V127" s="26" t="n">
        <v>-0.06</v>
      </c>
      <c r="W127" s="26" t="n">
        <v>0.00794214871757415</v>
      </c>
      <c r="X127" s="26" t="n">
        <v>0.380842962223905</v>
      </c>
      <c r="Y127" s="26" t="n">
        <v>0.200569065412931</v>
      </c>
      <c r="Z127" s="26" t="n">
        <v>-0.0541073826994379</v>
      </c>
      <c r="AA127" s="26" t="n">
        <v>-0.450546847752169</v>
      </c>
      <c r="AB127" s="26" t="n">
        <v>-0.463686527820565</v>
      </c>
      <c r="AC127" s="27" t="n">
        <v>1.5512493576459</v>
      </c>
      <c r="AD127" s="28" t="n">
        <f aca="false">Params!$B$6*Params!$B$7*$R127</f>
        <v>396.69753395</v>
      </c>
      <c r="AE127" s="29" t="n">
        <f aca="false">MIN(Params!$B$9,AD127/Params!$B$4)</f>
        <v>0.06</v>
      </c>
      <c r="AF127" s="29" t="n">
        <f aca="false">MIN(Params!$B$9,AD127/Params!$B$5)</f>
        <v>0.06</v>
      </c>
      <c r="AG127" s="28" t="n">
        <f aca="false">IF($R127&gt;0,Params!$B$9*Params!$B$4/(Params!$B$6*$R127),"n/a")</f>
        <v>0.226873101790806</v>
      </c>
      <c r="AH127" s="28" t="n">
        <f aca="false">IF($R127&gt;0,Params!$B$9*Params!$B$5/(Params!$B$6*$R127),"n/a")</f>
        <v>0.453746203581612</v>
      </c>
      <c r="AI127" s="28" t="n">
        <f aca="false">IF($R127&gt;0,Params!$B$15*Params!$B$4/(Params!$B$6*$R127),"n/a")</f>
        <v>0.0756243672636019</v>
      </c>
      <c r="AJ127" s="29" t="n">
        <f aca="false">MIN(Params!$B$9,AD127*Params!$B$8/Params!$B$4)</f>
        <v>0.06</v>
      </c>
      <c r="AK127" s="28" t="n">
        <f aca="false">IF($R127&gt;0,Params!$B$9*Params!$B$4/(Params!$B$6*$R127*Params!$B$8),"n/a")</f>
        <v>0.453746203581612</v>
      </c>
      <c r="AL127" s="27" t="str">
        <f aca="false">IFERROR(ciq($D127,"IQ_PE_EXCL"),"")</f>
        <v/>
      </c>
      <c r="AM127" s="27" t="str">
        <f aca="false">IFERROR(ciq($D127,"IQ_PE_EXCL_FWD_CIQ"),"")</f>
        <v/>
      </c>
      <c r="AN127" s="27" t="str">
        <f aca="false">IFERROR(ciq($D127,"IQ_PBV"),"")</f>
        <v/>
      </c>
      <c r="AO127" s="27" t="str">
        <f aca="false">IFERROR(ciq($D127,"IQ_TEV_EBITDA"),"")</f>
        <v/>
      </c>
      <c r="AP127" s="24" t="str">
        <f aca="false">IFERROR(ciq($D127,"IQ_RETURN_EQUITY"),"")</f>
        <v/>
      </c>
      <c r="AQ127" s="24" t="str">
        <f aca="false">IFERROR(ciq($D127,"IQ_RETURN_CAPITAL"),"")</f>
        <v/>
      </c>
      <c r="AR127" s="24" t="str">
        <f aca="false">IFERROR(ciq($D127,"IQ_TOTAL_REV_1YR_ANN_GROWTH"),"")</f>
        <v/>
      </c>
      <c r="AS127" s="24" t="str">
        <f aca="false">IFERROR(ciq($D127,"IQ_EPS_1YR_ANN_GROWTH"),"")</f>
        <v/>
      </c>
      <c r="AT127" s="24" t="str">
        <f aca="false">IFERROR(ciq($D127,"IQ_DIVIDEND_YIELD"),"")</f>
        <v/>
      </c>
      <c r="AU127" s="24" t="str">
        <f aca="false">IFERROR(ciq($D127,"IQ_NET_DEBT"),"")</f>
        <v/>
      </c>
    </row>
    <row r="128" customFormat="false" ht="15" hidden="false" customHeight="false" outlineLevel="0" collapsed="false">
      <c r="A128" s="8" t="s">
        <v>952</v>
      </c>
      <c r="B128" s="8" t="s">
        <v>953</v>
      </c>
      <c r="C128" s="8" t="s">
        <v>72</v>
      </c>
      <c r="D128" s="8" t="s">
        <v>954</v>
      </c>
      <c r="E128" s="8" t="s">
        <v>955</v>
      </c>
      <c r="F128" s="6" t="s">
        <v>513</v>
      </c>
      <c r="G128" s="8" t="s">
        <v>55</v>
      </c>
      <c r="H128" s="8" t="s">
        <v>66</v>
      </c>
      <c r="I128" s="8"/>
      <c r="J128" s="8"/>
      <c r="K128" s="8"/>
      <c r="L128" s="8" t="s">
        <v>241</v>
      </c>
      <c r="M128" s="23" t="n">
        <v>88100</v>
      </c>
      <c r="N128" s="23" t="n">
        <v>38327.542028</v>
      </c>
      <c r="O128" s="23" t="n">
        <v>40470.142987</v>
      </c>
      <c r="P128" s="24" t="n">
        <v>297.409050125</v>
      </c>
      <c r="Q128" s="24" t="n">
        <v>728.516780108333</v>
      </c>
      <c r="R128" s="24" t="n">
        <v>297.409050125</v>
      </c>
      <c r="S128" s="25" t="n">
        <v>0.00775966927145313</v>
      </c>
      <c r="T128" s="26" t="n">
        <v>1.01814744413567</v>
      </c>
      <c r="U128" s="23" t="n">
        <v>1</v>
      </c>
      <c r="V128" s="26" t="n">
        <v>-0.06</v>
      </c>
      <c r="W128" s="26" t="n">
        <v>-0.0211385754227316</v>
      </c>
      <c r="X128" s="26" t="n">
        <v>-0.482520620687209</v>
      </c>
      <c r="Y128" s="26" t="n">
        <v>0.0371069473401122</v>
      </c>
      <c r="Z128" s="26" t="n">
        <v>0.30388879160539</v>
      </c>
      <c r="AA128" s="26" t="n">
        <v>0.9878556853996</v>
      </c>
      <c r="AB128" s="26" t="n">
        <v>-0.600332521505483</v>
      </c>
      <c r="AC128" s="27" t="n">
        <v>0.372337720800673</v>
      </c>
      <c r="AD128" s="28" t="n">
        <f aca="false">Params!$B$6*Params!$B$7*$R128</f>
        <v>178.445430075</v>
      </c>
      <c r="AE128" s="29" t="n">
        <f aca="false">MIN(Params!$B$9,AD128/Params!$B$4)</f>
        <v>0.06</v>
      </c>
      <c r="AF128" s="29" t="n">
        <f aca="false">MIN(Params!$B$9,AD128/Params!$B$5)</f>
        <v>0.06</v>
      </c>
      <c r="AG128" s="28" t="n">
        <f aca="false">IF($R128&gt;0,Params!$B$9*Params!$B$4/(Params!$B$6*$R128),"n/a")</f>
        <v>0.50435586925467</v>
      </c>
      <c r="AH128" s="28" t="n">
        <f aca="false">IF($R128&gt;0,Params!$B$9*Params!$B$5/(Params!$B$6*$R128),"n/a")</f>
        <v>1.00871173850934</v>
      </c>
      <c r="AI128" s="28" t="n">
        <f aca="false">IF($R128&gt;0,Params!$B$15*Params!$B$4/(Params!$B$6*$R128),"n/a")</f>
        <v>0.16811862308489</v>
      </c>
      <c r="AJ128" s="29" t="n">
        <f aca="false">MIN(Params!$B$9,AD128*Params!$B$8/Params!$B$4)</f>
        <v>0.06</v>
      </c>
      <c r="AK128" s="28" t="n">
        <f aca="false">IF($R128&gt;0,Params!$B$9*Params!$B$4/(Params!$B$6*$R128*Params!$B$8),"n/a")</f>
        <v>1.00871173850934</v>
      </c>
      <c r="AL128" s="27" t="str">
        <f aca="false">IFERROR(ciq($D128,"IQ_PE_EXCL"),"")</f>
        <v/>
      </c>
      <c r="AM128" s="27" t="str">
        <f aca="false">IFERROR(ciq($D128,"IQ_PE_EXCL_FWD_CIQ"),"")</f>
        <v/>
      </c>
      <c r="AN128" s="27" t="str">
        <f aca="false">IFERROR(ciq($D128,"IQ_PBV"),"")</f>
        <v/>
      </c>
      <c r="AO128" s="27" t="str">
        <f aca="false">IFERROR(ciq($D128,"IQ_TEV_EBITDA"),"")</f>
        <v/>
      </c>
      <c r="AP128" s="24" t="str">
        <f aca="false">IFERROR(ciq($D128,"IQ_RETURN_EQUITY"),"")</f>
        <v/>
      </c>
      <c r="AQ128" s="24" t="str">
        <f aca="false">IFERROR(ciq($D128,"IQ_RETURN_CAPITAL"),"")</f>
        <v/>
      </c>
      <c r="AR128" s="24" t="str">
        <f aca="false">IFERROR(ciq($D128,"IQ_TOTAL_REV_1YR_ANN_GROWTH"),"")</f>
        <v/>
      </c>
      <c r="AS128" s="24" t="str">
        <f aca="false">IFERROR(ciq($D128,"IQ_EPS_1YR_ANN_GROWTH"),"")</f>
        <v/>
      </c>
      <c r="AT128" s="24" t="str">
        <f aca="false">IFERROR(ciq($D128,"IQ_DIVIDEND_YIELD"),"")</f>
        <v/>
      </c>
      <c r="AU128" s="24" t="str">
        <f aca="false">IFERROR(ciq($D128,"IQ_NET_DEBT"),"")</f>
        <v/>
      </c>
    </row>
    <row r="129" customFormat="false" ht="15" hidden="false" customHeight="false" outlineLevel="0" collapsed="false">
      <c r="A129" s="8" t="s">
        <v>956</v>
      </c>
      <c r="B129" s="6" t="s">
        <v>957</v>
      </c>
      <c r="C129" s="8" t="s">
        <v>72</v>
      </c>
      <c r="D129" s="8" t="s">
        <v>958</v>
      </c>
      <c r="E129" s="8" t="s">
        <v>959</v>
      </c>
      <c r="F129" s="6" t="s">
        <v>550</v>
      </c>
      <c r="G129" s="8" t="s">
        <v>55</v>
      </c>
      <c r="H129" s="8" t="s">
        <v>66</v>
      </c>
      <c r="I129" s="8"/>
      <c r="J129" s="8"/>
      <c r="K129" s="8"/>
      <c r="L129" s="8"/>
      <c r="M129" s="23" t="n">
        <v>45600</v>
      </c>
      <c r="N129" s="23" t="n">
        <v>38051.896752</v>
      </c>
      <c r="O129" s="23" t="n">
        <v>38640.1991031</v>
      </c>
      <c r="P129" s="24" t="n">
        <v>272.08314485</v>
      </c>
      <c r="Q129" s="24" t="n">
        <v>397.399303808333</v>
      </c>
      <c r="R129" s="24" t="n">
        <v>272.08314485</v>
      </c>
      <c r="S129" s="25" t="n">
        <v>0.00715031754194223</v>
      </c>
      <c r="T129" s="26" t="n">
        <v>0.938724797761412</v>
      </c>
      <c r="U129" s="23" t="n">
        <v>0</v>
      </c>
      <c r="V129" s="26" t="n">
        <v>-0.06</v>
      </c>
      <c r="W129" s="26" t="n">
        <v>-0.0098109395237852</v>
      </c>
      <c r="X129" s="26" t="n">
        <v>-0.122785210056767</v>
      </c>
      <c r="Y129" s="26" t="n">
        <v>-0.0763678621445493</v>
      </c>
      <c r="Z129" s="26" t="n">
        <v>0.0623096493161406</v>
      </c>
      <c r="AA129" s="26" t="n">
        <v>0.100884677328511</v>
      </c>
      <c r="AB129" s="26" t="n">
        <v>-0.490286921524541</v>
      </c>
      <c r="AC129" s="27" t="n">
        <v>0.496724053146406</v>
      </c>
      <c r="AD129" s="28" t="n">
        <f aca="false">Params!$B$6*Params!$B$7*$R129</f>
        <v>163.24988691</v>
      </c>
      <c r="AE129" s="29" t="n">
        <f aca="false">MIN(Params!$B$9,AD129/Params!$B$4)</f>
        <v>0.06</v>
      </c>
      <c r="AF129" s="29" t="n">
        <f aca="false">MIN(Params!$B$9,AD129/Params!$B$5)</f>
        <v>0.06</v>
      </c>
      <c r="AG129" s="28" t="n">
        <f aca="false">IF($R129&gt;0,Params!$B$9*Params!$B$4/(Params!$B$6*$R129),"n/a")</f>
        <v>0.551302066442577</v>
      </c>
      <c r="AH129" s="28" t="n">
        <f aca="false">IF($R129&gt;0,Params!$B$9*Params!$B$5/(Params!$B$6*$R129),"n/a")</f>
        <v>1.10260413288515</v>
      </c>
      <c r="AI129" s="28" t="n">
        <f aca="false">IF($R129&gt;0,Params!$B$15*Params!$B$4/(Params!$B$6*$R129),"n/a")</f>
        <v>0.183767355480859</v>
      </c>
      <c r="AJ129" s="29" t="n">
        <f aca="false">MIN(Params!$B$9,AD129*Params!$B$8/Params!$B$4)</f>
        <v>0.06</v>
      </c>
      <c r="AK129" s="28" t="n">
        <f aca="false">IF($R129&gt;0,Params!$B$9*Params!$B$4/(Params!$B$6*$R129*Params!$B$8),"n/a")</f>
        <v>1.10260413288515</v>
      </c>
      <c r="AL129" s="27" t="str">
        <f aca="false">IFERROR(ciq($D129,"IQ_PE_EXCL"),"")</f>
        <v/>
      </c>
      <c r="AM129" s="27" t="str">
        <f aca="false">IFERROR(ciq($D129,"IQ_PE_EXCL_FWD_CIQ"),"")</f>
        <v/>
      </c>
      <c r="AN129" s="27" t="str">
        <f aca="false">IFERROR(ciq($D129,"IQ_PBV"),"")</f>
        <v/>
      </c>
      <c r="AO129" s="27" t="str">
        <f aca="false">IFERROR(ciq($D129,"IQ_TEV_EBITDA"),"")</f>
        <v/>
      </c>
      <c r="AP129" s="24" t="str">
        <f aca="false">IFERROR(ciq($D129,"IQ_RETURN_EQUITY"),"")</f>
        <v/>
      </c>
      <c r="AQ129" s="24" t="str">
        <f aca="false">IFERROR(ciq($D129,"IQ_RETURN_CAPITAL"),"")</f>
        <v/>
      </c>
      <c r="AR129" s="24" t="str">
        <f aca="false">IFERROR(ciq($D129,"IQ_TOTAL_REV_1YR_ANN_GROWTH"),"")</f>
        <v/>
      </c>
      <c r="AS129" s="24" t="str">
        <f aca="false">IFERROR(ciq($D129,"IQ_EPS_1YR_ANN_GROWTH"),"")</f>
        <v/>
      </c>
      <c r="AT129" s="24" t="str">
        <f aca="false">IFERROR(ciq($D129,"IQ_DIVIDEND_YIELD"),"")</f>
        <v/>
      </c>
      <c r="AU129" s="24" t="str">
        <f aca="false">IFERROR(ciq($D129,"IQ_NET_DEBT"),"")</f>
        <v/>
      </c>
    </row>
    <row r="130" customFormat="false" ht="15" hidden="false" customHeight="false" outlineLevel="0" collapsed="false">
      <c r="A130" s="8" t="s">
        <v>960</v>
      </c>
      <c r="B130" s="6" t="s">
        <v>961</v>
      </c>
      <c r="C130" s="8" t="s">
        <v>74</v>
      </c>
      <c r="D130" s="8" t="s">
        <v>962</v>
      </c>
      <c r="E130" s="8" t="s">
        <v>963</v>
      </c>
      <c r="F130" s="8"/>
      <c r="G130" s="8" t="s">
        <v>55</v>
      </c>
      <c r="H130" s="8" t="s">
        <v>66</v>
      </c>
      <c r="I130" s="8"/>
      <c r="J130" s="8"/>
      <c r="K130" s="8"/>
      <c r="L130" s="8" t="s">
        <v>241</v>
      </c>
      <c r="M130" s="23" t="n">
        <v>67600</v>
      </c>
      <c r="N130" s="23" t="n">
        <v>37847.524988</v>
      </c>
      <c r="O130" s="23" t="n">
        <v>44398.058159</v>
      </c>
      <c r="P130" s="24" t="n">
        <v>243.514161975</v>
      </c>
      <c r="Q130" s="24" t="n">
        <v>318.357080166667</v>
      </c>
      <c r="R130" s="24" t="n">
        <v>243.514161975</v>
      </c>
      <c r="S130" s="25" t="n">
        <v>0.00643408418521975</v>
      </c>
      <c r="T130" s="26" t="n">
        <v>0.922631461102942</v>
      </c>
      <c r="U130" s="23" t="n">
        <v>0</v>
      </c>
      <c r="V130" s="26" t="n">
        <v>-0.06</v>
      </c>
      <c r="W130" s="26" t="n">
        <v>-0.157061222368206</v>
      </c>
      <c r="X130" s="26" t="n">
        <v>-0.268264170397268</v>
      </c>
      <c r="Y130" s="26" t="n">
        <v>-0.629294671307126</v>
      </c>
      <c r="Z130" s="26" t="n">
        <v>-0.661961254819073</v>
      </c>
      <c r="AA130" s="26" t="n">
        <v>-0.238722614344568</v>
      </c>
      <c r="AB130" s="26" t="n">
        <v>-0.724619731917216</v>
      </c>
      <c r="AC130" s="27" t="n">
        <v>0.445795996735765</v>
      </c>
      <c r="AD130" s="28" t="n">
        <f aca="false">Params!$B$6*Params!$B$7*$R130</f>
        <v>146.108497185</v>
      </c>
      <c r="AE130" s="29" t="n">
        <f aca="false">MIN(Params!$B$9,AD130/Params!$B$4)</f>
        <v>0.06</v>
      </c>
      <c r="AF130" s="29" t="n">
        <f aca="false">MIN(Params!$B$9,AD130/Params!$B$5)</f>
        <v>0.06</v>
      </c>
      <c r="AG130" s="28" t="n">
        <f aca="false">IF($R130&gt;0,Params!$B$9*Params!$B$4/(Params!$B$6*$R130),"n/a")</f>
        <v>0.615980601634986</v>
      </c>
      <c r="AH130" s="28" t="n">
        <f aca="false">IF($R130&gt;0,Params!$B$9*Params!$B$5/(Params!$B$6*$R130),"n/a")</f>
        <v>1.23196120326997</v>
      </c>
      <c r="AI130" s="28" t="n">
        <f aca="false">IF($R130&gt;0,Params!$B$15*Params!$B$4/(Params!$B$6*$R130),"n/a")</f>
        <v>0.205326867211662</v>
      </c>
      <c r="AJ130" s="29" t="n">
        <f aca="false">MIN(Params!$B$9,AD130*Params!$B$8/Params!$B$4)</f>
        <v>0.06</v>
      </c>
      <c r="AK130" s="28" t="n">
        <f aca="false">IF($R130&gt;0,Params!$B$9*Params!$B$4/(Params!$B$6*$R130*Params!$B$8),"n/a")</f>
        <v>1.23196120326997</v>
      </c>
      <c r="AL130" s="27" t="str">
        <f aca="false">IFERROR(ciq($D130,"IQ_PE_EXCL"),"")</f>
        <v/>
      </c>
      <c r="AM130" s="27" t="str">
        <f aca="false">IFERROR(ciq($D130,"IQ_PE_EXCL_FWD_CIQ"),"")</f>
        <v/>
      </c>
      <c r="AN130" s="27" t="str">
        <f aca="false">IFERROR(ciq($D130,"IQ_PBV"),"")</f>
        <v/>
      </c>
      <c r="AO130" s="27" t="str">
        <f aca="false">IFERROR(ciq($D130,"IQ_TEV_EBITDA"),"")</f>
        <v/>
      </c>
      <c r="AP130" s="24" t="str">
        <f aca="false">IFERROR(ciq($D130,"IQ_RETURN_EQUITY"),"")</f>
        <v/>
      </c>
      <c r="AQ130" s="24" t="str">
        <f aca="false">IFERROR(ciq($D130,"IQ_RETURN_CAPITAL"),"")</f>
        <v/>
      </c>
      <c r="AR130" s="24" t="str">
        <f aca="false">IFERROR(ciq($D130,"IQ_TOTAL_REV_1YR_ANN_GROWTH"),"")</f>
        <v/>
      </c>
      <c r="AS130" s="24" t="str">
        <f aca="false">IFERROR(ciq($D130,"IQ_EPS_1YR_ANN_GROWTH"),"")</f>
        <v/>
      </c>
      <c r="AT130" s="24" t="str">
        <f aca="false">IFERROR(ciq($D130,"IQ_DIVIDEND_YIELD"),"")</f>
        <v/>
      </c>
      <c r="AU130" s="24" t="str">
        <f aca="false">IFERROR(ciq($D130,"IQ_NET_DEBT"),"")</f>
        <v/>
      </c>
    </row>
    <row r="131" customFormat="false" ht="15" hidden="false" customHeight="false" outlineLevel="0" collapsed="false">
      <c r="A131" s="8" t="s">
        <v>268</v>
      </c>
      <c r="B131" s="8" t="s">
        <v>269</v>
      </c>
      <c r="C131" s="8" t="s">
        <v>72</v>
      </c>
      <c r="D131" s="8" t="s">
        <v>964</v>
      </c>
      <c r="E131" s="8" t="s">
        <v>965</v>
      </c>
      <c r="F131" s="6" t="s">
        <v>536</v>
      </c>
      <c r="G131" s="8" t="s">
        <v>55</v>
      </c>
      <c r="H131" s="8" t="s">
        <v>66</v>
      </c>
      <c r="I131" s="8" t="s">
        <v>508</v>
      </c>
      <c r="J131" s="6" t="s">
        <v>270</v>
      </c>
      <c r="K131" s="6" t="s">
        <v>271</v>
      </c>
      <c r="L131" s="8"/>
      <c r="M131" s="23" t="n">
        <v>128500</v>
      </c>
      <c r="N131" s="23" t="n">
        <v>37492.44243</v>
      </c>
      <c r="O131" s="23" t="n">
        <v>38609.9214534</v>
      </c>
      <c r="P131" s="24" t="n">
        <v>166.411955897</v>
      </c>
      <c r="Q131" s="24" t="n">
        <v>181.254887165667</v>
      </c>
      <c r="R131" s="24" t="n">
        <v>166.411955897</v>
      </c>
      <c r="S131" s="25" t="n">
        <v>0.00443854668064633</v>
      </c>
      <c r="T131" s="26" t="n">
        <v>0.563258833959929</v>
      </c>
      <c r="U131" s="23" t="n">
        <v>0</v>
      </c>
      <c r="V131" s="26" t="n">
        <v>-0.06</v>
      </c>
      <c r="W131" s="26" t="n">
        <v>-0.067464962519213</v>
      </c>
      <c r="X131" s="26" t="n">
        <v>-0.285267112919265</v>
      </c>
      <c r="Y131" s="26" t="n">
        <v>-0.29574836128279</v>
      </c>
      <c r="Z131" s="26" t="n">
        <v>-0.252501205985554</v>
      </c>
      <c r="AA131" s="26" t="n">
        <v>-0.1581631314067</v>
      </c>
      <c r="AB131" s="26" t="n">
        <v>-0.445889057946965</v>
      </c>
      <c r="AC131" s="27" t="n">
        <v>0.674194027147835</v>
      </c>
      <c r="AD131" s="28" t="n">
        <f aca="false">Params!$B$6*Params!$B$7*$R131</f>
        <v>99.8471735382</v>
      </c>
      <c r="AE131" s="29" t="n">
        <f aca="false">MIN(Params!$B$9,AD131/Params!$B$4)</f>
        <v>0.06</v>
      </c>
      <c r="AF131" s="29" t="n">
        <f aca="false">MIN(Params!$B$9,AD131/Params!$B$5)</f>
        <v>0.06</v>
      </c>
      <c r="AG131" s="28" t="n">
        <f aca="false">IF($R131&gt;0,Params!$B$9*Params!$B$4/(Params!$B$6*$R131),"n/a")</f>
        <v>0.901377543407049</v>
      </c>
      <c r="AH131" s="28" t="n">
        <f aca="false">IF($R131&gt;0,Params!$B$9*Params!$B$5/(Params!$B$6*$R131),"n/a")</f>
        <v>1.8027550868141</v>
      </c>
      <c r="AI131" s="28" t="n">
        <f aca="false">IF($R131&gt;0,Params!$B$15*Params!$B$4/(Params!$B$6*$R131),"n/a")</f>
        <v>0.300459181135683</v>
      </c>
      <c r="AJ131" s="29" t="n">
        <f aca="false">MIN(Params!$B$9,AD131*Params!$B$8/Params!$B$4)</f>
        <v>0.06</v>
      </c>
      <c r="AK131" s="28" t="n">
        <f aca="false">IF($R131&gt;0,Params!$B$9*Params!$B$4/(Params!$B$6*$R131*Params!$B$8),"n/a")</f>
        <v>1.8027550868141</v>
      </c>
      <c r="AL131" s="27" t="str">
        <f aca="false">IFERROR(ciq($D131,"IQ_PE_EXCL"),"")</f>
        <v/>
      </c>
      <c r="AM131" s="27" t="str">
        <f aca="false">IFERROR(ciq($D131,"IQ_PE_EXCL_FWD_CIQ"),"")</f>
        <v/>
      </c>
      <c r="AN131" s="27" t="str">
        <f aca="false">IFERROR(ciq($D131,"IQ_PBV"),"")</f>
        <v/>
      </c>
      <c r="AO131" s="27" t="str">
        <f aca="false">IFERROR(ciq($D131,"IQ_TEV_EBITDA"),"")</f>
        <v/>
      </c>
      <c r="AP131" s="24" t="str">
        <f aca="false">IFERROR(ciq($D131,"IQ_RETURN_EQUITY"),"")</f>
        <v/>
      </c>
      <c r="AQ131" s="24" t="str">
        <f aca="false">IFERROR(ciq($D131,"IQ_RETURN_CAPITAL"),"")</f>
        <v/>
      </c>
      <c r="AR131" s="24" t="str">
        <f aca="false">IFERROR(ciq($D131,"IQ_TOTAL_REV_1YR_ANN_GROWTH"),"")</f>
        <v/>
      </c>
      <c r="AS131" s="24" t="str">
        <f aca="false">IFERROR(ciq($D131,"IQ_EPS_1YR_ANN_GROWTH"),"")</f>
        <v/>
      </c>
      <c r="AT131" s="24" t="str">
        <f aca="false">IFERROR(ciq($D131,"IQ_DIVIDEND_YIELD"),"")</f>
        <v/>
      </c>
      <c r="AU131" s="24" t="str">
        <f aca="false">IFERROR(ciq($D131,"IQ_NET_DEBT"),"")</f>
        <v/>
      </c>
    </row>
    <row r="132" customFormat="false" ht="15" hidden="false" customHeight="false" outlineLevel="0" collapsed="false">
      <c r="A132" s="8" t="s">
        <v>966</v>
      </c>
      <c r="B132" s="6" t="s">
        <v>967</v>
      </c>
      <c r="C132" s="8" t="s">
        <v>73</v>
      </c>
      <c r="D132" s="8" t="s">
        <v>968</v>
      </c>
      <c r="E132" s="8" t="s">
        <v>969</v>
      </c>
      <c r="F132" s="6" t="s">
        <v>852</v>
      </c>
      <c r="G132" s="8" t="s">
        <v>55</v>
      </c>
      <c r="H132" s="8" t="s">
        <v>66</v>
      </c>
      <c r="I132" s="8"/>
      <c r="J132" s="8"/>
      <c r="K132" s="8"/>
      <c r="L132" s="8" t="s">
        <v>115</v>
      </c>
      <c r="M132" s="23" t="n">
        <v>155400</v>
      </c>
      <c r="N132" s="23" t="n">
        <v>36452.911488</v>
      </c>
      <c r="O132" s="23" t="n">
        <v>40971.9934688</v>
      </c>
      <c r="P132" s="24" t="n">
        <v>261.269864225</v>
      </c>
      <c r="Q132" s="24" t="n">
        <v>375.862570375</v>
      </c>
      <c r="R132" s="24" t="n">
        <v>261.269864225</v>
      </c>
      <c r="S132" s="25" t="n">
        <v>0.00716732501081588</v>
      </c>
      <c r="T132" s="26" t="n">
        <v>1.24054528054592</v>
      </c>
      <c r="U132" s="23" t="n">
        <v>3</v>
      </c>
      <c r="V132" s="26" t="n">
        <v>-0.04</v>
      </c>
      <c r="W132" s="26" t="n">
        <v>-0.0671851782869982</v>
      </c>
      <c r="X132" s="26" t="n">
        <v>-0.359142594835956</v>
      </c>
      <c r="Y132" s="26" t="n">
        <v>-0.799200065913841</v>
      </c>
      <c r="Z132" s="26" t="n">
        <v>-0.331527822292678</v>
      </c>
      <c r="AA132" s="26" t="n">
        <v>-0.155986888107609</v>
      </c>
      <c r="AB132" s="26" t="n">
        <v>-0.868726004834557</v>
      </c>
      <c r="AC132" s="27" t="n">
        <v>0.211831841104513</v>
      </c>
      <c r="AD132" s="28" t="n">
        <f aca="false">Params!$B$6*Params!$B$7*$R132</f>
        <v>156.761918535</v>
      </c>
      <c r="AE132" s="29" t="n">
        <f aca="false">MIN(Params!$B$9,AD132/Params!$B$4)</f>
        <v>0.06</v>
      </c>
      <c r="AF132" s="29" t="n">
        <f aca="false">MIN(Params!$B$9,AD132/Params!$B$5)</f>
        <v>0.06</v>
      </c>
      <c r="AG132" s="28" t="n">
        <f aca="false">IF($R132&gt;0,Params!$B$9*Params!$B$4/(Params!$B$6*$R132),"n/a")</f>
        <v>0.574119026107134</v>
      </c>
      <c r="AH132" s="28" t="n">
        <f aca="false">IF($R132&gt;0,Params!$B$9*Params!$B$5/(Params!$B$6*$R132),"n/a")</f>
        <v>1.14823805221427</v>
      </c>
      <c r="AI132" s="28" t="n">
        <f aca="false">IF($R132&gt;0,Params!$B$15*Params!$B$4/(Params!$B$6*$R132),"n/a")</f>
        <v>0.191373008702378</v>
      </c>
      <c r="AJ132" s="29" t="n">
        <f aca="false">MIN(Params!$B$9,AD132*Params!$B$8/Params!$B$4)</f>
        <v>0.06</v>
      </c>
      <c r="AK132" s="28" t="n">
        <f aca="false">IF($R132&gt;0,Params!$B$9*Params!$B$4/(Params!$B$6*$R132*Params!$B$8),"n/a")</f>
        <v>1.14823805221427</v>
      </c>
      <c r="AL132" s="27" t="str">
        <f aca="false">IFERROR(ciq($D132,"IQ_PE_EXCL"),"")</f>
        <v/>
      </c>
      <c r="AM132" s="27" t="str">
        <f aca="false">IFERROR(ciq($D132,"IQ_PE_EXCL_FWD_CIQ"),"")</f>
        <v/>
      </c>
      <c r="AN132" s="27" t="str">
        <f aca="false">IFERROR(ciq($D132,"IQ_PBV"),"")</f>
        <v/>
      </c>
      <c r="AO132" s="27" t="str">
        <f aca="false">IFERROR(ciq($D132,"IQ_TEV_EBITDA"),"")</f>
        <v/>
      </c>
      <c r="AP132" s="24" t="str">
        <f aca="false">IFERROR(ciq($D132,"IQ_RETURN_EQUITY"),"")</f>
        <v/>
      </c>
      <c r="AQ132" s="24" t="str">
        <f aca="false">IFERROR(ciq($D132,"IQ_RETURN_CAPITAL"),"")</f>
        <v/>
      </c>
      <c r="AR132" s="24" t="str">
        <f aca="false">IFERROR(ciq($D132,"IQ_TOTAL_REV_1YR_ANN_GROWTH"),"")</f>
        <v/>
      </c>
      <c r="AS132" s="24" t="str">
        <f aca="false">IFERROR(ciq($D132,"IQ_EPS_1YR_ANN_GROWTH"),"")</f>
        <v/>
      </c>
      <c r="AT132" s="24" t="str">
        <f aca="false">IFERROR(ciq($D132,"IQ_DIVIDEND_YIELD"),"")</f>
        <v/>
      </c>
      <c r="AU132" s="24" t="str">
        <f aca="false">IFERROR(ciq($D132,"IQ_NET_DEBT"),"")</f>
        <v/>
      </c>
    </row>
    <row r="133" customFormat="false" ht="15" hidden="false" customHeight="false" outlineLevel="0" collapsed="false">
      <c r="A133" s="8" t="s">
        <v>970</v>
      </c>
      <c r="B133" s="6" t="s">
        <v>971</v>
      </c>
      <c r="C133" s="8" t="s">
        <v>73</v>
      </c>
      <c r="D133" s="8" t="s">
        <v>972</v>
      </c>
      <c r="E133" s="8" t="s">
        <v>973</v>
      </c>
      <c r="F133" s="8"/>
      <c r="G133" s="8" t="s">
        <v>55</v>
      </c>
      <c r="H133" s="8" t="s">
        <v>66</v>
      </c>
      <c r="I133" s="8"/>
      <c r="J133" s="8"/>
      <c r="K133" s="8"/>
      <c r="L133" s="8" t="s">
        <v>514</v>
      </c>
      <c r="M133" s="23" t="n">
        <v>248500</v>
      </c>
      <c r="N133" s="23" t="n">
        <v>36447.56458</v>
      </c>
      <c r="O133" s="23" t="n">
        <v>37106.417611</v>
      </c>
      <c r="P133" s="24" t="n">
        <v>580.710848</v>
      </c>
      <c r="Q133" s="24" t="n">
        <v>545.452502733333</v>
      </c>
      <c r="R133" s="24" t="n">
        <v>545.452502733333</v>
      </c>
      <c r="S133" s="25" t="n">
        <v>0.0159327750617021</v>
      </c>
      <c r="T133" s="26" t="n">
        <v>1.09599849307084</v>
      </c>
      <c r="U133" s="23" t="n">
        <v>2</v>
      </c>
      <c r="V133" s="26" t="n">
        <v>-0.04</v>
      </c>
      <c r="W133" s="26" t="n">
        <v>0.0267557020071121</v>
      </c>
      <c r="X133" s="26" t="n">
        <v>-0.142982264407882</v>
      </c>
      <c r="Y133" s="26" t="n">
        <v>-0.00237066441095801</v>
      </c>
      <c r="Z133" s="26" t="n">
        <v>-0.0482815189760758</v>
      </c>
      <c r="AA133" s="26" t="n">
        <v>1.53256530167273</v>
      </c>
      <c r="AB133" s="26" t="n">
        <v>-0.386395973933926</v>
      </c>
      <c r="AC133" s="27" t="n">
        <v>0.736244079862782</v>
      </c>
      <c r="AD133" s="28" t="n">
        <f aca="false">Params!$B$6*Params!$B$7*$R133</f>
        <v>327.27150164</v>
      </c>
      <c r="AE133" s="29" t="n">
        <f aca="false">MIN(Params!$B$9,AD133/Params!$B$4)</f>
        <v>0.06</v>
      </c>
      <c r="AF133" s="29" t="n">
        <f aca="false">MIN(Params!$B$9,AD133/Params!$B$5)</f>
        <v>0.06</v>
      </c>
      <c r="AG133" s="28" t="n">
        <f aca="false">IF($R133&gt;0,Params!$B$9*Params!$B$4/(Params!$B$6*$R133),"n/a")</f>
        <v>0.275001029875801</v>
      </c>
      <c r="AH133" s="28" t="n">
        <f aca="false">IF($R133&gt;0,Params!$B$9*Params!$B$5/(Params!$B$6*$R133),"n/a")</f>
        <v>0.550002059751603</v>
      </c>
      <c r="AI133" s="28" t="n">
        <f aca="false">IF($R133&gt;0,Params!$B$15*Params!$B$4/(Params!$B$6*$R133),"n/a")</f>
        <v>0.0916670099586004</v>
      </c>
      <c r="AJ133" s="29" t="n">
        <f aca="false">MIN(Params!$B$9,AD133*Params!$B$8/Params!$B$4)</f>
        <v>0.06</v>
      </c>
      <c r="AK133" s="28" t="n">
        <f aca="false">IF($R133&gt;0,Params!$B$9*Params!$B$4/(Params!$B$6*$R133*Params!$B$8),"n/a")</f>
        <v>0.550002059751603</v>
      </c>
      <c r="AL133" s="27" t="str">
        <f aca="false">IFERROR(ciq($D133,"IQ_PE_EXCL"),"")</f>
        <v/>
      </c>
      <c r="AM133" s="27" t="str">
        <f aca="false">IFERROR(ciq($D133,"IQ_PE_EXCL_FWD_CIQ"),"")</f>
        <v/>
      </c>
      <c r="AN133" s="27" t="str">
        <f aca="false">IFERROR(ciq($D133,"IQ_PBV"),"")</f>
        <v/>
      </c>
      <c r="AO133" s="27" t="str">
        <f aca="false">IFERROR(ciq($D133,"IQ_TEV_EBITDA"),"")</f>
        <v/>
      </c>
      <c r="AP133" s="24" t="str">
        <f aca="false">IFERROR(ciq($D133,"IQ_RETURN_EQUITY"),"")</f>
        <v/>
      </c>
      <c r="AQ133" s="24" t="str">
        <f aca="false">IFERROR(ciq($D133,"IQ_RETURN_CAPITAL"),"")</f>
        <v/>
      </c>
      <c r="AR133" s="24" t="str">
        <f aca="false">IFERROR(ciq($D133,"IQ_TOTAL_REV_1YR_ANN_GROWTH"),"")</f>
        <v/>
      </c>
      <c r="AS133" s="24" t="str">
        <f aca="false">IFERROR(ciq($D133,"IQ_EPS_1YR_ANN_GROWTH"),"")</f>
        <v/>
      </c>
      <c r="AT133" s="24" t="str">
        <f aca="false">IFERROR(ciq($D133,"IQ_DIVIDEND_YIELD"),"")</f>
        <v/>
      </c>
      <c r="AU133" s="24" t="str">
        <f aca="false">IFERROR(ciq($D133,"IQ_NET_DEBT"),"")</f>
        <v/>
      </c>
    </row>
    <row r="134" customFormat="false" ht="15" hidden="false" customHeight="false" outlineLevel="0" collapsed="false">
      <c r="A134" s="8" t="s">
        <v>974</v>
      </c>
      <c r="B134" s="8" t="s">
        <v>975</v>
      </c>
      <c r="C134" s="8" t="s">
        <v>73</v>
      </c>
      <c r="D134" s="8" t="s">
        <v>976</v>
      </c>
      <c r="E134" s="8" t="s">
        <v>977</v>
      </c>
      <c r="F134" s="6" t="s">
        <v>523</v>
      </c>
      <c r="G134" s="8" t="s">
        <v>55</v>
      </c>
      <c r="H134" s="8" t="s">
        <v>66</v>
      </c>
      <c r="I134" s="8"/>
      <c r="J134" s="8"/>
      <c r="K134" s="8"/>
      <c r="L134" s="8"/>
      <c r="M134" s="23" t="n">
        <v>171700</v>
      </c>
      <c r="N134" s="23" t="n">
        <v>36395.348586</v>
      </c>
      <c r="O134" s="23" t="n">
        <v>33845.3425086</v>
      </c>
      <c r="P134" s="24" t="n">
        <v>256.450182825</v>
      </c>
      <c r="Q134" s="24" t="n">
        <v>453.741310275</v>
      </c>
      <c r="R134" s="24" t="n">
        <v>256.450182825</v>
      </c>
      <c r="S134" s="25" t="n">
        <v>0.00704623510389037</v>
      </c>
      <c r="T134" s="26" t="n">
        <v>1.05986752544435</v>
      </c>
      <c r="U134" s="23" t="n">
        <v>1</v>
      </c>
      <c r="V134" s="26" t="n">
        <v>-0.06</v>
      </c>
      <c r="W134" s="26" t="n">
        <v>0.22448204358604</v>
      </c>
      <c r="X134" s="26" t="n">
        <v>-0.0579519621485822</v>
      </c>
      <c r="Y134" s="26" t="n">
        <v>-0.0160662749867622</v>
      </c>
      <c r="Z134" s="26" t="n">
        <v>0.544423977511479</v>
      </c>
      <c r="AA134" s="26" t="n">
        <v>1.96391363933655</v>
      </c>
      <c r="AB134" s="26" t="n">
        <v>-0.366676754415494</v>
      </c>
      <c r="AC134" s="27" t="n">
        <v>0.436486357012183</v>
      </c>
      <c r="AD134" s="28" t="n">
        <f aca="false">Params!$B$6*Params!$B$7*$R134</f>
        <v>153.870109695</v>
      </c>
      <c r="AE134" s="29" t="n">
        <f aca="false">MIN(Params!$B$9,AD134/Params!$B$4)</f>
        <v>0.06</v>
      </c>
      <c r="AF134" s="29" t="n">
        <f aca="false">MIN(Params!$B$9,AD134/Params!$B$5)</f>
        <v>0.06</v>
      </c>
      <c r="AG134" s="28" t="n">
        <f aca="false">IF($R134&gt;0,Params!$B$9*Params!$B$4/(Params!$B$6*$R134),"n/a")</f>
        <v>0.584908922066782</v>
      </c>
      <c r="AH134" s="28" t="n">
        <f aca="false">IF($R134&gt;0,Params!$B$9*Params!$B$5/(Params!$B$6*$R134),"n/a")</f>
        <v>1.16981784413356</v>
      </c>
      <c r="AI134" s="28" t="n">
        <f aca="false">IF($R134&gt;0,Params!$B$15*Params!$B$4/(Params!$B$6*$R134),"n/a")</f>
        <v>0.194969640688927</v>
      </c>
      <c r="AJ134" s="29" t="n">
        <f aca="false">MIN(Params!$B$9,AD134*Params!$B$8/Params!$B$4)</f>
        <v>0.06</v>
      </c>
      <c r="AK134" s="28" t="n">
        <f aca="false">IF($R134&gt;0,Params!$B$9*Params!$B$4/(Params!$B$6*$R134*Params!$B$8),"n/a")</f>
        <v>1.16981784413356</v>
      </c>
      <c r="AL134" s="27" t="str">
        <f aca="false">IFERROR(ciq($D134,"IQ_PE_EXCL"),"")</f>
        <v/>
      </c>
      <c r="AM134" s="27" t="str">
        <f aca="false">IFERROR(ciq($D134,"IQ_PE_EXCL_FWD_CIQ"),"")</f>
        <v/>
      </c>
      <c r="AN134" s="27" t="str">
        <f aca="false">IFERROR(ciq($D134,"IQ_PBV"),"")</f>
        <v/>
      </c>
      <c r="AO134" s="27" t="str">
        <f aca="false">IFERROR(ciq($D134,"IQ_TEV_EBITDA"),"")</f>
        <v/>
      </c>
      <c r="AP134" s="24" t="str">
        <f aca="false">IFERROR(ciq($D134,"IQ_RETURN_EQUITY"),"")</f>
        <v/>
      </c>
      <c r="AQ134" s="24" t="str">
        <f aca="false">IFERROR(ciq($D134,"IQ_RETURN_CAPITAL"),"")</f>
        <v/>
      </c>
      <c r="AR134" s="24" t="str">
        <f aca="false">IFERROR(ciq($D134,"IQ_TOTAL_REV_1YR_ANN_GROWTH"),"")</f>
        <v/>
      </c>
      <c r="AS134" s="24" t="str">
        <f aca="false">IFERROR(ciq($D134,"IQ_EPS_1YR_ANN_GROWTH"),"")</f>
        <v/>
      </c>
      <c r="AT134" s="24" t="str">
        <f aca="false">IFERROR(ciq($D134,"IQ_DIVIDEND_YIELD"),"")</f>
        <v/>
      </c>
      <c r="AU134" s="24" t="str">
        <f aca="false">IFERROR(ciq($D134,"IQ_NET_DEBT"),"")</f>
        <v/>
      </c>
    </row>
    <row r="135" customFormat="false" ht="15" hidden="false" customHeight="false" outlineLevel="0" collapsed="false">
      <c r="A135" s="8" t="s">
        <v>272</v>
      </c>
      <c r="B135" s="6" t="s">
        <v>273</v>
      </c>
      <c r="C135" s="8" t="s">
        <v>72</v>
      </c>
      <c r="D135" s="8" t="s">
        <v>978</v>
      </c>
      <c r="E135" s="8" t="s">
        <v>979</v>
      </c>
      <c r="F135" s="6" t="s">
        <v>550</v>
      </c>
      <c r="G135" s="8" t="s">
        <v>55</v>
      </c>
      <c r="H135" s="8" t="s">
        <v>66</v>
      </c>
      <c r="I135" s="8" t="s">
        <v>508</v>
      </c>
      <c r="J135" s="8" t="s">
        <v>166</v>
      </c>
      <c r="K135" s="6" t="s">
        <v>274</v>
      </c>
      <c r="L135" s="6" t="s">
        <v>124</v>
      </c>
      <c r="M135" s="23" t="n">
        <v>3495</v>
      </c>
      <c r="N135" s="23" t="n">
        <v>35867.8761924</v>
      </c>
      <c r="O135" s="23" t="n">
        <v>36868.4821806</v>
      </c>
      <c r="P135" s="24" t="n">
        <v>118.07578766</v>
      </c>
      <c r="Q135" s="24" t="n">
        <v>328.111000837833</v>
      </c>
      <c r="R135" s="24" t="n">
        <v>118.07578766</v>
      </c>
      <c r="S135" s="25" t="n">
        <v>0.00329196484973423</v>
      </c>
      <c r="T135" s="26" t="n">
        <v>0.7646579356212</v>
      </c>
      <c r="U135" s="23" t="n">
        <v>0</v>
      </c>
      <c r="V135" s="26" t="n">
        <v>-0.06</v>
      </c>
      <c r="W135" s="26" t="n">
        <v>-0.00977549107481401</v>
      </c>
      <c r="X135" s="26" t="n">
        <v>-0.207175565760939</v>
      </c>
      <c r="Y135" s="26" t="n">
        <v>-0.139546141179153</v>
      </c>
      <c r="Z135" s="26" t="n">
        <v>0.180128678617864</v>
      </c>
      <c r="AA135" s="26" t="n">
        <v>0.0255974512739099</v>
      </c>
      <c r="AB135" s="26" t="n">
        <v>-0.389822595462583</v>
      </c>
      <c r="AC135" s="27" t="n">
        <v>0.157835455459756</v>
      </c>
      <c r="AD135" s="28" t="n">
        <f aca="false">Params!$B$6*Params!$B$7*$R135</f>
        <v>70.845472596</v>
      </c>
      <c r="AE135" s="29" t="n">
        <f aca="false">MIN(Params!$B$9,AD135/Params!$B$4)</f>
        <v>0.06</v>
      </c>
      <c r="AF135" s="29" t="n">
        <f aca="false">MIN(Params!$B$9,AD135/Params!$B$5)</f>
        <v>0.06</v>
      </c>
      <c r="AG135" s="28" t="n">
        <f aca="false">IF($R135&gt;0,Params!$B$9*Params!$B$4/(Params!$B$6*$R135),"n/a")</f>
        <v>1.270370521956</v>
      </c>
      <c r="AH135" s="28" t="n">
        <f aca="false">IF($R135&gt;0,Params!$B$9*Params!$B$5/(Params!$B$6*$R135),"n/a")</f>
        <v>2.540741043912</v>
      </c>
      <c r="AI135" s="28" t="n">
        <f aca="false">IF($R135&gt;0,Params!$B$15*Params!$B$4/(Params!$B$6*$R135),"n/a")</f>
        <v>0.423456840652</v>
      </c>
      <c r="AJ135" s="29" t="n">
        <f aca="false">MIN(Params!$B$9,AD135*Params!$B$8/Params!$B$4)</f>
        <v>0.06</v>
      </c>
      <c r="AK135" s="28" t="n">
        <f aca="false">IF($R135&gt;0,Params!$B$9*Params!$B$4/(Params!$B$6*$R135*Params!$B$8),"n/a")</f>
        <v>2.540741043912</v>
      </c>
      <c r="AL135" s="27" t="str">
        <f aca="false">IFERROR(ciq($D135,"IQ_PE_EXCL"),"")</f>
        <v/>
      </c>
      <c r="AM135" s="27" t="str">
        <f aca="false">IFERROR(ciq($D135,"IQ_PE_EXCL_FWD_CIQ"),"")</f>
        <v/>
      </c>
      <c r="AN135" s="27" t="str">
        <f aca="false">IFERROR(ciq($D135,"IQ_PBV"),"")</f>
        <v/>
      </c>
      <c r="AO135" s="27" t="str">
        <f aca="false">IFERROR(ciq($D135,"IQ_TEV_EBITDA"),"")</f>
        <v/>
      </c>
      <c r="AP135" s="24" t="str">
        <f aca="false">IFERROR(ciq($D135,"IQ_RETURN_EQUITY"),"")</f>
        <v/>
      </c>
      <c r="AQ135" s="24" t="str">
        <f aca="false">IFERROR(ciq($D135,"IQ_RETURN_CAPITAL"),"")</f>
        <v/>
      </c>
      <c r="AR135" s="24" t="str">
        <f aca="false">IFERROR(ciq($D135,"IQ_TOTAL_REV_1YR_ANN_GROWTH"),"")</f>
        <v/>
      </c>
      <c r="AS135" s="24" t="str">
        <f aca="false">IFERROR(ciq($D135,"IQ_EPS_1YR_ANN_GROWTH"),"")</f>
        <v/>
      </c>
      <c r="AT135" s="24" t="str">
        <f aca="false">IFERROR(ciq($D135,"IQ_DIVIDEND_YIELD"),"")</f>
        <v/>
      </c>
      <c r="AU135" s="24" t="str">
        <f aca="false">IFERROR(ciq($D135,"IQ_NET_DEBT"),"")</f>
        <v/>
      </c>
    </row>
    <row r="136" customFormat="false" ht="15" hidden="false" customHeight="false" outlineLevel="0" collapsed="false">
      <c r="A136" s="8" t="s">
        <v>275</v>
      </c>
      <c r="B136" s="6" t="s">
        <v>276</v>
      </c>
      <c r="C136" s="8" t="s">
        <v>72</v>
      </c>
      <c r="D136" s="8" t="s">
        <v>980</v>
      </c>
      <c r="E136" s="8" t="s">
        <v>981</v>
      </c>
      <c r="F136" s="6" t="s">
        <v>982</v>
      </c>
      <c r="G136" s="8" t="s">
        <v>55</v>
      </c>
      <c r="H136" s="8" t="s">
        <v>66</v>
      </c>
      <c r="I136" s="8" t="s">
        <v>508</v>
      </c>
      <c r="J136" s="6" t="s">
        <v>277</v>
      </c>
      <c r="K136" s="6" t="s">
        <v>278</v>
      </c>
      <c r="L136" s="8" t="s">
        <v>241</v>
      </c>
      <c r="M136" s="23" t="n">
        <v>379500</v>
      </c>
      <c r="N136" s="23" t="n">
        <v>35844.461895</v>
      </c>
      <c r="O136" s="23" t="n">
        <v>38959.01032975</v>
      </c>
      <c r="P136" s="24" t="n">
        <v>364.640794</v>
      </c>
      <c r="Q136" s="24" t="n">
        <v>535.9855679535</v>
      </c>
      <c r="R136" s="24" t="n">
        <v>364.640794</v>
      </c>
      <c r="S136" s="25" t="n">
        <v>0.0101728628279635</v>
      </c>
      <c r="T136" s="26" t="n">
        <v>0.803883858800933</v>
      </c>
      <c r="U136" s="23" t="n">
        <v>0</v>
      </c>
      <c r="V136" s="26" t="n">
        <v>-0.06</v>
      </c>
      <c r="W136" s="26" t="n">
        <v>-0.117212596115402</v>
      </c>
      <c r="X136" s="26" t="n">
        <v>-0.391641687892892</v>
      </c>
      <c r="Y136" s="26" t="n">
        <v>0.109885070578866</v>
      </c>
      <c r="Z136" s="26" t="n">
        <v>0.536297914079033</v>
      </c>
      <c r="AA136" s="26" t="n">
        <v>1.27538506524961</v>
      </c>
      <c r="AB136" s="26" t="n">
        <v>-0.510830550454253</v>
      </c>
      <c r="AC136" s="27" t="n">
        <v>0.82380142389414</v>
      </c>
      <c r="AD136" s="28" t="n">
        <f aca="false">Params!$B$6*Params!$B$7*$R136</f>
        <v>218.7844764</v>
      </c>
      <c r="AE136" s="29" t="n">
        <f aca="false">MIN(Params!$B$9,AD136/Params!$B$4)</f>
        <v>0.06</v>
      </c>
      <c r="AF136" s="29" t="n">
        <f aca="false">MIN(Params!$B$9,AD136/Params!$B$5)</f>
        <v>0.06</v>
      </c>
      <c r="AG136" s="28" t="n">
        <f aca="false">IF($R136&gt;0,Params!$B$9*Params!$B$4/(Params!$B$6*$R136),"n/a")</f>
        <v>0.411363737870755</v>
      </c>
      <c r="AH136" s="28" t="n">
        <f aca="false">IF($R136&gt;0,Params!$B$9*Params!$B$5/(Params!$B$6*$R136),"n/a")</f>
        <v>0.82272747574151</v>
      </c>
      <c r="AI136" s="28" t="n">
        <f aca="false">IF($R136&gt;0,Params!$B$15*Params!$B$4/(Params!$B$6*$R136),"n/a")</f>
        <v>0.137121245956918</v>
      </c>
      <c r="AJ136" s="29" t="n">
        <f aca="false">MIN(Params!$B$9,AD136*Params!$B$8/Params!$B$4)</f>
        <v>0.06</v>
      </c>
      <c r="AK136" s="28" t="n">
        <f aca="false">IF($R136&gt;0,Params!$B$9*Params!$B$4/(Params!$B$6*$R136*Params!$B$8),"n/a")</f>
        <v>0.82272747574151</v>
      </c>
      <c r="AL136" s="27" t="str">
        <f aca="false">IFERROR(ciq($D136,"IQ_PE_EXCL"),"")</f>
        <v/>
      </c>
      <c r="AM136" s="27" t="str">
        <f aca="false">IFERROR(ciq($D136,"IQ_PE_EXCL_FWD_CIQ"),"")</f>
        <v/>
      </c>
      <c r="AN136" s="27" t="str">
        <f aca="false">IFERROR(ciq($D136,"IQ_PBV"),"")</f>
        <v/>
      </c>
      <c r="AO136" s="27" t="str">
        <f aca="false">IFERROR(ciq($D136,"IQ_TEV_EBITDA"),"")</f>
        <v/>
      </c>
      <c r="AP136" s="24" t="str">
        <f aca="false">IFERROR(ciq($D136,"IQ_RETURN_EQUITY"),"")</f>
        <v/>
      </c>
      <c r="AQ136" s="24" t="str">
        <f aca="false">IFERROR(ciq($D136,"IQ_RETURN_CAPITAL"),"")</f>
        <v/>
      </c>
      <c r="AR136" s="24" t="str">
        <f aca="false">IFERROR(ciq($D136,"IQ_TOTAL_REV_1YR_ANN_GROWTH"),"")</f>
        <v/>
      </c>
      <c r="AS136" s="24" t="str">
        <f aca="false">IFERROR(ciq($D136,"IQ_EPS_1YR_ANN_GROWTH"),"")</f>
        <v/>
      </c>
      <c r="AT136" s="24" t="str">
        <f aca="false">IFERROR(ciq($D136,"IQ_DIVIDEND_YIELD"),"")</f>
        <v/>
      </c>
      <c r="AU136" s="24" t="str">
        <f aca="false">IFERROR(ciq($D136,"IQ_NET_DEBT"),"")</f>
        <v/>
      </c>
    </row>
    <row r="137" customFormat="false" ht="15" hidden="false" customHeight="false" outlineLevel="0" collapsed="false">
      <c r="A137" s="8" t="s">
        <v>983</v>
      </c>
      <c r="B137" s="6" t="s">
        <v>984</v>
      </c>
      <c r="C137" s="8" t="s">
        <v>72</v>
      </c>
      <c r="D137" s="8" t="s">
        <v>985</v>
      </c>
      <c r="E137" s="8" t="s">
        <v>986</v>
      </c>
      <c r="F137" s="6" t="s">
        <v>721</v>
      </c>
      <c r="G137" s="8" t="s">
        <v>55</v>
      </c>
      <c r="H137" s="8" t="s">
        <v>66</v>
      </c>
      <c r="I137" s="8"/>
      <c r="J137" s="8"/>
      <c r="K137" s="8"/>
      <c r="L137" s="8"/>
      <c r="M137" s="23" t="n">
        <v>150600</v>
      </c>
      <c r="N137" s="23" t="n">
        <v>35549.245962</v>
      </c>
      <c r="O137" s="23" t="n">
        <v>32269.32051285</v>
      </c>
      <c r="P137" s="24" t="n">
        <v>686.5140101</v>
      </c>
      <c r="Q137" s="24" t="n">
        <v>466.099452266667</v>
      </c>
      <c r="R137" s="24" t="n">
        <v>466.099452266667</v>
      </c>
      <c r="S137" s="25" t="n">
        <v>0.0193116335247685</v>
      </c>
      <c r="T137" s="26" t="n">
        <v>0.780299172612442</v>
      </c>
      <c r="U137" s="23" t="n">
        <v>1</v>
      </c>
      <c r="V137" s="26" t="n">
        <v>-0.06</v>
      </c>
      <c r="W137" s="26" t="n">
        <v>0.472209051488689</v>
      </c>
      <c r="X137" s="26" t="n">
        <v>0.84128077778035</v>
      </c>
      <c r="Y137" s="26" t="n">
        <v>1.1701758268536</v>
      </c>
      <c r="Z137" s="26" t="n">
        <v>1.42573490637625</v>
      </c>
      <c r="AA137" s="26" t="n">
        <v>0.902900313785296</v>
      </c>
      <c r="AB137" s="26" t="n">
        <v>-0.0687060390040002</v>
      </c>
      <c r="AC137" s="27" t="n">
        <v>2.03106941267636</v>
      </c>
      <c r="AD137" s="28" t="n">
        <f aca="false">Params!$B$6*Params!$B$7*$R137</f>
        <v>279.65967136</v>
      </c>
      <c r="AE137" s="29" t="n">
        <f aca="false">MIN(Params!$B$9,AD137/Params!$B$4)</f>
        <v>0.06</v>
      </c>
      <c r="AF137" s="29" t="n">
        <f aca="false">MIN(Params!$B$9,AD137/Params!$B$5)</f>
        <v>0.06</v>
      </c>
      <c r="AG137" s="28" t="n">
        <f aca="false">IF($R137&gt;0,Params!$B$9*Params!$B$4/(Params!$B$6*$R137),"n/a")</f>
        <v>0.321819730254009</v>
      </c>
      <c r="AH137" s="28" t="n">
        <f aca="false">IF($R137&gt;0,Params!$B$9*Params!$B$5/(Params!$B$6*$R137),"n/a")</f>
        <v>0.643639460508018</v>
      </c>
      <c r="AI137" s="28" t="n">
        <f aca="false">IF($R137&gt;0,Params!$B$15*Params!$B$4/(Params!$B$6*$R137),"n/a")</f>
        <v>0.107273243418003</v>
      </c>
      <c r="AJ137" s="29" t="n">
        <f aca="false">MIN(Params!$B$9,AD137*Params!$B$8/Params!$B$4)</f>
        <v>0.06</v>
      </c>
      <c r="AK137" s="28" t="n">
        <f aca="false">IF($R137&gt;0,Params!$B$9*Params!$B$4/(Params!$B$6*$R137*Params!$B$8),"n/a")</f>
        <v>0.643639460508018</v>
      </c>
      <c r="AL137" s="27" t="str">
        <f aca="false">IFERROR(ciq($D137,"IQ_PE_EXCL"),"")</f>
        <v/>
      </c>
      <c r="AM137" s="27" t="str">
        <f aca="false">IFERROR(ciq($D137,"IQ_PE_EXCL_FWD_CIQ"),"")</f>
        <v/>
      </c>
      <c r="AN137" s="27" t="str">
        <f aca="false">IFERROR(ciq($D137,"IQ_PBV"),"")</f>
        <v/>
      </c>
      <c r="AO137" s="27" t="str">
        <f aca="false">IFERROR(ciq($D137,"IQ_TEV_EBITDA"),"")</f>
        <v/>
      </c>
      <c r="AP137" s="24" t="str">
        <f aca="false">IFERROR(ciq($D137,"IQ_RETURN_EQUITY"),"")</f>
        <v/>
      </c>
      <c r="AQ137" s="24" t="str">
        <f aca="false">IFERROR(ciq($D137,"IQ_RETURN_CAPITAL"),"")</f>
        <v/>
      </c>
      <c r="AR137" s="24" t="str">
        <f aca="false">IFERROR(ciq($D137,"IQ_TOTAL_REV_1YR_ANN_GROWTH"),"")</f>
        <v/>
      </c>
      <c r="AS137" s="24" t="str">
        <f aca="false">IFERROR(ciq($D137,"IQ_EPS_1YR_ANN_GROWTH"),"")</f>
        <v/>
      </c>
      <c r="AT137" s="24" t="str">
        <f aca="false">IFERROR(ciq($D137,"IQ_DIVIDEND_YIELD"),"")</f>
        <v/>
      </c>
      <c r="AU137" s="24" t="str">
        <f aca="false">IFERROR(ciq($D137,"IQ_NET_DEBT"),"")</f>
        <v/>
      </c>
    </row>
    <row r="138" customFormat="false" ht="15" hidden="false" customHeight="false" outlineLevel="0" collapsed="false">
      <c r="A138" s="8" t="s">
        <v>987</v>
      </c>
      <c r="B138" s="6" t="s">
        <v>988</v>
      </c>
      <c r="C138" s="8" t="s">
        <v>73</v>
      </c>
      <c r="D138" s="8" t="s">
        <v>989</v>
      </c>
      <c r="E138" s="8" t="s">
        <v>990</v>
      </c>
      <c r="F138" s="8"/>
      <c r="G138" s="8" t="s">
        <v>55</v>
      </c>
      <c r="H138" s="8" t="s">
        <v>66</v>
      </c>
      <c r="I138" s="8"/>
      <c r="J138" s="8"/>
      <c r="K138" s="8"/>
      <c r="L138" s="8" t="s">
        <v>514</v>
      </c>
      <c r="M138" s="23" t="n">
        <v>122400</v>
      </c>
      <c r="N138" s="23" t="n">
        <v>35455.257936</v>
      </c>
      <c r="O138" s="23" t="n">
        <v>37117.9473196</v>
      </c>
      <c r="P138" s="24" t="n">
        <v>363.43746165</v>
      </c>
      <c r="Q138" s="24" t="n">
        <v>881.1904258</v>
      </c>
      <c r="R138" s="24" t="n">
        <v>363.43746165</v>
      </c>
      <c r="S138" s="25" t="n">
        <v>0.0102505942082282</v>
      </c>
      <c r="T138" s="26" t="n">
        <v>1.2450516558612</v>
      </c>
      <c r="U138" s="23" t="n">
        <v>2</v>
      </c>
      <c r="V138" s="26" t="n">
        <v>-0.04</v>
      </c>
      <c r="W138" s="26" t="n">
        <v>-0.0414931844856804</v>
      </c>
      <c r="X138" s="26" t="n">
        <v>-0.114345463670053</v>
      </c>
      <c r="Y138" s="26" t="n">
        <v>1.08580680154176</v>
      </c>
      <c r="Z138" s="26" t="n">
        <v>2.3171727453377</v>
      </c>
      <c r="AA138" s="26" t="n">
        <v>5.07348031639061</v>
      </c>
      <c r="AB138" s="26" t="n">
        <v>-0.421247981121034</v>
      </c>
      <c r="AC138" s="27" t="n">
        <v>0.559272511689664</v>
      </c>
      <c r="AD138" s="28" t="n">
        <f aca="false">Params!$B$6*Params!$B$7*$R138</f>
        <v>218.06247699</v>
      </c>
      <c r="AE138" s="29" t="n">
        <f aca="false">MIN(Params!$B$9,AD138/Params!$B$4)</f>
        <v>0.06</v>
      </c>
      <c r="AF138" s="29" t="n">
        <f aca="false">MIN(Params!$B$9,AD138/Params!$B$5)</f>
        <v>0.06</v>
      </c>
      <c r="AG138" s="28" t="n">
        <f aca="false">IF($R138&gt;0,Params!$B$9*Params!$B$4/(Params!$B$6*$R138),"n/a")</f>
        <v>0.41272575292322</v>
      </c>
      <c r="AH138" s="28" t="n">
        <f aca="false">IF($R138&gt;0,Params!$B$9*Params!$B$5/(Params!$B$6*$R138),"n/a")</f>
        <v>0.825451505846439</v>
      </c>
      <c r="AI138" s="28" t="n">
        <f aca="false">IF($R138&gt;0,Params!$B$15*Params!$B$4/(Params!$B$6*$R138),"n/a")</f>
        <v>0.137575250974407</v>
      </c>
      <c r="AJ138" s="29" t="n">
        <f aca="false">MIN(Params!$B$9,AD138*Params!$B$8/Params!$B$4)</f>
        <v>0.06</v>
      </c>
      <c r="AK138" s="28" t="n">
        <f aca="false">IF($R138&gt;0,Params!$B$9*Params!$B$4/(Params!$B$6*$R138*Params!$B$8),"n/a")</f>
        <v>0.825451505846439</v>
      </c>
      <c r="AL138" s="27" t="str">
        <f aca="false">IFERROR(ciq($D138,"IQ_PE_EXCL"),"")</f>
        <v/>
      </c>
      <c r="AM138" s="27" t="str">
        <f aca="false">IFERROR(ciq($D138,"IQ_PE_EXCL_FWD_CIQ"),"")</f>
        <v/>
      </c>
      <c r="AN138" s="27" t="str">
        <f aca="false">IFERROR(ciq($D138,"IQ_PBV"),"")</f>
        <v/>
      </c>
      <c r="AO138" s="27" t="str">
        <f aca="false">IFERROR(ciq($D138,"IQ_TEV_EBITDA"),"")</f>
        <v/>
      </c>
      <c r="AP138" s="24" t="str">
        <f aca="false">IFERROR(ciq($D138,"IQ_RETURN_EQUITY"),"")</f>
        <v/>
      </c>
      <c r="AQ138" s="24" t="str">
        <f aca="false">IFERROR(ciq($D138,"IQ_RETURN_CAPITAL"),"")</f>
        <v/>
      </c>
      <c r="AR138" s="24" t="str">
        <f aca="false">IFERROR(ciq($D138,"IQ_TOTAL_REV_1YR_ANN_GROWTH"),"")</f>
        <v/>
      </c>
      <c r="AS138" s="24" t="str">
        <f aca="false">IFERROR(ciq($D138,"IQ_EPS_1YR_ANN_GROWTH"),"")</f>
        <v/>
      </c>
      <c r="AT138" s="24" t="str">
        <f aca="false">IFERROR(ciq($D138,"IQ_DIVIDEND_YIELD"),"")</f>
        <v/>
      </c>
      <c r="AU138" s="24" t="str">
        <f aca="false">IFERROR(ciq($D138,"IQ_NET_DEBT"),"")</f>
        <v/>
      </c>
    </row>
    <row r="139" customFormat="false" ht="15" hidden="false" customHeight="false" outlineLevel="0" collapsed="false">
      <c r="A139" s="8" t="s">
        <v>279</v>
      </c>
      <c r="B139" s="6" t="s">
        <v>280</v>
      </c>
      <c r="C139" s="8" t="s">
        <v>72</v>
      </c>
      <c r="D139" s="8" t="s">
        <v>991</v>
      </c>
      <c r="E139" s="8" t="s">
        <v>992</v>
      </c>
      <c r="F139" s="6" t="s">
        <v>536</v>
      </c>
      <c r="G139" s="8" t="s">
        <v>55</v>
      </c>
      <c r="H139" s="8" t="s">
        <v>66</v>
      </c>
      <c r="I139" s="8" t="s">
        <v>508</v>
      </c>
      <c r="J139" s="6" t="s">
        <v>178</v>
      </c>
      <c r="K139" s="6" t="s">
        <v>281</v>
      </c>
      <c r="L139" s="6" t="s">
        <v>282</v>
      </c>
      <c r="M139" s="23" t="n">
        <v>51500</v>
      </c>
      <c r="N139" s="23" t="n">
        <v>35221.64825</v>
      </c>
      <c r="O139" s="23" t="n">
        <v>31302.812435</v>
      </c>
      <c r="P139" s="24" t="n">
        <v>270.99958415</v>
      </c>
      <c r="Q139" s="24" t="n">
        <v>127.852081204167</v>
      </c>
      <c r="R139" s="24" t="n">
        <v>127.852081204167</v>
      </c>
      <c r="S139" s="25" t="n">
        <v>0.00769411988406874</v>
      </c>
      <c r="T139" s="26" t="n">
        <v>0.861386982070983</v>
      </c>
      <c r="U139" s="23" t="n">
        <v>2</v>
      </c>
      <c r="V139" s="26" t="n">
        <v>-0.04</v>
      </c>
      <c r="W139" s="26" t="n">
        <v>0.276414842841863</v>
      </c>
      <c r="X139" s="26" t="n">
        <v>0.734392278454273</v>
      </c>
      <c r="Y139" s="26" t="n">
        <v>0.354177670176411</v>
      </c>
      <c r="Z139" s="26" t="n">
        <v>0.421567530196055</v>
      </c>
      <c r="AA139" s="26" t="n">
        <v>0.255038318127765</v>
      </c>
      <c r="AB139" s="26" t="n">
        <v>-0.08846449913396</v>
      </c>
      <c r="AC139" s="27" t="n">
        <v>3.12570020703324</v>
      </c>
      <c r="AD139" s="28" t="n">
        <f aca="false">Params!$B$6*Params!$B$7*$R139</f>
        <v>76.7112487225</v>
      </c>
      <c r="AE139" s="29" t="n">
        <f aca="false">MIN(Params!$B$9,AD139/Params!$B$4)</f>
        <v>0.06</v>
      </c>
      <c r="AF139" s="29" t="n">
        <f aca="false">MIN(Params!$B$9,AD139/Params!$B$5)</f>
        <v>0.06</v>
      </c>
      <c r="AG139" s="28" t="n">
        <f aca="false">IF($R139&gt;0,Params!$B$9*Params!$B$4/(Params!$B$6*$R139),"n/a")</f>
        <v>1.17323080381042</v>
      </c>
      <c r="AH139" s="28" t="n">
        <f aca="false">IF($R139&gt;0,Params!$B$9*Params!$B$5/(Params!$B$6*$R139),"n/a")</f>
        <v>2.34646160762085</v>
      </c>
      <c r="AI139" s="28" t="n">
        <f aca="false">IF($R139&gt;0,Params!$B$15*Params!$B$4/(Params!$B$6*$R139),"n/a")</f>
        <v>0.391076934603474</v>
      </c>
      <c r="AJ139" s="29" t="n">
        <f aca="false">MIN(Params!$B$9,AD139*Params!$B$8/Params!$B$4)</f>
        <v>0.06</v>
      </c>
      <c r="AK139" s="28" t="n">
        <f aca="false">IF($R139&gt;0,Params!$B$9*Params!$B$4/(Params!$B$6*$R139*Params!$B$8),"n/a")</f>
        <v>2.34646160762085</v>
      </c>
      <c r="AL139" s="27" t="str">
        <f aca="false">IFERROR(ciq($D139,"IQ_PE_EXCL"),"")</f>
        <v/>
      </c>
      <c r="AM139" s="27" t="str">
        <f aca="false">IFERROR(ciq($D139,"IQ_PE_EXCL_FWD_CIQ"),"")</f>
        <v/>
      </c>
      <c r="AN139" s="27" t="str">
        <f aca="false">IFERROR(ciq($D139,"IQ_PBV"),"")</f>
        <v/>
      </c>
      <c r="AO139" s="27" t="str">
        <f aca="false">IFERROR(ciq($D139,"IQ_TEV_EBITDA"),"")</f>
        <v/>
      </c>
      <c r="AP139" s="24" t="str">
        <f aca="false">IFERROR(ciq($D139,"IQ_RETURN_EQUITY"),"")</f>
        <v/>
      </c>
      <c r="AQ139" s="24" t="str">
        <f aca="false">IFERROR(ciq($D139,"IQ_RETURN_CAPITAL"),"")</f>
        <v/>
      </c>
      <c r="AR139" s="24" t="str">
        <f aca="false">IFERROR(ciq($D139,"IQ_TOTAL_REV_1YR_ANN_GROWTH"),"")</f>
        <v/>
      </c>
      <c r="AS139" s="24" t="str">
        <f aca="false">IFERROR(ciq($D139,"IQ_EPS_1YR_ANN_GROWTH"),"")</f>
        <v/>
      </c>
      <c r="AT139" s="24" t="str">
        <f aca="false">IFERROR(ciq($D139,"IQ_DIVIDEND_YIELD"),"")</f>
        <v/>
      </c>
      <c r="AU139" s="24" t="str">
        <f aca="false">IFERROR(ciq($D139,"IQ_NET_DEBT"),"")</f>
        <v/>
      </c>
    </row>
    <row r="140" customFormat="false" ht="15" hidden="false" customHeight="false" outlineLevel="0" collapsed="false">
      <c r="A140" s="8" t="s">
        <v>993</v>
      </c>
      <c r="B140" s="6" t="s">
        <v>994</v>
      </c>
      <c r="C140" s="8" t="s">
        <v>73</v>
      </c>
      <c r="D140" s="8" t="s">
        <v>995</v>
      </c>
      <c r="E140" s="8" t="s">
        <v>996</v>
      </c>
      <c r="F140" s="6" t="s">
        <v>533</v>
      </c>
      <c r="G140" s="8" t="s">
        <v>55</v>
      </c>
      <c r="H140" s="8" t="s">
        <v>66</v>
      </c>
      <c r="I140" s="8"/>
      <c r="J140" s="8"/>
      <c r="K140" s="8"/>
      <c r="L140" s="8" t="s">
        <v>115</v>
      </c>
      <c r="M140" s="23" t="n">
        <v>146600</v>
      </c>
      <c r="N140" s="23" t="n">
        <v>34183.2351</v>
      </c>
      <c r="O140" s="23" t="n">
        <v>42196.2424275</v>
      </c>
      <c r="P140" s="24" t="n">
        <v>264.282006275</v>
      </c>
      <c r="Q140" s="24" t="n">
        <v>393.501785783333</v>
      </c>
      <c r="R140" s="24" t="n">
        <v>264.282006275</v>
      </c>
      <c r="S140" s="25" t="n">
        <v>0.00773133395659792</v>
      </c>
      <c r="T140" s="26" t="n">
        <v>1.39233559941195</v>
      </c>
      <c r="U140" s="23" t="n">
        <v>3</v>
      </c>
      <c r="V140" s="26" t="n">
        <v>-0.04</v>
      </c>
      <c r="W140" s="26" t="n">
        <v>-0.145189377219046</v>
      </c>
      <c r="X140" s="26" t="n">
        <v>-0.401690966924716</v>
      </c>
      <c r="Y140" s="26" t="n">
        <v>-0.514436168011299</v>
      </c>
      <c r="Z140" s="26" t="n">
        <v>-0.422656435373346</v>
      </c>
      <c r="AA140" s="26" t="n">
        <v>-0.533727685079895</v>
      </c>
      <c r="AB140" s="26" t="n">
        <v>-0.620057175170067</v>
      </c>
      <c r="AC140" s="27" t="n">
        <v>0.587940496081986</v>
      </c>
      <c r="AD140" s="28" t="n">
        <f aca="false">Params!$B$6*Params!$B$7*$R140</f>
        <v>158.569203765</v>
      </c>
      <c r="AE140" s="29" t="n">
        <f aca="false">MIN(Params!$B$9,AD140/Params!$B$4)</f>
        <v>0.06</v>
      </c>
      <c r="AF140" s="29" t="n">
        <f aca="false">MIN(Params!$B$9,AD140/Params!$B$5)</f>
        <v>0.06</v>
      </c>
      <c r="AG140" s="28" t="n">
        <f aca="false">IF($R140&gt;0,Params!$B$9*Params!$B$4/(Params!$B$6*$R140),"n/a")</f>
        <v>0.567575530828674</v>
      </c>
      <c r="AH140" s="28" t="n">
        <f aca="false">IF($R140&gt;0,Params!$B$9*Params!$B$5/(Params!$B$6*$R140),"n/a")</f>
        <v>1.13515106165735</v>
      </c>
      <c r="AI140" s="28" t="n">
        <f aca="false">IF($R140&gt;0,Params!$B$15*Params!$B$4/(Params!$B$6*$R140),"n/a")</f>
        <v>0.189191843609558</v>
      </c>
      <c r="AJ140" s="29" t="n">
        <f aca="false">MIN(Params!$B$9,AD140*Params!$B$8/Params!$B$4)</f>
        <v>0.06</v>
      </c>
      <c r="AK140" s="28" t="n">
        <f aca="false">IF($R140&gt;0,Params!$B$9*Params!$B$4/(Params!$B$6*$R140*Params!$B$8),"n/a")</f>
        <v>1.13515106165735</v>
      </c>
      <c r="AL140" s="27" t="str">
        <f aca="false">IFERROR(ciq($D140,"IQ_PE_EXCL"),"")</f>
        <v/>
      </c>
      <c r="AM140" s="27" t="str">
        <f aca="false">IFERROR(ciq($D140,"IQ_PE_EXCL_FWD_CIQ"),"")</f>
        <v/>
      </c>
      <c r="AN140" s="27" t="str">
        <f aca="false">IFERROR(ciq($D140,"IQ_PBV"),"")</f>
        <v/>
      </c>
      <c r="AO140" s="27" t="str">
        <f aca="false">IFERROR(ciq($D140,"IQ_TEV_EBITDA"),"")</f>
        <v/>
      </c>
      <c r="AP140" s="24" t="str">
        <f aca="false">IFERROR(ciq($D140,"IQ_RETURN_EQUITY"),"")</f>
        <v/>
      </c>
      <c r="AQ140" s="24" t="str">
        <f aca="false">IFERROR(ciq($D140,"IQ_RETURN_CAPITAL"),"")</f>
        <v/>
      </c>
      <c r="AR140" s="24" t="str">
        <f aca="false">IFERROR(ciq($D140,"IQ_TOTAL_REV_1YR_ANN_GROWTH"),"")</f>
        <v/>
      </c>
      <c r="AS140" s="24" t="str">
        <f aca="false">IFERROR(ciq($D140,"IQ_EPS_1YR_ANN_GROWTH"),"")</f>
        <v/>
      </c>
      <c r="AT140" s="24" t="str">
        <f aca="false">IFERROR(ciq($D140,"IQ_DIVIDEND_YIELD"),"")</f>
        <v/>
      </c>
      <c r="AU140" s="24" t="str">
        <f aca="false">IFERROR(ciq($D140,"IQ_NET_DEBT"),"")</f>
        <v/>
      </c>
    </row>
    <row r="141" customFormat="false" ht="15" hidden="false" customHeight="false" outlineLevel="0" collapsed="false">
      <c r="A141" s="8" t="s">
        <v>997</v>
      </c>
      <c r="B141" s="6" t="s">
        <v>998</v>
      </c>
      <c r="C141" s="8" t="s">
        <v>72</v>
      </c>
      <c r="D141" s="8" t="s">
        <v>999</v>
      </c>
      <c r="E141" s="8" t="s">
        <v>1000</v>
      </c>
      <c r="F141" s="6" t="s">
        <v>619</v>
      </c>
      <c r="G141" s="8" t="s">
        <v>55</v>
      </c>
      <c r="H141" s="8" t="s">
        <v>66</v>
      </c>
      <c r="I141" s="8"/>
      <c r="J141" s="8"/>
      <c r="K141" s="8"/>
      <c r="L141" s="8"/>
      <c r="M141" s="23" t="n">
        <v>133100</v>
      </c>
      <c r="N141" s="23" t="n">
        <v>33484.399575</v>
      </c>
      <c r="O141" s="23" t="n">
        <v>31553.57488125</v>
      </c>
      <c r="P141" s="24" t="n">
        <v>170.24581595</v>
      </c>
      <c r="Q141" s="24" t="n">
        <v>123.206731458333</v>
      </c>
      <c r="R141" s="24" t="n">
        <v>123.206731458333</v>
      </c>
      <c r="S141" s="25" t="n">
        <v>0.00508433234911903</v>
      </c>
      <c r="T141" s="26" t="n">
        <v>0.539049380964902</v>
      </c>
      <c r="U141" s="23" t="n">
        <v>0</v>
      </c>
      <c r="V141" s="26" t="n">
        <v>-0.06</v>
      </c>
      <c r="W141" s="26" t="n">
        <v>0.111302184781328</v>
      </c>
      <c r="X141" s="26" t="n">
        <v>0.102286851883139</v>
      </c>
      <c r="Y141" s="26" t="n">
        <v>0.0629470227338049</v>
      </c>
      <c r="Z141" s="26" t="n">
        <v>0.103648694067812</v>
      </c>
      <c r="AA141" s="26" t="n">
        <v>0.175916357476659</v>
      </c>
      <c r="AB141" s="26" t="n">
        <v>-0.131732147243398</v>
      </c>
      <c r="AC141" s="27" t="n">
        <v>1.1987237704852</v>
      </c>
      <c r="AD141" s="28" t="n">
        <f aca="false">Params!$B$6*Params!$B$7*$R141</f>
        <v>73.924038875</v>
      </c>
      <c r="AE141" s="29" t="n">
        <f aca="false">MIN(Params!$B$9,AD141/Params!$B$4)</f>
        <v>0.06</v>
      </c>
      <c r="AF141" s="29" t="n">
        <f aca="false">MIN(Params!$B$9,AD141/Params!$B$5)</f>
        <v>0.06</v>
      </c>
      <c r="AG141" s="28" t="n">
        <f aca="false">IF($R141&gt;0,Params!$B$9*Params!$B$4/(Params!$B$6*$R141),"n/a")</f>
        <v>1.21746594706741</v>
      </c>
      <c r="AH141" s="28" t="n">
        <f aca="false">IF($R141&gt;0,Params!$B$9*Params!$B$5/(Params!$B$6*$R141),"n/a")</f>
        <v>2.43493189413482</v>
      </c>
      <c r="AI141" s="28" t="n">
        <f aca="false">IF($R141&gt;0,Params!$B$15*Params!$B$4/(Params!$B$6*$R141),"n/a")</f>
        <v>0.405821982355804</v>
      </c>
      <c r="AJ141" s="29" t="n">
        <f aca="false">MIN(Params!$B$9,AD141*Params!$B$8/Params!$B$4)</f>
        <v>0.06</v>
      </c>
      <c r="AK141" s="28" t="n">
        <f aca="false">IF($R141&gt;0,Params!$B$9*Params!$B$4/(Params!$B$6*$R141*Params!$B$8),"n/a")</f>
        <v>2.43493189413482</v>
      </c>
      <c r="AL141" s="27" t="str">
        <f aca="false">IFERROR(ciq($D141,"IQ_PE_EXCL"),"")</f>
        <v/>
      </c>
      <c r="AM141" s="27" t="str">
        <f aca="false">IFERROR(ciq($D141,"IQ_PE_EXCL_FWD_CIQ"),"")</f>
        <v/>
      </c>
      <c r="AN141" s="27" t="str">
        <f aca="false">IFERROR(ciq($D141,"IQ_PBV"),"")</f>
        <v/>
      </c>
      <c r="AO141" s="27" t="str">
        <f aca="false">IFERROR(ciq($D141,"IQ_TEV_EBITDA"),"")</f>
        <v/>
      </c>
      <c r="AP141" s="24" t="str">
        <f aca="false">IFERROR(ciq($D141,"IQ_RETURN_EQUITY"),"")</f>
        <v/>
      </c>
      <c r="AQ141" s="24" t="str">
        <f aca="false">IFERROR(ciq($D141,"IQ_RETURN_CAPITAL"),"")</f>
        <v/>
      </c>
      <c r="AR141" s="24" t="str">
        <f aca="false">IFERROR(ciq($D141,"IQ_TOTAL_REV_1YR_ANN_GROWTH"),"")</f>
        <v/>
      </c>
      <c r="AS141" s="24" t="str">
        <f aca="false">IFERROR(ciq($D141,"IQ_EPS_1YR_ANN_GROWTH"),"")</f>
        <v/>
      </c>
      <c r="AT141" s="24" t="str">
        <f aca="false">IFERROR(ciq($D141,"IQ_DIVIDEND_YIELD"),"")</f>
        <v/>
      </c>
      <c r="AU141" s="24" t="str">
        <f aca="false">IFERROR(ciq($D141,"IQ_NET_DEBT"),"")</f>
        <v/>
      </c>
    </row>
    <row r="142" customFormat="false" ht="15" hidden="false" customHeight="false" outlineLevel="0" collapsed="false">
      <c r="A142" s="8" t="s">
        <v>1001</v>
      </c>
      <c r="B142" s="6" t="s">
        <v>1002</v>
      </c>
      <c r="C142" s="8" t="s">
        <v>74</v>
      </c>
      <c r="D142" s="8" t="s">
        <v>1003</v>
      </c>
      <c r="E142" s="8" t="s">
        <v>1004</v>
      </c>
      <c r="F142" s="6" t="s">
        <v>632</v>
      </c>
      <c r="G142" s="8" t="s">
        <v>55</v>
      </c>
      <c r="H142" s="8" t="s">
        <v>66</v>
      </c>
      <c r="I142" s="8"/>
      <c r="J142" s="8"/>
      <c r="K142" s="8"/>
      <c r="L142" s="8" t="s">
        <v>241</v>
      </c>
      <c r="M142" s="23" t="n">
        <v>88300</v>
      </c>
      <c r="N142" s="23" t="n">
        <v>32688.146094</v>
      </c>
      <c r="O142" s="23" t="n">
        <v>38761.1816169</v>
      </c>
      <c r="P142" s="24" t="n">
        <v>285.281927</v>
      </c>
      <c r="Q142" s="24" t="n">
        <v>461.896261558333</v>
      </c>
      <c r="R142" s="24" t="n">
        <v>285.281927</v>
      </c>
      <c r="S142" s="25" t="n">
        <v>0.0087273816685604</v>
      </c>
      <c r="T142" s="26" t="n">
        <v>0.941852874454734</v>
      </c>
      <c r="U142" s="23" t="n">
        <v>1</v>
      </c>
      <c r="V142" s="26" t="n">
        <v>-0.06</v>
      </c>
      <c r="W142" s="26" t="n">
        <v>-0.193615257116609</v>
      </c>
      <c r="X142" s="26" t="n">
        <v>-0.309950789745969</v>
      </c>
      <c r="Y142" s="26" t="n">
        <v>-0.508165074193794</v>
      </c>
      <c r="Z142" s="26" t="n">
        <v>-0.491540250569667</v>
      </c>
      <c r="AA142" s="26" t="n">
        <v>-0.402197056389459</v>
      </c>
      <c r="AB142" s="26" t="n">
        <v>-0.586299718611114</v>
      </c>
      <c r="AC142" s="27" t="n">
        <v>0.447745572180185</v>
      </c>
      <c r="AD142" s="28" t="n">
        <f aca="false">Params!$B$6*Params!$B$7*$R142</f>
        <v>171.1691562</v>
      </c>
      <c r="AE142" s="29" t="n">
        <f aca="false">MIN(Params!$B$9,AD142/Params!$B$4)</f>
        <v>0.06</v>
      </c>
      <c r="AF142" s="29" t="n">
        <f aca="false">MIN(Params!$B$9,AD142/Params!$B$5)</f>
        <v>0.06</v>
      </c>
      <c r="AG142" s="28" t="n">
        <f aca="false">IF($R142&gt;0,Params!$B$9*Params!$B$4/(Params!$B$6*$R142),"n/a")</f>
        <v>0.525795663179182</v>
      </c>
      <c r="AH142" s="28" t="n">
        <f aca="false">IF($R142&gt;0,Params!$B$9*Params!$B$5/(Params!$B$6*$R142),"n/a")</f>
        <v>1.05159132635836</v>
      </c>
      <c r="AI142" s="28" t="n">
        <f aca="false">IF($R142&gt;0,Params!$B$15*Params!$B$4/(Params!$B$6*$R142),"n/a")</f>
        <v>0.175265221059727</v>
      </c>
      <c r="AJ142" s="29" t="n">
        <f aca="false">MIN(Params!$B$9,AD142*Params!$B$8/Params!$B$4)</f>
        <v>0.06</v>
      </c>
      <c r="AK142" s="28" t="n">
        <f aca="false">IF($R142&gt;0,Params!$B$9*Params!$B$4/(Params!$B$6*$R142*Params!$B$8),"n/a")</f>
        <v>1.05159132635836</v>
      </c>
      <c r="AL142" s="27" t="str">
        <f aca="false">IFERROR(ciq($D142,"IQ_PE_EXCL"),"")</f>
        <v/>
      </c>
      <c r="AM142" s="27" t="str">
        <f aca="false">IFERROR(ciq($D142,"IQ_PE_EXCL_FWD_CIQ"),"")</f>
        <v/>
      </c>
      <c r="AN142" s="27" t="str">
        <f aca="false">IFERROR(ciq($D142,"IQ_PBV"),"")</f>
        <v/>
      </c>
      <c r="AO142" s="27" t="str">
        <f aca="false">IFERROR(ciq($D142,"IQ_TEV_EBITDA"),"")</f>
        <v/>
      </c>
      <c r="AP142" s="24" t="str">
        <f aca="false">IFERROR(ciq($D142,"IQ_RETURN_EQUITY"),"")</f>
        <v/>
      </c>
      <c r="AQ142" s="24" t="str">
        <f aca="false">IFERROR(ciq($D142,"IQ_RETURN_CAPITAL"),"")</f>
        <v/>
      </c>
      <c r="AR142" s="24" t="str">
        <f aca="false">IFERROR(ciq($D142,"IQ_TOTAL_REV_1YR_ANN_GROWTH"),"")</f>
        <v/>
      </c>
      <c r="AS142" s="24" t="str">
        <f aca="false">IFERROR(ciq($D142,"IQ_EPS_1YR_ANN_GROWTH"),"")</f>
        <v/>
      </c>
      <c r="AT142" s="24" t="str">
        <f aca="false">IFERROR(ciq($D142,"IQ_DIVIDEND_YIELD"),"")</f>
        <v/>
      </c>
      <c r="AU142" s="24" t="str">
        <f aca="false">IFERROR(ciq($D142,"IQ_NET_DEBT"),"")</f>
        <v/>
      </c>
    </row>
    <row r="143" customFormat="false" ht="15" hidden="false" customHeight="false" outlineLevel="0" collapsed="false">
      <c r="A143" s="8" t="s">
        <v>1005</v>
      </c>
      <c r="B143" s="6" t="s">
        <v>1006</v>
      </c>
      <c r="C143" s="8" t="s">
        <v>72</v>
      </c>
      <c r="D143" s="8" t="s">
        <v>1007</v>
      </c>
      <c r="E143" s="8" t="s">
        <v>1008</v>
      </c>
      <c r="F143" s="6" t="s">
        <v>775</v>
      </c>
      <c r="G143" s="8" t="s">
        <v>55</v>
      </c>
      <c r="H143" s="8" t="s">
        <v>66</v>
      </c>
      <c r="I143" s="8"/>
      <c r="J143" s="8"/>
      <c r="K143" s="8"/>
      <c r="L143" s="8" t="s">
        <v>241</v>
      </c>
      <c r="M143" s="23" t="n">
        <v>21400</v>
      </c>
      <c r="N143" s="23" t="n">
        <v>32535.432006</v>
      </c>
      <c r="O143" s="23" t="n">
        <v>31865.719024755</v>
      </c>
      <c r="P143" s="24" t="n">
        <v>290.9699752</v>
      </c>
      <c r="Q143" s="24" t="n">
        <v>156.2768452275</v>
      </c>
      <c r="R143" s="24" t="n">
        <v>156.2768452275</v>
      </c>
      <c r="S143" s="25" t="n">
        <v>0.00894317232813571</v>
      </c>
      <c r="T143" s="26" t="n">
        <v>0.738569944795977</v>
      </c>
      <c r="U143" s="23" t="n">
        <v>0</v>
      </c>
      <c r="V143" s="26" t="n">
        <v>-0.06</v>
      </c>
      <c r="W143" s="26" t="n">
        <v>0.0262587933966785</v>
      </c>
      <c r="X143" s="26" t="n">
        <v>-0.210673948733615</v>
      </c>
      <c r="Y143" s="26" t="n">
        <v>-0.343914135139355</v>
      </c>
      <c r="Z143" s="26" t="n">
        <v>-0.255960015179536</v>
      </c>
      <c r="AA143" s="26" t="n">
        <v>-0.103096825097914</v>
      </c>
      <c r="AB143" s="26" t="n">
        <v>-0.500870105505445</v>
      </c>
      <c r="AC143" s="27" t="n">
        <v>1.4794815583297</v>
      </c>
      <c r="AD143" s="28" t="n">
        <f aca="false">Params!$B$6*Params!$B$7*$R143</f>
        <v>93.7661071365</v>
      </c>
      <c r="AE143" s="29" t="n">
        <f aca="false">MIN(Params!$B$9,AD143/Params!$B$4)</f>
        <v>0.06</v>
      </c>
      <c r="AF143" s="29" t="n">
        <f aca="false">MIN(Params!$B$9,AD143/Params!$B$5)</f>
        <v>0.06</v>
      </c>
      <c r="AG143" s="28" t="n">
        <f aca="false">IF($R143&gt;0,Params!$B$9*Params!$B$4/(Params!$B$6*$R143),"n/a")</f>
        <v>0.959835091255122</v>
      </c>
      <c r="AH143" s="28" t="n">
        <f aca="false">IF($R143&gt;0,Params!$B$9*Params!$B$5/(Params!$B$6*$R143),"n/a")</f>
        <v>1.91967018251024</v>
      </c>
      <c r="AI143" s="28" t="n">
        <f aca="false">IF($R143&gt;0,Params!$B$15*Params!$B$4/(Params!$B$6*$R143),"n/a")</f>
        <v>0.319945030418374</v>
      </c>
      <c r="AJ143" s="29" t="n">
        <f aca="false">MIN(Params!$B$9,AD143*Params!$B$8/Params!$B$4)</f>
        <v>0.06</v>
      </c>
      <c r="AK143" s="28" t="n">
        <f aca="false">IF($R143&gt;0,Params!$B$9*Params!$B$4/(Params!$B$6*$R143*Params!$B$8),"n/a")</f>
        <v>1.91967018251024</v>
      </c>
      <c r="AL143" s="27" t="str">
        <f aca="false">IFERROR(ciq($D143,"IQ_PE_EXCL"),"")</f>
        <v/>
      </c>
      <c r="AM143" s="27" t="str">
        <f aca="false">IFERROR(ciq($D143,"IQ_PE_EXCL_FWD_CIQ"),"")</f>
        <v/>
      </c>
      <c r="AN143" s="27" t="str">
        <f aca="false">IFERROR(ciq($D143,"IQ_PBV"),"")</f>
        <v/>
      </c>
      <c r="AO143" s="27" t="str">
        <f aca="false">IFERROR(ciq($D143,"IQ_TEV_EBITDA"),"")</f>
        <v/>
      </c>
      <c r="AP143" s="24" t="str">
        <f aca="false">IFERROR(ciq($D143,"IQ_RETURN_EQUITY"),"")</f>
        <v/>
      </c>
      <c r="AQ143" s="24" t="str">
        <f aca="false">IFERROR(ciq($D143,"IQ_RETURN_CAPITAL"),"")</f>
        <v/>
      </c>
      <c r="AR143" s="24" t="str">
        <f aca="false">IFERROR(ciq($D143,"IQ_TOTAL_REV_1YR_ANN_GROWTH"),"")</f>
        <v/>
      </c>
      <c r="AS143" s="24" t="str">
        <f aca="false">IFERROR(ciq($D143,"IQ_EPS_1YR_ANN_GROWTH"),"")</f>
        <v/>
      </c>
      <c r="AT143" s="24" t="str">
        <f aca="false">IFERROR(ciq($D143,"IQ_DIVIDEND_YIELD"),"")</f>
        <v/>
      </c>
      <c r="AU143" s="24" t="str">
        <f aca="false">IFERROR(ciq($D143,"IQ_NET_DEBT"),"")</f>
        <v/>
      </c>
    </row>
    <row r="144" customFormat="false" ht="15" hidden="false" customHeight="false" outlineLevel="0" collapsed="false">
      <c r="A144" s="8" t="s">
        <v>1009</v>
      </c>
      <c r="B144" s="6" t="s">
        <v>1010</v>
      </c>
      <c r="C144" s="8" t="s">
        <v>72</v>
      </c>
      <c r="D144" s="8" t="s">
        <v>1011</v>
      </c>
      <c r="E144" s="8" t="s">
        <v>1012</v>
      </c>
      <c r="F144" s="6" t="s">
        <v>843</v>
      </c>
      <c r="G144" s="8" t="s">
        <v>55</v>
      </c>
      <c r="H144" s="8" t="s">
        <v>66</v>
      </c>
      <c r="I144" s="8"/>
      <c r="J144" s="8"/>
      <c r="K144" s="8"/>
      <c r="L144" s="8" t="s">
        <v>241</v>
      </c>
      <c r="M144" s="23" t="n">
        <v>67600</v>
      </c>
      <c r="N144" s="23" t="n">
        <v>32235.32364</v>
      </c>
      <c r="O144" s="23" t="n">
        <v>32566.7371005</v>
      </c>
      <c r="P144" s="24" t="n">
        <v>244.535206524</v>
      </c>
      <c r="Q144" s="24" t="n">
        <v>248.145057766333</v>
      </c>
      <c r="R144" s="24" t="n">
        <v>244.535206524</v>
      </c>
      <c r="S144" s="25" t="n">
        <v>0.00758593924028616</v>
      </c>
      <c r="T144" s="26" t="n">
        <v>0.961615717672385</v>
      </c>
      <c r="U144" s="23" t="n">
        <v>1</v>
      </c>
      <c r="V144" s="26" t="n">
        <v>-0.06</v>
      </c>
      <c r="W144" s="26" t="n">
        <v>0.106143167911234</v>
      </c>
      <c r="X144" s="26" t="n">
        <v>-0.144299955621639</v>
      </c>
      <c r="Y144" s="26" t="n">
        <v>-0.153987806689376</v>
      </c>
      <c r="Z144" s="26" t="n">
        <v>0.243157456847542</v>
      </c>
      <c r="AA144" s="26" t="n">
        <v>0.812948618965744</v>
      </c>
      <c r="AB144" s="26" t="n">
        <v>-0.530873851514206</v>
      </c>
      <c r="AC144" s="27" t="n">
        <v>0.611763858077461</v>
      </c>
      <c r="AD144" s="28" t="n">
        <f aca="false">Params!$B$6*Params!$B$7*$R144</f>
        <v>146.7211239144</v>
      </c>
      <c r="AE144" s="29" t="n">
        <f aca="false">MIN(Params!$B$9,AD144/Params!$B$4)</f>
        <v>0.06</v>
      </c>
      <c r="AF144" s="29" t="n">
        <f aca="false">MIN(Params!$B$9,AD144/Params!$B$5)</f>
        <v>0.06</v>
      </c>
      <c r="AG144" s="28" t="n">
        <f aca="false">IF($R144&gt;0,Params!$B$9*Params!$B$4/(Params!$B$6*$R144),"n/a")</f>
        <v>0.613408605379194</v>
      </c>
      <c r="AH144" s="28" t="n">
        <f aca="false">IF($R144&gt;0,Params!$B$9*Params!$B$5/(Params!$B$6*$R144),"n/a")</f>
        <v>1.22681721075839</v>
      </c>
      <c r="AI144" s="28" t="n">
        <f aca="false">IF($R144&gt;0,Params!$B$15*Params!$B$4/(Params!$B$6*$R144),"n/a")</f>
        <v>0.204469535126398</v>
      </c>
      <c r="AJ144" s="29" t="n">
        <f aca="false">MIN(Params!$B$9,AD144*Params!$B$8/Params!$B$4)</f>
        <v>0.06</v>
      </c>
      <c r="AK144" s="28" t="n">
        <f aca="false">IF($R144&gt;0,Params!$B$9*Params!$B$4/(Params!$B$6*$R144*Params!$B$8),"n/a")</f>
        <v>1.22681721075839</v>
      </c>
      <c r="AL144" s="27" t="str">
        <f aca="false">IFERROR(ciq($D144,"IQ_PE_EXCL"),"")</f>
        <v/>
      </c>
      <c r="AM144" s="27" t="str">
        <f aca="false">IFERROR(ciq($D144,"IQ_PE_EXCL_FWD_CIQ"),"")</f>
        <v/>
      </c>
      <c r="AN144" s="27" t="str">
        <f aca="false">IFERROR(ciq($D144,"IQ_PBV"),"")</f>
        <v/>
      </c>
      <c r="AO144" s="27" t="str">
        <f aca="false">IFERROR(ciq($D144,"IQ_TEV_EBITDA"),"")</f>
        <v/>
      </c>
      <c r="AP144" s="24" t="str">
        <f aca="false">IFERROR(ciq($D144,"IQ_RETURN_EQUITY"),"")</f>
        <v/>
      </c>
      <c r="AQ144" s="24" t="str">
        <f aca="false">IFERROR(ciq($D144,"IQ_RETURN_CAPITAL"),"")</f>
        <v/>
      </c>
      <c r="AR144" s="24" t="str">
        <f aca="false">IFERROR(ciq($D144,"IQ_TOTAL_REV_1YR_ANN_GROWTH"),"")</f>
        <v/>
      </c>
      <c r="AS144" s="24" t="str">
        <f aca="false">IFERROR(ciq($D144,"IQ_EPS_1YR_ANN_GROWTH"),"")</f>
        <v/>
      </c>
      <c r="AT144" s="24" t="str">
        <f aca="false">IFERROR(ciq($D144,"IQ_DIVIDEND_YIELD"),"")</f>
        <v/>
      </c>
      <c r="AU144" s="24" t="str">
        <f aca="false">IFERROR(ciq($D144,"IQ_NET_DEBT"),"")</f>
        <v/>
      </c>
    </row>
    <row r="145" customFormat="false" ht="15" hidden="false" customHeight="false" outlineLevel="0" collapsed="false">
      <c r="A145" s="8" t="s">
        <v>1013</v>
      </c>
      <c r="B145" s="6" t="s">
        <v>1014</v>
      </c>
      <c r="C145" s="8" t="s">
        <v>72</v>
      </c>
      <c r="D145" s="8" t="s">
        <v>1015</v>
      </c>
      <c r="E145" s="8" t="s">
        <v>1016</v>
      </c>
      <c r="F145" s="6" t="s">
        <v>721</v>
      </c>
      <c r="G145" s="8" t="s">
        <v>55</v>
      </c>
      <c r="H145" s="8" t="s">
        <v>66</v>
      </c>
      <c r="I145" s="8"/>
      <c r="J145" s="8"/>
      <c r="K145" s="8"/>
      <c r="L145" s="8"/>
      <c r="M145" s="23" t="n">
        <v>282000</v>
      </c>
      <c r="N145" s="23" t="n">
        <v>32005.61538</v>
      </c>
      <c r="O145" s="23" t="n">
        <v>29434.9515915</v>
      </c>
      <c r="P145" s="24" t="n">
        <v>478.715823025</v>
      </c>
      <c r="Q145" s="24" t="n">
        <v>260.164515085667</v>
      </c>
      <c r="R145" s="24" t="n">
        <v>260.164515085667</v>
      </c>
      <c r="S145" s="25" t="n">
        <v>0.014957244762872</v>
      </c>
      <c r="T145" s="26" t="n">
        <v>0.648687294412495</v>
      </c>
      <c r="U145" s="23" t="n">
        <v>1</v>
      </c>
      <c r="V145" s="26" t="n">
        <v>-0.06</v>
      </c>
      <c r="W145" s="26" t="n">
        <v>0.446205069785826</v>
      </c>
      <c r="X145" s="26" t="n">
        <v>0.701076934136744</v>
      </c>
      <c r="Y145" s="26" t="n">
        <v>0.654450271165925</v>
      </c>
      <c r="Z145" s="26" t="n">
        <v>0.73078422782555</v>
      </c>
      <c r="AA145" s="26" t="n">
        <v>0.305991900842182</v>
      </c>
      <c r="AB145" s="26" t="n">
        <v>-0.0692872469792668</v>
      </c>
      <c r="AC145" s="27" t="n">
        <v>2.19608137069495</v>
      </c>
      <c r="AD145" s="28" t="n">
        <f aca="false">Params!$B$6*Params!$B$7*$R145</f>
        <v>156.0987090514</v>
      </c>
      <c r="AE145" s="29" t="n">
        <f aca="false">MIN(Params!$B$9,AD145/Params!$B$4)</f>
        <v>0.06</v>
      </c>
      <c r="AF145" s="29" t="n">
        <f aca="false">MIN(Params!$B$9,AD145/Params!$B$5)</f>
        <v>0.06</v>
      </c>
      <c r="AG145" s="28" t="n">
        <f aca="false">IF($R145&gt;0,Params!$B$9*Params!$B$4/(Params!$B$6*$R145),"n/a")</f>
        <v>0.576558259494413</v>
      </c>
      <c r="AH145" s="28" t="n">
        <f aca="false">IF($R145&gt;0,Params!$B$9*Params!$B$5/(Params!$B$6*$R145),"n/a")</f>
        <v>1.15311651898883</v>
      </c>
      <c r="AI145" s="28" t="n">
        <f aca="false">IF($R145&gt;0,Params!$B$15*Params!$B$4/(Params!$B$6*$R145),"n/a")</f>
        <v>0.192186086498138</v>
      </c>
      <c r="AJ145" s="29" t="n">
        <f aca="false">MIN(Params!$B$9,AD145*Params!$B$8/Params!$B$4)</f>
        <v>0.06</v>
      </c>
      <c r="AK145" s="28" t="n">
        <f aca="false">IF($R145&gt;0,Params!$B$9*Params!$B$4/(Params!$B$6*$R145*Params!$B$8),"n/a")</f>
        <v>1.15311651898883</v>
      </c>
      <c r="AL145" s="27" t="str">
        <f aca="false">IFERROR(ciq($D145,"IQ_PE_EXCL"),"")</f>
        <v/>
      </c>
      <c r="AM145" s="27" t="str">
        <f aca="false">IFERROR(ciq($D145,"IQ_PE_EXCL_FWD_CIQ"),"")</f>
        <v/>
      </c>
      <c r="AN145" s="27" t="str">
        <f aca="false">IFERROR(ciq($D145,"IQ_PBV"),"")</f>
        <v/>
      </c>
      <c r="AO145" s="27" t="str">
        <f aca="false">IFERROR(ciq($D145,"IQ_TEV_EBITDA"),"")</f>
        <v/>
      </c>
      <c r="AP145" s="24" t="str">
        <f aca="false">IFERROR(ciq($D145,"IQ_RETURN_EQUITY"),"")</f>
        <v/>
      </c>
      <c r="AQ145" s="24" t="str">
        <f aca="false">IFERROR(ciq($D145,"IQ_RETURN_CAPITAL"),"")</f>
        <v/>
      </c>
      <c r="AR145" s="24" t="str">
        <f aca="false">IFERROR(ciq($D145,"IQ_TOTAL_REV_1YR_ANN_GROWTH"),"")</f>
        <v/>
      </c>
      <c r="AS145" s="24" t="str">
        <f aca="false">IFERROR(ciq($D145,"IQ_EPS_1YR_ANN_GROWTH"),"")</f>
        <v/>
      </c>
      <c r="AT145" s="24" t="str">
        <f aca="false">IFERROR(ciq($D145,"IQ_DIVIDEND_YIELD"),"")</f>
        <v/>
      </c>
      <c r="AU145" s="24" t="str">
        <f aca="false">IFERROR(ciq($D145,"IQ_NET_DEBT"),"")</f>
        <v/>
      </c>
    </row>
    <row r="146" customFormat="false" ht="15" hidden="false" customHeight="false" outlineLevel="0" collapsed="false">
      <c r="A146" s="8" t="s">
        <v>352</v>
      </c>
      <c r="B146" s="6" t="s">
        <v>353</v>
      </c>
      <c r="C146" s="8" t="s">
        <v>73</v>
      </c>
      <c r="D146" s="8" t="s">
        <v>1017</v>
      </c>
      <c r="E146" s="8" t="s">
        <v>1018</v>
      </c>
      <c r="F146" s="8"/>
      <c r="G146" s="8" t="s">
        <v>55</v>
      </c>
      <c r="H146" s="8" t="s">
        <v>66</v>
      </c>
      <c r="I146" s="8" t="s">
        <v>508</v>
      </c>
      <c r="J146" s="8"/>
      <c r="K146" s="8"/>
      <c r="L146" s="6" t="s">
        <v>317</v>
      </c>
      <c r="M146" s="23" t="n">
        <v>48500</v>
      </c>
      <c r="N146" s="23" t="n">
        <v>31804.48222</v>
      </c>
      <c r="O146" s="23" t="n">
        <v>30509.351243</v>
      </c>
      <c r="P146" s="24" t="n">
        <v>965.4381101625</v>
      </c>
      <c r="Q146" s="24" t="n">
        <v>455.226448320833</v>
      </c>
      <c r="R146" s="24" t="n">
        <v>455.226448320833</v>
      </c>
      <c r="S146" s="25" t="n">
        <v>0.03035541039418</v>
      </c>
      <c r="T146" s="26" t="n">
        <v>0.748890489697474</v>
      </c>
      <c r="U146" s="23" t="n">
        <v>0</v>
      </c>
      <c r="V146" s="26" t="n">
        <v>-0.06</v>
      </c>
      <c r="W146" s="26" t="n">
        <v>0.307012579271991</v>
      </c>
      <c r="X146" s="26" t="n">
        <v>0.455909427724812</v>
      </c>
      <c r="Y146" s="26" t="n">
        <v>0.287661207913299</v>
      </c>
      <c r="Z146" s="26" t="n">
        <v>0.254448330906766</v>
      </c>
      <c r="AA146" s="26" t="n">
        <v>0.0452102682058788</v>
      </c>
      <c r="AB146" s="26" t="n">
        <v>-0.105391117291184</v>
      </c>
      <c r="AC146" s="27" t="n">
        <v>2.54410420469197</v>
      </c>
      <c r="AD146" s="28" t="n">
        <f aca="false">Params!$B$6*Params!$B$7*$R146</f>
        <v>273.1358689925</v>
      </c>
      <c r="AE146" s="29" t="n">
        <f aca="false">MIN(Params!$B$9,AD146/Params!$B$4)</f>
        <v>0.06</v>
      </c>
      <c r="AF146" s="29" t="n">
        <f aca="false">MIN(Params!$B$9,AD146/Params!$B$5)</f>
        <v>0.06</v>
      </c>
      <c r="AG146" s="28" t="n">
        <f aca="false">IF($R146&gt;0,Params!$B$9*Params!$B$4/(Params!$B$6*$R146),"n/a")</f>
        <v>0.329506338116548</v>
      </c>
      <c r="AH146" s="28" t="n">
        <f aca="false">IF($R146&gt;0,Params!$B$9*Params!$B$5/(Params!$B$6*$R146),"n/a")</f>
        <v>0.659012676233097</v>
      </c>
      <c r="AI146" s="28" t="n">
        <f aca="false">IF($R146&gt;0,Params!$B$15*Params!$B$4/(Params!$B$6*$R146),"n/a")</f>
        <v>0.109835446038849</v>
      </c>
      <c r="AJ146" s="29" t="n">
        <f aca="false">MIN(Params!$B$9,AD146*Params!$B$8/Params!$B$4)</f>
        <v>0.06</v>
      </c>
      <c r="AK146" s="28" t="n">
        <f aca="false">IF($R146&gt;0,Params!$B$9*Params!$B$4/(Params!$B$6*$R146*Params!$B$8),"n/a")</f>
        <v>0.659012676233097</v>
      </c>
      <c r="AL146" s="27" t="str">
        <f aca="false">IFERROR(ciq($D146,"IQ_PE_EXCL"),"")</f>
        <v/>
      </c>
      <c r="AM146" s="27" t="str">
        <f aca="false">IFERROR(ciq($D146,"IQ_PE_EXCL_FWD_CIQ"),"")</f>
        <v/>
      </c>
      <c r="AN146" s="27" t="str">
        <f aca="false">IFERROR(ciq($D146,"IQ_PBV"),"")</f>
        <v/>
      </c>
      <c r="AO146" s="27" t="str">
        <f aca="false">IFERROR(ciq($D146,"IQ_TEV_EBITDA"),"")</f>
        <v/>
      </c>
      <c r="AP146" s="24" t="str">
        <f aca="false">IFERROR(ciq($D146,"IQ_RETURN_EQUITY"),"")</f>
        <v/>
      </c>
      <c r="AQ146" s="24" t="str">
        <f aca="false">IFERROR(ciq($D146,"IQ_RETURN_CAPITAL"),"")</f>
        <v/>
      </c>
      <c r="AR146" s="24" t="str">
        <f aca="false">IFERROR(ciq($D146,"IQ_TOTAL_REV_1YR_ANN_GROWTH"),"")</f>
        <v/>
      </c>
      <c r="AS146" s="24" t="str">
        <f aca="false">IFERROR(ciq($D146,"IQ_EPS_1YR_ANN_GROWTH"),"")</f>
        <v/>
      </c>
      <c r="AT146" s="24" t="str">
        <f aca="false">IFERROR(ciq($D146,"IQ_DIVIDEND_YIELD"),"")</f>
        <v/>
      </c>
      <c r="AU146" s="24" t="str">
        <f aca="false">IFERROR(ciq($D146,"IQ_NET_DEBT"),"")</f>
        <v/>
      </c>
    </row>
    <row r="147" customFormat="false" ht="15" hidden="false" customHeight="false" outlineLevel="0" collapsed="false">
      <c r="A147" s="8" t="s">
        <v>1019</v>
      </c>
      <c r="B147" s="6" t="s">
        <v>1020</v>
      </c>
      <c r="C147" s="8" t="s">
        <v>72</v>
      </c>
      <c r="D147" s="8" t="s">
        <v>1021</v>
      </c>
      <c r="E147" s="8" t="s">
        <v>1022</v>
      </c>
      <c r="F147" s="6" t="s">
        <v>622</v>
      </c>
      <c r="G147" s="8" t="s">
        <v>55</v>
      </c>
      <c r="H147" s="8" t="s">
        <v>66</v>
      </c>
      <c r="I147" s="8"/>
      <c r="J147" s="8"/>
      <c r="K147" s="8"/>
      <c r="L147" s="8"/>
      <c r="M147" s="23" t="n">
        <v>5940</v>
      </c>
      <c r="N147" s="23" t="n">
        <v>31753.4290128</v>
      </c>
      <c r="O147" s="23" t="n">
        <v>31226.87804348</v>
      </c>
      <c r="P147" s="24" t="n">
        <v>246.1576336025</v>
      </c>
      <c r="Q147" s="24" t="n">
        <v>174.066155365</v>
      </c>
      <c r="R147" s="24" t="n">
        <v>174.066155365</v>
      </c>
      <c r="S147" s="25" t="n">
        <v>0.00775215909762918</v>
      </c>
      <c r="T147" s="26" t="n">
        <v>0.675758367204919</v>
      </c>
      <c r="U147" s="23" t="n">
        <v>0</v>
      </c>
      <c r="V147" s="26" t="n">
        <v>-0.06</v>
      </c>
      <c r="W147" s="26" t="n">
        <v>0.0136428484982247</v>
      </c>
      <c r="X147" s="26" t="n">
        <v>0.135302967705471</v>
      </c>
      <c r="Y147" s="26" t="n">
        <v>0.173152572459782</v>
      </c>
      <c r="Z147" s="26" t="n">
        <v>0.541957239767566</v>
      </c>
      <c r="AA147" s="26" t="n">
        <v>0.484339025767177</v>
      </c>
      <c r="AB147" s="26" t="n">
        <v>-0.0689989393561925</v>
      </c>
      <c r="AC147" s="27" t="n">
        <v>1.25967575212427</v>
      </c>
      <c r="AD147" s="28" t="n">
        <f aca="false">Params!$B$6*Params!$B$7*$R147</f>
        <v>104.439693219</v>
      </c>
      <c r="AE147" s="29" t="n">
        <f aca="false">MIN(Params!$B$9,AD147/Params!$B$4)</f>
        <v>0.06</v>
      </c>
      <c r="AF147" s="29" t="n">
        <f aca="false">MIN(Params!$B$9,AD147/Params!$B$5)</f>
        <v>0.06</v>
      </c>
      <c r="AG147" s="28" t="n">
        <f aca="false">IF($R147&gt;0,Params!$B$9*Params!$B$4/(Params!$B$6*$R147),"n/a")</f>
        <v>0.8617413286659</v>
      </c>
      <c r="AH147" s="28" t="n">
        <f aca="false">IF($R147&gt;0,Params!$B$9*Params!$B$5/(Params!$B$6*$R147),"n/a")</f>
        <v>1.7234826573318</v>
      </c>
      <c r="AI147" s="28" t="n">
        <f aca="false">IF($R147&gt;0,Params!$B$15*Params!$B$4/(Params!$B$6*$R147),"n/a")</f>
        <v>0.2872471095553</v>
      </c>
      <c r="AJ147" s="29" t="n">
        <f aca="false">MIN(Params!$B$9,AD147*Params!$B$8/Params!$B$4)</f>
        <v>0.06</v>
      </c>
      <c r="AK147" s="28" t="n">
        <f aca="false">IF($R147&gt;0,Params!$B$9*Params!$B$4/(Params!$B$6*$R147*Params!$B$8),"n/a")</f>
        <v>1.7234826573318</v>
      </c>
      <c r="AL147" s="27" t="str">
        <f aca="false">IFERROR(ciq($D147,"IQ_PE_EXCL"),"")</f>
        <v/>
      </c>
      <c r="AM147" s="27" t="str">
        <f aca="false">IFERROR(ciq($D147,"IQ_PE_EXCL_FWD_CIQ"),"")</f>
        <v/>
      </c>
      <c r="AN147" s="27" t="str">
        <f aca="false">IFERROR(ciq($D147,"IQ_PBV"),"")</f>
        <v/>
      </c>
      <c r="AO147" s="27" t="str">
        <f aca="false">IFERROR(ciq($D147,"IQ_TEV_EBITDA"),"")</f>
        <v/>
      </c>
      <c r="AP147" s="24" t="str">
        <f aca="false">IFERROR(ciq($D147,"IQ_RETURN_EQUITY"),"")</f>
        <v/>
      </c>
      <c r="AQ147" s="24" t="str">
        <f aca="false">IFERROR(ciq($D147,"IQ_RETURN_CAPITAL"),"")</f>
        <v/>
      </c>
      <c r="AR147" s="24" t="str">
        <f aca="false">IFERROR(ciq($D147,"IQ_TOTAL_REV_1YR_ANN_GROWTH"),"")</f>
        <v/>
      </c>
      <c r="AS147" s="24" t="str">
        <f aca="false">IFERROR(ciq($D147,"IQ_EPS_1YR_ANN_GROWTH"),"")</f>
        <v/>
      </c>
      <c r="AT147" s="24" t="str">
        <f aca="false">IFERROR(ciq($D147,"IQ_DIVIDEND_YIELD"),"")</f>
        <v/>
      </c>
      <c r="AU147" s="24" t="str">
        <f aca="false">IFERROR(ciq($D147,"IQ_NET_DEBT"),"")</f>
        <v/>
      </c>
    </row>
    <row r="148" customFormat="false" ht="15" hidden="false" customHeight="false" outlineLevel="0" collapsed="false">
      <c r="A148" s="8" t="s">
        <v>1023</v>
      </c>
      <c r="B148" s="6" t="s">
        <v>1024</v>
      </c>
      <c r="C148" s="8" t="s">
        <v>73</v>
      </c>
      <c r="D148" s="8" t="s">
        <v>1025</v>
      </c>
      <c r="E148" s="8" t="s">
        <v>1026</v>
      </c>
      <c r="F148" s="8"/>
      <c r="G148" s="8" t="s">
        <v>55</v>
      </c>
      <c r="H148" s="8" t="s">
        <v>66</v>
      </c>
      <c r="I148" s="8"/>
      <c r="J148" s="8"/>
      <c r="K148" s="8"/>
      <c r="L148" s="8" t="s">
        <v>241</v>
      </c>
      <c r="M148" s="23" t="n">
        <v>61500</v>
      </c>
      <c r="N148" s="23" t="n">
        <v>30818.281605</v>
      </c>
      <c r="O148" s="23" t="n">
        <v>31612.54138295</v>
      </c>
      <c r="P148" s="24" t="n">
        <v>291.2062924</v>
      </c>
      <c r="Q148" s="24" t="n">
        <v>569.714443708333</v>
      </c>
      <c r="R148" s="24" t="n">
        <v>291.2062924</v>
      </c>
      <c r="S148" s="25" t="n">
        <v>0.00944914113422711</v>
      </c>
      <c r="T148" s="26" t="n">
        <v>1.24642506670688</v>
      </c>
      <c r="U148" s="23" t="n">
        <v>1</v>
      </c>
      <c r="V148" s="26" t="n">
        <v>-0.06</v>
      </c>
      <c r="W148" s="26" t="n">
        <v>-0.0751588448170246</v>
      </c>
      <c r="X148" s="26" t="n">
        <v>-0.404122321319886</v>
      </c>
      <c r="Y148" s="26" t="n">
        <v>-0.0270604355285202</v>
      </c>
      <c r="Z148" s="26" t="n">
        <v>1.89334657408232</v>
      </c>
      <c r="AA148" s="26" t="n">
        <v>4.00468029073311</v>
      </c>
      <c r="AB148" s="26" t="n">
        <v>-0.520570541069707</v>
      </c>
      <c r="AC148" s="27" t="n">
        <v>0.330100046368694</v>
      </c>
      <c r="AD148" s="28" t="n">
        <f aca="false">Params!$B$6*Params!$B$7*$R148</f>
        <v>174.72377544</v>
      </c>
      <c r="AE148" s="29" t="n">
        <f aca="false">MIN(Params!$B$9,AD148/Params!$B$4)</f>
        <v>0.06</v>
      </c>
      <c r="AF148" s="29" t="n">
        <f aca="false">MIN(Params!$B$9,AD148/Params!$B$5)</f>
        <v>0.06</v>
      </c>
      <c r="AG148" s="28" t="n">
        <f aca="false">IF($R148&gt;0,Params!$B$9*Params!$B$4/(Params!$B$6*$R148),"n/a")</f>
        <v>0.515098759589853</v>
      </c>
      <c r="AH148" s="28" t="n">
        <f aca="false">IF($R148&gt;0,Params!$B$9*Params!$B$5/(Params!$B$6*$R148),"n/a")</f>
        <v>1.03019751917971</v>
      </c>
      <c r="AI148" s="28" t="n">
        <f aca="false">IF($R148&gt;0,Params!$B$15*Params!$B$4/(Params!$B$6*$R148),"n/a")</f>
        <v>0.171699586529951</v>
      </c>
      <c r="AJ148" s="29" t="n">
        <f aca="false">MIN(Params!$B$9,AD148*Params!$B$8/Params!$B$4)</f>
        <v>0.06</v>
      </c>
      <c r="AK148" s="28" t="n">
        <f aca="false">IF($R148&gt;0,Params!$B$9*Params!$B$4/(Params!$B$6*$R148*Params!$B$8),"n/a")</f>
        <v>1.03019751917971</v>
      </c>
      <c r="AL148" s="27" t="str">
        <f aca="false">IFERROR(ciq($D148,"IQ_PE_EXCL"),"")</f>
        <v/>
      </c>
      <c r="AM148" s="27" t="str">
        <f aca="false">IFERROR(ciq($D148,"IQ_PE_EXCL_FWD_CIQ"),"")</f>
        <v/>
      </c>
      <c r="AN148" s="27" t="str">
        <f aca="false">IFERROR(ciq($D148,"IQ_PBV"),"")</f>
        <v/>
      </c>
      <c r="AO148" s="27" t="str">
        <f aca="false">IFERROR(ciq($D148,"IQ_TEV_EBITDA"),"")</f>
        <v/>
      </c>
      <c r="AP148" s="24" t="str">
        <f aca="false">IFERROR(ciq($D148,"IQ_RETURN_EQUITY"),"")</f>
        <v/>
      </c>
      <c r="AQ148" s="24" t="str">
        <f aca="false">IFERROR(ciq($D148,"IQ_RETURN_CAPITAL"),"")</f>
        <v/>
      </c>
      <c r="AR148" s="24" t="str">
        <f aca="false">IFERROR(ciq($D148,"IQ_TOTAL_REV_1YR_ANN_GROWTH"),"")</f>
        <v/>
      </c>
      <c r="AS148" s="24" t="str">
        <f aca="false">IFERROR(ciq($D148,"IQ_EPS_1YR_ANN_GROWTH"),"")</f>
        <v/>
      </c>
      <c r="AT148" s="24" t="str">
        <f aca="false">IFERROR(ciq($D148,"IQ_DIVIDEND_YIELD"),"")</f>
        <v/>
      </c>
      <c r="AU148" s="24" t="str">
        <f aca="false">IFERROR(ciq($D148,"IQ_NET_DEBT"),"")</f>
        <v/>
      </c>
    </row>
    <row r="149" customFormat="false" ht="15" hidden="false" customHeight="false" outlineLevel="0" collapsed="false">
      <c r="A149" s="8" t="s">
        <v>1027</v>
      </c>
      <c r="B149" s="6" t="s">
        <v>1028</v>
      </c>
      <c r="C149" s="8" t="s">
        <v>73</v>
      </c>
      <c r="D149" s="8" t="s">
        <v>1029</v>
      </c>
      <c r="E149" s="8" t="s">
        <v>1030</v>
      </c>
      <c r="F149" s="6" t="s">
        <v>533</v>
      </c>
      <c r="G149" s="8" t="s">
        <v>55</v>
      </c>
      <c r="H149" s="8" t="s">
        <v>66</v>
      </c>
      <c r="I149" s="8"/>
      <c r="J149" s="8"/>
      <c r="K149" s="8"/>
      <c r="L149" s="8"/>
      <c r="M149" s="23" t="n">
        <v>240500</v>
      </c>
      <c r="N149" s="23" t="n">
        <v>30098.991065</v>
      </c>
      <c r="O149" s="23" t="n">
        <v>32085.77477875</v>
      </c>
      <c r="P149" s="24" t="n">
        <v>128.562847875</v>
      </c>
      <c r="Q149" s="24" t="n">
        <v>127.933677759833</v>
      </c>
      <c r="R149" s="24" t="n">
        <v>127.933677759833</v>
      </c>
      <c r="S149" s="25" t="n">
        <v>0.00427133413201005</v>
      </c>
      <c r="T149" s="26" t="n">
        <v>0.60203472111144</v>
      </c>
      <c r="U149" s="23" t="n">
        <v>0</v>
      </c>
      <c r="V149" s="26" t="n">
        <v>-0.06</v>
      </c>
      <c r="W149" s="26" t="n">
        <v>-0.0753117338827226</v>
      </c>
      <c r="X149" s="26" t="n">
        <v>-0.00672786112634494</v>
      </c>
      <c r="Y149" s="26" t="n">
        <v>-0.031053868317296</v>
      </c>
      <c r="Z149" s="26" t="n">
        <v>0.0422254026447588</v>
      </c>
      <c r="AA149" s="26" t="n">
        <v>-0.230109719002524</v>
      </c>
      <c r="AB149" s="26" t="n">
        <v>-0.282929881750215</v>
      </c>
      <c r="AC149" s="27" t="n">
        <v>0.950794572736094</v>
      </c>
      <c r="AD149" s="28" t="n">
        <f aca="false">Params!$B$6*Params!$B$7*$R149</f>
        <v>76.7602066559</v>
      </c>
      <c r="AE149" s="29" t="n">
        <f aca="false">MIN(Params!$B$9,AD149/Params!$B$4)</f>
        <v>0.06</v>
      </c>
      <c r="AF149" s="29" t="n">
        <f aca="false">MIN(Params!$B$9,AD149/Params!$B$5)</f>
        <v>0.06</v>
      </c>
      <c r="AG149" s="28" t="n">
        <f aca="false">IF($R149&gt;0,Params!$B$9*Params!$B$4/(Params!$B$6*$R149),"n/a")</f>
        <v>1.17248251302203</v>
      </c>
      <c r="AH149" s="28" t="n">
        <f aca="false">IF($R149&gt;0,Params!$B$9*Params!$B$5/(Params!$B$6*$R149),"n/a")</f>
        <v>2.34496502604406</v>
      </c>
      <c r="AI149" s="28" t="n">
        <f aca="false">IF($R149&gt;0,Params!$B$15*Params!$B$4/(Params!$B$6*$R149),"n/a")</f>
        <v>0.390827504340677</v>
      </c>
      <c r="AJ149" s="29" t="n">
        <f aca="false">MIN(Params!$B$9,AD149*Params!$B$8/Params!$B$4)</f>
        <v>0.06</v>
      </c>
      <c r="AK149" s="28" t="n">
        <f aca="false">IF($R149&gt;0,Params!$B$9*Params!$B$4/(Params!$B$6*$R149*Params!$B$8),"n/a")</f>
        <v>2.34496502604406</v>
      </c>
      <c r="AL149" s="27" t="str">
        <f aca="false">IFERROR(ciq($D149,"IQ_PE_EXCL"),"")</f>
        <v/>
      </c>
      <c r="AM149" s="27" t="str">
        <f aca="false">IFERROR(ciq($D149,"IQ_PE_EXCL_FWD_CIQ"),"")</f>
        <v/>
      </c>
      <c r="AN149" s="27" t="str">
        <f aca="false">IFERROR(ciq($D149,"IQ_PBV"),"")</f>
        <v/>
      </c>
      <c r="AO149" s="27" t="str">
        <f aca="false">IFERROR(ciq($D149,"IQ_TEV_EBITDA"),"")</f>
        <v/>
      </c>
      <c r="AP149" s="24" t="str">
        <f aca="false">IFERROR(ciq($D149,"IQ_RETURN_EQUITY"),"")</f>
        <v/>
      </c>
      <c r="AQ149" s="24" t="str">
        <f aca="false">IFERROR(ciq($D149,"IQ_RETURN_CAPITAL"),"")</f>
        <v/>
      </c>
      <c r="AR149" s="24" t="str">
        <f aca="false">IFERROR(ciq($D149,"IQ_TOTAL_REV_1YR_ANN_GROWTH"),"")</f>
        <v/>
      </c>
      <c r="AS149" s="24" t="str">
        <f aca="false">IFERROR(ciq($D149,"IQ_EPS_1YR_ANN_GROWTH"),"")</f>
        <v/>
      </c>
      <c r="AT149" s="24" t="str">
        <f aca="false">IFERROR(ciq($D149,"IQ_DIVIDEND_YIELD"),"")</f>
        <v/>
      </c>
      <c r="AU149" s="24" t="str">
        <f aca="false">IFERROR(ciq($D149,"IQ_NET_DEBT"),"")</f>
        <v/>
      </c>
    </row>
    <row r="150" customFormat="false" ht="15" hidden="false" customHeight="false" outlineLevel="0" collapsed="false">
      <c r="A150" s="8" t="s">
        <v>1031</v>
      </c>
      <c r="B150" s="6" t="s">
        <v>1032</v>
      </c>
      <c r="C150" s="8" t="s">
        <v>73</v>
      </c>
      <c r="D150" s="8" t="s">
        <v>1033</v>
      </c>
      <c r="E150" s="8" t="s">
        <v>1034</v>
      </c>
      <c r="F150" s="6" t="s">
        <v>627</v>
      </c>
      <c r="G150" s="8" t="s">
        <v>55</v>
      </c>
      <c r="H150" s="8" t="s">
        <v>66</v>
      </c>
      <c r="I150" s="8"/>
      <c r="J150" s="8"/>
      <c r="K150" s="8"/>
      <c r="L150" s="8"/>
      <c r="M150" s="23" t="n">
        <v>130800</v>
      </c>
      <c r="N150" s="23" t="n">
        <v>29974.182936</v>
      </c>
      <c r="O150" s="23" t="n">
        <v>29915.7470289</v>
      </c>
      <c r="P150" s="24" t="n">
        <v>166.12010705</v>
      </c>
      <c r="Q150" s="24" t="n">
        <v>354.373628333333</v>
      </c>
      <c r="R150" s="24" t="n">
        <v>166.12010705</v>
      </c>
      <c r="S150" s="25" t="n">
        <v>0.00554210626540496</v>
      </c>
      <c r="T150" s="26" t="n">
        <v>1.24703456354584</v>
      </c>
      <c r="U150" s="23" t="n">
        <v>1</v>
      </c>
      <c r="V150" s="26" t="n">
        <v>-0.06</v>
      </c>
      <c r="W150" s="26" t="n">
        <v>0.0608564427829073</v>
      </c>
      <c r="X150" s="26" t="n">
        <v>-0.11254536160177</v>
      </c>
      <c r="Y150" s="26" t="n">
        <v>0.0535133162858947</v>
      </c>
      <c r="Z150" s="26" t="n">
        <v>0.744665356129628</v>
      </c>
      <c r="AA150" s="26" t="n">
        <v>1.6718934784257</v>
      </c>
      <c r="AB150" s="26" t="n">
        <v>-0.366431739760676</v>
      </c>
      <c r="AC150" s="27" t="n">
        <v>0.50997561764601</v>
      </c>
      <c r="AD150" s="28" t="n">
        <f aca="false">Params!$B$6*Params!$B$7*$R150</f>
        <v>99.67206423</v>
      </c>
      <c r="AE150" s="29" t="n">
        <f aca="false">MIN(Params!$B$9,AD150/Params!$B$4)</f>
        <v>0.06</v>
      </c>
      <c r="AF150" s="29" t="n">
        <f aca="false">MIN(Params!$B$9,AD150/Params!$B$5)</f>
        <v>0.06</v>
      </c>
      <c r="AG150" s="28" t="n">
        <f aca="false">IF($R150&gt;0,Params!$B$9*Params!$B$4/(Params!$B$6*$R150),"n/a")</f>
        <v>0.902961132542805</v>
      </c>
      <c r="AH150" s="28" t="n">
        <f aca="false">IF($R150&gt;0,Params!$B$9*Params!$B$5/(Params!$B$6*$R150),"n/a")</f>
        <v>1.80592226508561</v>
      </c>
      <c r="AI150" s="28" t="n">
        <f aca="false">IF($R150&gt;0,Params!$B$15*Params!$B$4/(Params!$B$6*$R150),"n/a")</f>
        <v>0.300987044180935</v>
      </c>
      <c r="AJ150" s="29" t="n">
        <f aca="false">MIN(Params!$B$9,AD150*Params!$B$8/Params!$B$4)</f>
        <v>0.06</v>
      </c>
      <c r="AK150" s="28" t="n">
        <f aca="false">IF($R150&gt;0,Params!$B$9*Params!$B$4/(Params!$B$6*$R150*Params!$B$8),"n/a")</f>
        <v>1.80592226508561</v>
      </c>
      <c r="AL150" s="27" t="str">
        <f aca="false">IFERROR(ciq($D150,"IQ_PE_EXCL"),"")</f>
        <v/>
      </c>
      <c r="AM150" s="27" t="str">
        <f aca="false">IFERROR(ciq($D150,"IQ_PE_EXCL_FWD_CIQ"),"")</f>
        <v/>
      </c>
      <c r="AN150" s="27" t="str">
        <f aca="false">IFERROR(ciq($D150,"IQ_PBV"),"")</f>
        <v/>
      </c>
      <c r="AO150" s="27" t="str">
        <f aca="false">IFERROR(ciq($D150,"IQ_TEV_EBITDA"),"")</f>
        <v/>
      </c>
      <c r="AP150" s="24" t="str">
        <f aca="false">IFERROR(ciq($D150,"IQ_RETURN_EQUITY"),"")</f>
        <v/>
      </c>
      <c r="AQ150" s="24" t="str">
        <f aca="false">IFERROR(ciq($D150,"IQ_RETURN_CAPITAL"),"")</f>
        <v/>
      </c>
      <c r="AR150" s="24" t="str">
        <f aca="false">IFERROR(ciq($D150,"IQ_TOTAL_REV_1YR_ANN_GROWTH"),"")</f>
        <v/>
      </c>
      <c r="AS150" s="24" t="str">
        <f aca="false">IFERROR(ciq($D150,"IQ_EPS_1YR_ANN_GROWTH"),"")</f>
        <v/>
      </c>
      <c r="AT150" s="24" t="str">
        <f aca="false">IFERROR(ciq($D150,"IQ_DIVIDEND_YIELD"),"")</f>
        <v/>
      </c>
      <c r="AU150" s="24" t="str">
        <f aca="false">IFERROR(ciq($D150,"IQ_NET_DEBT"),"")</f>
        <v/>
      </c>
    </row>
    <row r="151" customFormat="false" ht="15" hidden="false" customHeight="false" outlineLevel="0" collapsed="false">
      <c r="A151" s="8" t="s">
        <v>1035</v>
      </c>
      <c r="B151" s="6" t="s">
        <v>1036</v>
      </c>
      <c r="C151" s="8" t="s">
        <v>72</v>
      </c>
      <c r="D151" s="8" t="s">
        <v>1037</v>
      </c>
      <c r="E151" s="8" t="s">
        <v>1038</v>
      </c>
      <c r="F151" s="6" t="s">
        <v>982</v>
      </c>
      <c r="G151" s="8" t="s">
        <v>55</v>
      </c>
      <c r="H151" s="8" t="s">
        <v>66</v>
      </c>
      <c r="I151" s="8"/>
      <c r="J151" s="8"/>
      <c r="K151" s="8"/>
      <c r="L151" s="8"/>
      <c r="M151" s="23" t="n">
        <v>105300</v>
      </c>
      <c r="N151" s="23" t="n">
        <v>29788.059015</v>
      </c>
      <c r="O151" s="23" t="n">
        <v>28993.1449995</v>
      </c>
      <c r="P151" s="24" t="n">
        <v>193.719428491</v>
      </c>
      <c r="Q151" s="24" t="n">
        <v>244.276079738667</v>
      </c>
      <c r="R151" s="24" t="n">
        <v>193.719428491</v>
      </c>
      <c r="S151" s="25" t="n">
        <v>0.00650325784548269</v>
      </c>
      <c r="T151" s="26" t="n">
        <v>0.720933029142426</v>
      </c>
      <c r="U151" s="23" t="n">
        <v>0</v>
      </c>
      <c r="V151" s="26" t="n">
        <v>-0.06</v>
      </c>
      <c r="W151" s="26" t="n">
        <v>-0.0787934257517851</v>
      </c>
      <c r="X151" s="26" t="n">
        <v>-0.421012239965398</v>
      </c>
      <c r="Y151" s="26" t="n">
        <v>0.0720821433652927</v>
      </c>
      <c r="Z151" s="26" t="n">
        <v>0.452351069894692</v>
      </c>
      <c r="AA151" s="26" t="n">
        <v>0.585482796852121</v>
      </c>
      <c r="AB151" s="26" t="n">
        <v>-0.482485822251033</v>
      </c>
      <c r="AC151" s="27" t="n">
        <v>0.851846461141039</v>
      </c>
      <c r="AD151" s="28" t="n">
        <f aca="false">Params!$B$6*Params!$B$7*$R151</f>
        <v>116.2316570946</v>
      </c>
      <c r="AE151" s="29" t="n">
        <f aca="false">MIN(Params!$B$9,AD151/Params!$B$4)</f>
        <v>0.06</v>
      </c>
      <c r="AF151" s="29" t="n">
        <f aca="false">MIN(Params!$B$9,AD151/Params!$B$5)</f>
        <v>0.06</v>
      </c>
      <c r="AG151" s="28" t="n">
        <f aca="false">IF($R151&gt;0,Params!$B$9*Params!$B$4/(Params!$B$6*$R151),"n/a")</f>
        <v>0.774315726452646</v>
      </c>
      <c r="AH151" s="28" t="n">
        <f aca="false">IF($R151&gt;0,Params!$B$9*Params!$B$5/(Params!$B$6*$R151),"n/a")</f>
        <v>1.54863145290529</v>
      </c>
      <c r="AI151" s="28" t="n">
        <f aca="false">IF($R151&gt;0,Params!$B$15*Params!$B$4/(Params!$B$6*$R151),"n/a")</f>
        <v>0.258105242150882</v>
      </c>
      <c r="AJ151" s="29" t="n">
        <f aca="false">MIN(Params!$B$9,AD151*Params!$B$8/Params!$B$4)</f>
        <v>0.06</v>
      </c>
      <c r="AK151" s="28" t="n">
        <f aca="false">IF($R151&gt;0,Params!$B$9*Params!$B$4/(Params!$B$6*$R151*Params!$B$8),"n/a")</f>
        <v>1.54863145290529</v>
      </c>
      <c r="AL151" s="27" t="str">
        <f aca="false">IFERROR(ciq($D151,"IQ_PE_EXCL"),"")</f>
        <v/>
      </c>
      <c r="AM151" s="27" t="str">
        <f aca="false">IFERROR(ciq($D151,"IQ_PE_EXCL_FWD_CIQ"),"")</f>
        <v/>
      </c>
      <c r="AN151" s="27" t="str">
        <f aca="false">IFERROR(ciq($D151,"IQ_PBV"),"")</f>
        <v/>
      </c>
      <c r="AO151" s="27" t="str">
        <f aca="false">IFERROR(ciq($D151,"IQ_TEV_EBITDA"),"")</f>
        <v/>
      </c>
      <c r="AP151" s="24" t="str">
        <f aca="false">IFERROR(ciq($D151,"IQ_RETURN_EQUITY"),"")</f>
        <v/>
      </c>
      <c r="AQ151" s="24" t="str">
        <f aca="false">IFERROR(ciq($D151,"IQ_RETURN_CAPITAL"),"")</f>
        <v/>
      </c>
      <c r="AR151" s="24" t="str">
        <f aca="false">IFERROR(ciq($D151,"IQ_TOTAL_REV_1YR_ANN_GROWTH"),"")</f>
        <v/>
      </c>
      <c r="AS151" s="24" t="str">
        <f aca="false">IFERROR(ciq($D151,"IQ_EPS_1YR_ANN_GROWTH"),"")</f>
        <v/>
      </c>
      <c r="AT151" s="24" t="str">
        <f aca="false">IFERROR(ciq($D151,"IQ_DIVIDEND_YIELD"),"")</f>
        <v/>
      </c>
      <c r="AU151" s="24" t="str">
        <f aca="false">IFERROR(ciq($D151,"IQ_NET_DEBT"),"")</f>
        <v/>
      </c>
    </row>
    <row r="152" customFormat="false" ht="15" hidden="false" customHeight="false" outlineLevel="0" collapsed="false">
      <c r="A152" s="8" t="s">
        <v>1039</v>
      </c>
      <c r="B152" s="6" t="s">
        <v>1040</v>
      </c>
      <c r="C152" s="8" t="s">
        <v>72</v>
      </c>
      <c r="D152" s="8" t="s">
        <v>1041</v>
      </c>
      <c r="E152" s="8" t="s">
        <v>1042</v>
      </c>
      <c r="F152" s="6" t="s">
        <v>550</v>
      </c>
      <c r="G152" s="8" t="s">
        <v>55</v>
      </c>
      <c r="H152" s="8" t="s">
        <v>66</v>
      </c>
      <c r="I152" s="8"/>
      <c r="J152" s="8"/>
      <c r="K152" s="8"/>
      <c r="L152" s="8"/>
      <c r="M152" s="23" t="n">
        <v>74700</v>
      </c>
      <c r="N152" s="23" t="n">
        <v>29202.011595</v>
      </c>
      <c r="O152" s="23" t="n">
        <v>28715.31140175</v>
      </c>
      <c r="P152" s="24" t="n">
        <v>110.892779085</v>
      </c>
      <c r="Q152" s="24" t="n">
        <v>121.386842111667</v>
      </c>
      <c r="R152" s="24" t="n">
        <v>110.892779085</v>
      </c>
      <c r="S152" s="25" t="n">
        <v>0.00379743630757229</v>
      </c>
      <c r="T152" s="26" t="n">
        <v>0.364219318868849</v>
      </c>
      <c r="U152" s="23" t="n">
        <v>0</v>
      </c>
      <c r="V152" s="26" t="n">
        <v>-0.06</v>
      </c>
      <c r="W152" s="26" t="n">
        <v>0.0492551330933133</v>
      </c>
      <c r="X152" s="26" t="n">
        <v>-0.0259402676649128</v>
      </c>
      <c r="Y152" s="26" t="n">
        <v>-0.154923272422905</v>
      </c>
      <c r="Z152" s="26" t="n">
        <v>-0.153992506604716</v>
      </c>
      <c r="AA152" s="26" t="n">
        <v>-0.08015783760232</v>
      </c>
      <c r="AB152" s="26" t="n">
        <v>-0.331215141282369</v>
      </c>
      <c r="AC152" s="27" t="n">
        <v>0.642603587197506</v>
      </c>
      <c r="AD152" s="28" t="n">
        <f aca="false">Params!$B$6*Params!$B$7*$R152</f>
        <v>66.535667451</v>
      </c>
      <c r="AE152" s="29" t="n">
        <f aca="false">MIN(Params!$B$9,AD152/Params!$B$4)</f>
        <v>0.06</v>
      </c>
      <c r="AF152" s="29" t="n">
        <f aca="false">MIN(Params!$B$9,AD152/Params!$B$5)</f>
        <v>0.06</v>
      </c>
      <c r="AG152" s="28" t="n">
        <f aca="false">IF($R152&gt;0,Params!$B$9*Params!$B$4/(Params!$B$6*$R152),"n/a")</f>
        <v>1.35265795697143</v>
      </c>
      <c r="AH152" s="28" t="n">
        <f aca="false">IF($R152&gt;0,Params!$B$9*Params!$B$5/(Params!$B$6*$R152),"n/a")</f>
        <v>2.70531591394286</v>
      </c>
      <c r="AI152" s="28" t="n">
        <f aca="false">IF($R152&gt;0,Params!$B$15*Params!$B$4/(Params!$B$6*$R152),"n/a")</f>
        <v>0.450885985657143</v>
      </c>
      <c r="AJ152" s="29" t="n">
        <f aca="false">MIN(Params!$B$9,AD152*Params!$B$8/Params!$B$4)</f>
        <v>0.06</v>
      </c>
      <c r="AK152" s="28" t="n">
        <f aca="false">IF($R152&gt;0,Params!$B$9*Params!$B$4/(Params!$B$6*$R152*Params!$B$8),"n/a")</f>
        <v>2.70531591394286</v>
      </c>
      <c r="AL152" s="27" t="str">
        <f aca="false">IFERROR(ciq($D152,"IQ_PE_EXCL"),"")</f>
        <v/>
      </c>
      <c r="AM152" s="27" t="str">
        <f aca="false">IFERROR(ciq($D152,"IQ_PE_EXCL_FWD_CIQ"),"")</f>
        <v/>
      </c>
      <c r="AN152" s="27" t="str">
        <f aca="false">IFERROR(ciq($D152,"IQ_PBV"),"")</f>
        <v/>
      </c>
      <c r="AO152" s="27" t="str">
        <f aca="false">IFERROR(ciq($D152,"IQ_TEV_EBITDA"),"")</f>
        <v/>
      </c>
      <c r="AP152" s="24" t="str">
        <f aca="false">IFERROR(ciq($D152,"IQ_RETURN_EQUITY"),"")</f>
        <v/>
      </c>
      <c r="AQ152" s="24" t="str">
        <f aca="false">IFERROR(ciq($D152,"IQ_RETURN_CAPITAL"),"")</f>
        <v/>
      </c>
      <c r="AR152" s="24" t="str">
        <f aca="false">IFERROR(ciq($D152,"IQ_TOTAL_REV_1YR_ANN_GROWTH"),"")</f>
        <v/>
      </c>
      <c r="AS152" s="24" t="str">
        <f aca="false">IFERROR(ciq($D152,"IQ_EPS_1YR_ANN_GROWTH"),"")</f>
        <v/>
      </c>
      <c r="AT152" s="24" t="str">
        <f aca="false">IFERROR(ciq($D152,"IQ_DIVIDEND_YIELD"),"")</f>
        <v/>
      </c>
      <c r="AU152" s="24" t="str">
        <f aca="false">IFERROR(ciq($D152,"IQ_NET_DEBT"),"")</f>
        <v/>
      </c>
    </row>
    <row r="153" customFormat="false" ht="15" hidden="false" customHeight="false" outlineLevel="0" collapsed="false">
      <c r="A153" s="8" t="s">
        <v>1043</v>
      </c>
      <c r="B153" s="8" t="s">
        <v>1044</v>
      </c>
      <c r="C153" s="8" t="s">
        <v>72</v>
      </c>
      <c r="D153" s="8" t="s">
        <v>1045</v>
      </c>
      <c r="E153" s="8" t="s">
        <v>1046</v>
      </c>
      <c r="F153" s="6" t="s">
        <v>826</v>
      </c>
      <c r="G153" s="8" t="s">
        <v>55</v>
      </c>
      <c r="H153" s="8" t="s">
        <v>66</v>
      </c>
      <c r="I153" s="8"/>
      <c r="J153" s="8"/>
      <c r="K153" s="8"/>
      <c r="L153" s="8" t="s">
        <v>514</v>
      </c>
      <c r="M153" s="23" t="n">
        <v>33600</v>
      </c>
      <c r="N153" s="23" t="n">
        <v>28755.38064</v>
      </c>
      <c r="O153" s="23" t="n">
        <v>29709.6142535</v>
      </c>
      <c r="P153" s="24" t="n">
        <v>972.6060684625</v>
      </c>
      <c r="Q153" s="24" t="n">
        <v>817.581327058333</v>
      </c>
      <c r="R153" s="24" t="n">
        <v>817.581327058333</v>
      </c>
      <c r="S153" s="25" t="n">
        <v>0.0338234461452255</v>
      </c>
      <c r="T153" s="26" t="n">
        <v>1.13866818315172</v>
      </c>
      <c r="U153" s="23" t="n">
        <v>2</v>
      </c>
      <c r="V153" s="26" t="n">
        <v>-0.04</v>
      </c>
      <c r="W153" s="26" t="n">
        <v>0.0786862962861645</v>
      </c>
      <c r="X153" s="26" t="n">
        <v>0.270325177463042</v>
      </c>
      <c r="Y153" s="26" t="n">
        <v>0.573560351598727</v>
      </c>
      <c r="Z153" s="26" t="n">
        <v>0.705466747765658</v>
      </c>
      <c r="AA153" s="26" t="n">
        <v>0.759276425538597</v>
      </c>
      <c r="AB153" s="26" t="n">
        <v>-0.22028909069827</v>
      </c>
      <c r="AC153" s="27" t="n">
        <v>1.05545606145678</v>
      </c>
      <c r="AD153" s="28" t="n">
        <f aca="false">Params!$B$6*Params!$B$7*$R153</f>
        <v>490.548796235</v>
      </c>
      <c r="AE153" s="29" t="n">
        <f aca="false">MIN(Params!$B$9,AD153/Params!$B$4)</f>
        <v>0.06</v>
      </c>
      <c r="AF153" s="29" t="n">
        <f aca="false">MIN(Params!$B$9,AD153/Params!$B$5)</f>
        <v>0.06</v>
      </c>
      <c r="AG153" s="28" t="n">
        <f aca="false">IF($R153&gt;0,Params!$B$9*Params!$B$4/(Params!$B$6*$R153),"n/a")</f>
        <v>0.183467986652413</v>
      </c>
      <c r="AH153" s="28" t="n">
        <f aca="false">IF($R153&gt;0,Params!$B$9*Params!$B$5/(Params!$B$6*$R153),"n/a")</f>
        <v>0.366935973304825</v>
      </c>
      <c r="AI153" s="28" t="n">
        <f aca="false">IF($R153&gt;0,Params!$B$15*Params!$B$4/(Params!$B$6*$R153),"n/a")</f>
        <v>0.0611559955508042</v>
      </c>
      <c r="AJ153" s="29" t="n">
        <f aca="false">MIN(Params!$B$9,AD153*Params!$B$8/Params!$B$4)</f>
        <v>0.06</v>
      </c>
      <c r="AK153" s="28" t="n">
        <f aca="false">IF($R153&gt;0,Params!$B$9*Params!$B$4/(Params!$B$6*$R153*Params!$B$8),"n/a")</f>
        <v>0.366935973304825</v>
      </c>
      <c r="AL153" s="27" t="str">
        <f aca="false">IFERROR(ciq($D153,"IQ_PE_EXCL"),"")</f>
        <v/>
      </c>
      <c r="AM153" s="27" t="str">
        <f aca="false">IFERROR(ciq($D153,"IQ_PE_EXCL_FWD_CIQ"),"")</f>
        <v/>
      </c>
      <c r="AN153" s="27" t="str">
        <f aca="false">IFERROR(ciq($D153,"IQ_PBV"),"")</f>
        <v/>
      </c>
      <c r="AO153" s="27" t="str">
        <f aca="false">IFERROR(ciq($D153,"IQ_TEV_EBITDA"),"")</f>
        <v/>
      </c>
      <c r="AP153" s="24" t="str">
        <f aca="false">IFERROR(ciq($D153,"IQ_RETURN_EQUITY"),"")</f>
        <v/>
      </c>
      <c r="AQ153" s="24" t="str">
        <f aca="false">IFERROR(ciq($D153,"IQ_RETURN_CAPITAL"),"")</f>
        <v/>
      </c>
      <c r="AR153" s="24" t="str">
        <f aca="false">IFERROR(ciq($D153,"IQ_TOTAL_REV_1YR_ANN_GROWTH"),"")</f>
        <v/>
      </c>
      <c r="AS153" s="24" t="str">
        <f aca="false">IFERROR(ciq($D153,"IQ_EPS_1YR_ANN_GROWTH"),"")</f>
        <v/>
      </c>
      <c r="AT153" s="24" t="str">
        <f aca="false">IFERROR(ciq($D153,"IQ_DIVIDEND_YIELD"),"")</f>
        <v/>
      </c>
      <c r="AU153" s="24" t="str">
        <f aca="false">IFERROR(ciq($D153,"IQ_NET_DEBT"),"")</f>
        <v/>
      </c>
    </row>
    <row r="154" customFormat="false" ht="15" hidden="false" customHeight="false" outlineLevel="0" collapsed="false">
      <c r="A154" s="8" t="s">
        <v>1047</v>
      </c>
      <c r="B154" s="6" t="s">
        <v>1048</v>
      </c>
      <c r="C154" s="8" t="s">
        <v>72</v>
      </c>
      <c r="D154" s="8" t="s">
        <v>1049</v>
      </c>
      <c r="E154" s="8" t="s">
        <v>1050</v>
      </c>
      <c r="F154" s="6" t="s">
        <v>852</v>
      </c>
      <c r="G154" s="8" t="s">
        <v>55</v>
      </c>
      <c r="H154" s="8" t="s">
        <v>66</v>
      </c>
      <c r="I154" s="8"/>
      <c r="J154" s="8"/>
      <c r="K154" s="8"/>
      <c r="L154" s="8"/>
      <c r="M154" s="23" t="n">
        <v>53900</v>
      </c>
      <c r="N154" s="23" t="n">
        <v>28157.703882</v>
      </c>
      <c r="O154" s="23" t="n">
        <v>30631.2980913</v>
      </c>
      <c r="P154" s="24" t="n">
        <v>207.968886975</v>
      </c>
      <c r="Q154" s="24" t="n">
        <v>249.225982025</v>
      </c>
      <c r="R154" s="24" t="n">
        <v>207.968886975</v>
      </c>
      <c r="S154" s="25" t="n">
        <v>0.00738586100083059</v>
      </c>
      <c r="T154" s="26" t="n">
        <v>0.999172432057175</v>
      </c>
      <c r="U154" s="23" t="n">
        <v>0</v>
      </c>
      <c r="V154" s="26" t="n">
        <v>-0.06</v>
      </c>
      <c r="W154" s="26" t="n">
        <v>0.0150062064176995</v>
      </c>
      <c r="X154" s="26" t="n">
        <v>0.0331088652165239</v>
      </c>
      <c r="Y154" s="26" t="n">
        <v>-0.060413092629618</v>
      </c>
      <c r="Z154" s="26" t="n">
        <v>0.232617961253977</v>
      </c>
      <c r="AA154" s="26" t="n">
        <v>0.828481544269572</v>
      </c>
      <c r="AB154" s="26" t="n">
        <v>-0.237219821380124</v>
      </c>
      <c r="AC154" s="27" t="n">
        <v>0.799276998739661</v>
      </c>
      <c r="AD154" s="28" t="n">
        <f aca="false">Params!$B$6*Params!$B$7*$R154</f>
        <v>124.781332185</v>
      </c>
      <c r="AE154" s="29" t="n">
        <f aca="false">MIN(Params!$B$9,AD154/Params!$B$4)</f>
        <v>0.06</v>
      </c>
      <c r="AF154" s="29" t="n">
        <f aca="false">MIN(Params!$B$9,AD154/Params!$B$5)</f>
        <v>0.06</v>
      </c>
      <c r="AG154" s="28" t="n">
        <f aca="false">IF($R154&gt;0,Params!$B$9*Params!$B$4/(Params!$B$6*$R154),"n/a")</f>
        <v>0.721261733819019</v>
      </c>
      <c r="AH154" s="28" t="n">
        <f aca="false">IF($R154&gt;0,Params!$B$9*Params!$B$5/(Params!$B$6*$R154),"n/a")</f>
        <v>1.44252346763804</v>
      </c>
      <c r="AI154" s="28" t="n">
        <f aca="false">IF($R154&gt;0,Params!$B$15*Params!$B$4/(Params!$B$6*$R154),"n/a")</f>
        <v>0.240420577939673</v>
      </c>
      <c r="AJ154" s="29" t="n">
        <f aca="false">MIN(Params!$B$9,AD154*Params!$B$8/Params!$B$4)</f>
        <v>0.06</v>
      </c>
      <c r="AK154" s="28" t="n">
        <f aca="false">IF($R154&gt;0,Params!$B$9*Params!$B$4/(Params!$B$6*$R154*Params!$B$8),"n/a")</f>
        <v>1.44252346763804</v>
      </c>
      <c r="AL154" s="27" t="str">
        <f aca="false">IFERROR(ciq($D154,"IQ_PE_EXCL"),"")</f>
        <v/>
      </c>
      <c r="AM154" s="27" t="str">
        <f aca="false">IFERROR(ciq($D154,"IQ_PE_EXCL_FWD_CIQ"),"")</f>
        <v/>
      </c>
      <c r="AN154" s="27" t="str">
        <f aca="false">IFERROR(ciq($D154,"IQ_PBV"),"")</f>
        <v/>
      </c>
      <c r="AO154" s="27" t="str">
        <f aca="false">IFERROR(ciq($D154,"IQ_TEV_EBITDA"),"")</f>
        <v/>
      </c>
      <c r="AP154" s="24" t="str">
        <f aca="false">IFERROR(ciq($D154,"IQ_RETURN_EQUITY"),"")</f>
        <v/>
      </c>
      <c r="AQ154" s="24" t="str">
        <f aca="false">IFERROR(ciq($D154,"IQ_RETURN_CAPITAL"),"")</f>
        <v/>
      </c>
      <c r="AR154" s="24" t="str">
        <f aca="false">IFERROR(ciq($D154,"IQ_TOTAL_REV_1YR_ANN_GROWTH"),"")</f>
        <v/>
      </c>
      <c r="AS154" s="24" t="str">
        <f aca="false">IFERROR(ciq($D154,"IQ_EPS_1YR_ANN_GROWTH"),"")</f>
        <v/>
      </c>
      <c r="AT154" s="24" t="str">
        <f aca="false">IFERROR(ciq($D154,"IQ_DIVIDEND_YIELD"),"")</f>
        <v/>
      </c>
      <c r="AU154" s="24" t="str">
        <f aca="false">IFERROR(ciq($D154,"IQ_NET_DEBT"),"")</f>
        <v/>
      </c>
    </row>
    <row r="155" customFormat="false" ht="15" hidden="false" customHeight="false" outlineLevel="0" collapsed="false">
      <c r="A155" s="8" t="s">
        <v>1051</v>
      </c>
      <c r="B155" s="8" t="s">
        <v>1052</v>
      </c>
      <c r="C155" s="8" t="s">
        <v>72</v>
      </c>
      <c r="D155" s="8" t="s">
        <v>1053</v>
      </c>
      <c r="E155" s="8" t="s">
        <v>1054</v>
      </c>
      <c r="F155" s="8"/>
      <c r="G155" s="8" t="s">
        <v>55</v>
      </c>
      <c r="H155" s="8" t="s">
        <v>66</v>
      </c>
      <c r="I155" s="8"/>
      <c r="J155" s="8"/>
      <c r="K155" s="8"/>
      <c r="L155" s="8"/>
      <c r="M155" s="23" t="n">
        <v>72500</v>
      </c>
      <c r="N155" s="23" t="n">
        <v>28052.876675</v>
      </c>
      <c r="O155" s="23" t="n">
        <v>27832.3230239</v>
      </c>
      <c r="P155" s="24" t="n">
        <v>225.3771899</v>
      </c>
      <c r="Q155" s="24" t="n">
        <v>313.375093791667</v>
      </c>
      <c r="R155" s="24" t="n">
        <v>225.3771899</v>
      </c>
      <c r="S155" s="25" t="n">
        <v>0.00803401349925907</v>
      </c>
      <c r="T155" s="26" t="n">
        <v>0.844995021126642</v>
      </c>
      <c r="U155" s="23" t="n">
        <v>0</v>
      </c>
      <c r="V155" s="26" t="n">
        <v>-0.06</v>
      </c>
      <c r="W155" s="26" t="n">
        <v>0.0225942837452555</v>
      </c>
      <c r="X155" s="26" t="n">
        <v>0.0417114980744906</v>
      </c>
      <c r="Y155" s="26" t="n">
        <v>0.496693836731943</v>
      </c>
      <c r="Z155" s="26" t="n">
        <v>0.762134346317425</v>
      </c>
      <c r="AA155" s="26" t="n">
        <v>0.68198666008831</v>
      </c>
      <c r="AB155" s="26" t="n">
        <v>-0.29258650506156</v>
      </c>
      <c r="AC155" s="27" t="n">
        <v>0.317296542244673</v>
      </c>
      <c r="AD155" s="28" t="n">
        <f aca="false">Params!$B$6*Params!$B$7*$R155</f>
        <v>135.22631394</v>
      </c>
      <c r="AE155" s="29" t="n">
        <f aca="false">MIN(Params!$B$9,AD155/Params!$B$4)</f>
        <v>0.06</v>
      </c>
      <c r="AF155" s="29" t="n">
        <f aca="false">MIN(Params!$B$9,AD155/Params!$B$5)</f>
        <v>0.06</v>
      </c>
      <c r="AG155" s="28" t="n">
        <f aca="false">IF($R155&gt;0,Params!$B$9*Params!$B$4/(Params!$B$6*$R155),"n/a")</f>
        <v>0.665550937371058</v>
      </c>
      <c r="AH155" s="28" t="n">
        <f aca="false">IF($R155&gt;0,Params!$B$9*Params!$B$5/(Params!$B$6*$R155),"n/a")</f>
        <v>1.33110187474212</v>
      </c>
      <c r="AI155" s="28" t="n">
        <f aca="false">IF($R155&gt;0,Params!$B$15*Params!$B$4/(Params!$B$6*$R155),"n/a")</f>
        <v>0.221850312457019</v>
      </c>
      <c r="AJ155" s="29" t="n">
        <f aca="false">MIN(Params!$B$9,AD155*Params!$B$8/Params!$B$4)</f>
        <v>0.06</v>
      </c>
      <c r="AK155" s="28" t="n">
        <f aca="false">IF($R155&gt;0,Params!$B$9*Params!$B$4/(Params!$B$6*$R155*Params!$B$8),"n/a")</f>
        <v>1.33110187474212</v>
      </c>
      <c r="AL155" s="27" t="str">
        <f aca="false">IFERROR(ciq($D155,"IQ_PE_EXCL"),"")</f>
        <v/>
      </c>
      <c r="AM155" s="27" t="str">
        <f aca="false">IFERROR(ciq($D155,"IQ_PE_EXCL_FWD_CIQ"),"")</f>
        <v/>
      </c>
      <c r="AN155" s="27" t="str">
        <f aca="false">IFERROR(ciq($D155,"IQ_PBV"),"")</f>
        <v/>
      </c>
      <c r="AO155" s="27" t="str">
        <f aca="false">IFERROR(ciq($D155,"IQ_TEV_EBITDA"),"")</f>
        <v/>
      </c>
      <c r="AP155" s="24" t="str">
        <f aca="false">IFERROR(ciq($D155,"IQ_RETURN_EQUITY"),"")</f>
        <v/>
      </c>
      <c r="AQ155" s="24" t="str">
        <f aca="false">IFERROR(ciq($D155,"IQ_RETURN_CAPITAL"),"")</f>
        <v/>
      </c>
      <c r="AR155" s="24" t="str">
        <f aca="false">IFERROR(ciq($D155,"IQ_TOTAL_REV_1YR_ANN_GROWTH"),"")</f>
        <v/>
      </c>
      <c r="AS155" s="24" t="str">
        <f aca="false">IFERROR(ciq($D155,"IQ_EPS_1YR_ANN_GROWTH"),"")</f>
        <v/>
      </c>
      <c r="AT155" s="24" t="str">
        <f aca="false">IFERROR(ciq($D155,"IQ_DIVIDEND_YIELD"),"")</f>
        <v/>
      </c>
      <c r="AU155" s="24" t="str">
        <f aca="false">IFERROR(ciq($D155,"IQ_NET_DEBT"),"")</f>
        <v/>
      </c>
    </row>
    <row r="156" customFormat="false" ht="15" hidden="false" customHeight="false" outlineLevel="0" collapsed="false">
      <c r="A156" s="8" t="s">
        <v>1055</v>
      </c>
      <c r="B156" s="8" t="s">
        <v>1056</v>
      </c>
      <c r="C156" s="8" t="s">
        <v>72</v>
      </c>
      <c r="D156" s="8" t="s">
        <v>1057</v>
      </c>
      <c r="E156" s="8" t="s">
        <v>1058</v>
      </c>
      <c r="F156" s="6" t="s">
        <v>733</v>
      </c>
      <c r="G156" s="8" t="s">
        <v>55</v>
      </c>
      <c r="H156" s="8" t="s">
        <v>66</v>
      </c>
      <c r="I156" s="8"/>
      <c r="J156" s="8"/>
      <c r="K156" s="8"/>
      <c r="L156" s="8"/>
      <c r="M156" s="23" t="n">
        <v>185900</v>
      </c>
      <c r="N156" s="23" t="n">
        <v>27985.731774</v>
      </c>
      <c r="O156" s="23" t="n">
        <v>28380.1514472</v>
      </c>
      <c r="P156" s="24" t="n">
        <v>157.227302125</v>
      </c>
      <c r="Q156" s="24" t="n">
        <v>132.039374233333</v>
      </c>
      <c r="R156" s="24" t="n">
        <v>132.039374233333</v>
      </c>
      <c r="S156" s="25" t="n">
        <v>0.00561812367082969</v>
      </c>
      <c r="T156" s="26" t="n">
        <v>0.388906132197754</v>
      </c>
      <c r="U156" s="23" t="n">
        <v>0</v>
      </c>
      <c r="V156" s="26" t="n">
        <v>-0.06</v>
      </c>
      <c r="W156" s="26" t="n">
        <v>-0.0588353628127712</v>
      </c>
      <c r="X156" s="26" t="n">
        <v>-0.0486169021711516</v>
      </c>
      <c r="Y156" s="26" t="n">
        <v>-0.0658499310407577</v>
      </c>
      <c r="Z156" s="26" t="n">
        <v>-0.105946431006706</v>
      </c>
      <c r="AA156" s="26" t="n">
        <v>-0.19145315621889</v>
      </c>
      <c r="AB156" s="26" t="n">
        <v>-0.24579037759401</v>
      </c>
      <c r="AC156" s="27" t="n">
        <v>1.05551325579105</v>
      </c>
      <c r="AD156" s="28" t="n">
        <f aca="false">Params!$B$6*Params!$B$7*$R156</f>
        <v>79.22362454</v>
      </c>
      <c r="AE156" s="29" t="n">
        <f aca="false">MIN(Params!$B$9,AD156/Params!$B$4)</f>
        <v>0.06</v>
      </c>
      <c r="AF156" s="29" t="n">
        <f aca="false">MIN(Params!$B$9,AD156/Params!$B$5)</f>
        <v>0.06</v>
      </c>
      <c r="AG156" s="28" t="n">
        <f aca="false">IF($R156&gt;0,Params!$B$9*Params!$B$4/(Params!$B$6*$R156),"n/a")</f>
        <v>1.13602477193604</v>
      </c>
      <c r="AH156" s="28" t="n">
        <f aca="false">IF($R156&gt;0,Params!$B$9*Params!$B$5/(Params!$B$6*$R156),"n/a")</f>
        <v>2.27204954387208</v>
      </c>
      <c r="AI156" s="28" t="n">
        <f aca="false">IF($R156&gt;0,Params!$B$15*Params!$B$4/(Params!$B$6*$R156),"n/a")</f>
        <v>0.37867492397868</v>
      </c>
      <c r="AJ156" s="29" t="n">
        <f aca="false">MIN(Params!$B$9,AD156*Params!$B$8/Params!$B$4)</f>
        <v>0.06</v>
      </c>
      <c r="AK156" s="28" t="n">
        <f aca="false">IF($R156&gt;0,Params!$B$9*Params!$B$4/(Params!$B$6*$R156*Params!$B$8),"n/a")</f>
        <v>2.27204954387208</v>
      </c>
      <c r="AL156" s="27" t="str">
        <f aca="false">IFERROR(ciq($D156,"IQ_PE_EXCL"),"")</f>
        <v/>
      </c>
      <c r="AM156" s="27" t="str">
        <f aca="false">IFERROR(ciq($D156,"IQ_PE_EXCL_FWD_CIQ"),"")</f>
        <v/>
      </c>
      <c r="AN156" s="27" t="str">
        <f aca="false">IFERROR(ciq($D156,"IQ_PBV"),"")</f>
        <v/>
      </c>
      <c r="AO156" s="27" t="str">
        <f aca="false">IFERROR(ciq($D156,"IQ_TEV_EBITDA"),"")</f>
        <v/>
      </c>
      <c r="AP156" s="24" t="str">
        <f aca="false">IFERROR(ciq($D156,"IQ_RETURN_EQUITY"),"")</f>
        <v/>
      </c>
      <c r="AQ156" s="24" t="str">
        <f aca="false">IFERROR(ciq($D156,"IQ_RETURN_CAPITAL"),"")</f>
        <v/>
      </c>
      <c r="AR156" s="24" t="str">
        <f aca="false">IFERROR(ciq($D156,"IQ_TOTAL_REV_1YR_ANN_GROWTH"),"")</f>
        <v/>
      </c>
      <c r="AS156" s="24" t="str">
        <f aca="false">IFERROR(ciq($D156,"IQ_EPS_1YR_ANN_GROWTH"),"")</f>
        <v/>
      </c>
      <c r="AT156" s="24" t="str">
        <f aca="false">IFERROR(ciq($D156,"IQ_DIVIDEND_YIELD"),"")</f>
        <v/>
      </c>
      <c r="AU156" s="24" t="str">
        <f aca="false">IFERROR(ciq($D156,"IQ_NET_DEBT"),"")</f>
        <v/>
      </c>
    </row>
    <row r="157" customFormat="false" ht="15" hidden="false" customHeight="false" outlineLevel="0" collapsed="false">
      <c r="A157" s="8" t="s">
        <v>1059</v>
      </c>
      <c r="B157" s="6" t="s">
        <v>1060</v>
      </c>
      <c r="C157" s="8" t="s">
        <v>73</v>
      </c>
      <c r="D157" s="8" t="s">
        <v>1061</v>
      </c>
      <c r="E157" s="8" t="s">
        <v>1062</v>
      </c>
      <c r="F157" s="6" t="s">
        <v>627</v>
      </c>
      <c r="G157" s="8" t="s">
        <v>55</v>
      </c>
      <c r="H157" s="8" t="s">
        <v>66</v>
      </c>
      <c r="I157" s="8"/>
      <c r="J157" s="8"/>
      <c r="K157" s="8"/>
      <c r="L157" s="8" t="s">
        <v>514</v>
      </c>
      <c r="M157" s="23" t="n">
        <v>129500</v>
      </c>
      <c r="N157" s="23" t="n">
        <v>27923.301525</v>
      </c>
      <c r="O157" s="23" t="n">
        <v>24556.33354575</v>
      </c>
      <c r="P157" s="24" t="n">
        <v>196.5969125</v>
      </c>
      <c r="Q157" s="24" t="n">
        <v>301.4715141</v>
      </c>
      <c r="R157" s="24" t="n">
        <v>196.5969125</v>
      </c>
      <c r="S157" s="25" t="n">
        <v>0.00704060414646831</v>
      </c>
      <c r="T157" s="26" t="n">
        <v>1.37046010331555</v>
      </c>
      <c r="U157" s="23" t="n">
        <v>3</v>
      </c>
      <c r="V157" s="26" t="n">
        <v>-0.04</v>
      </c>
      <c r="W157" s="26" t="n">
        <v>0.237951440208063</v>
      </c>
      <c r="X157" s="26" t="n">
        <v>0.0356023651273372</v>
      </c>
      <c r="Y157" s="26" t="n">
        <v>0.240104600959508</v>
      </c>
      <c r="Z157" s="26" t="n">
        <v>1.79614754013883</v>
      </c>
      <c r="AA157" s="26" t="n">
        <v>3.05892470562066</v>
      </c>
      <c r="AB157" s="26" t="n">
        <v>-0.222579333874506</v>
      </c>
      <c r="AC157" s="27" t="n">
        <v>0.705644784025437</v>
      </c>
      <c r="AD157" s="28" t="n">
        <f aca="false">Params!$B$6*Params!$B$7*$R157</f>
        <v>117.9581475</v>
      </c>
      <c r="AE157" s="29" t="n">
        <f aca="false">MIN(Params!$B$9,AD157/Params!$B$4)</f>
        <v>0.06</v>
      </c>
      <c r="AF157" s="29" t="n">
        <f aca="false">MIN(Params!$B$9,AD157/Params!$B$5)</f>
        <v>0.06</v>
      </c>
      <c r="AG157" s="28" t="n">
        <f aca="false">IF($R157&gt;0,Params!$B$9*Params!$B$4/(Params!$B$6*$R157),"n/a")</f>
        <v>0.762982480714187</v>
      </c>
      <c r="AH157" s="28" t="n">
        <f aca="false">IF($R157&gt;0,Params!$B$9*Params!$B$5/(Params!$B$6*$R157),"n/a")</f>
        <v>1.52596496142837</v>
      </c>
      <c r="AI157" s="28" t="n">
        <f aca="false">IF($R157&gt;0,Params!$B$15*Params!$B$4/(Params!$B$6*$R157),"n/a")</f>
        <v>0.254327493571396</v>
      </c>
      <c r="AJ157" s="29" t="n">
        <f aca="false">MIN(Params!$B$9,AD157*Params!$B$8/Params!$B$4)</f>
        <v>0.06</v>
      </c>
      <c r="AK157" s="28" t="n">
        <f aca="false">IF($R157&gt;0,Params!$B$9*Params!$B$4/(Params!$B$6*$R157*Params!$B$8),"n/a")</f>
        <v>1.52596496142837</v>
      </c>
      <c r="AL157" s="27" t="str">
        <f aca="false">IFERROR(ciq($D157,"IQ_PE_EXCL"),"")</f>
        <v/>
      </c>
      <c r="AM157" s="27" t="str">
        <f aca="false">IFERROR(ciq($D157,"IQ_PE_EXCL_FWD_CIQ"),"")</f>
        <v/>
      </c>
      <c r="AN157" s="27" t="str">
        <f aca="false">IFERROR(ciq($D157,"IQ_PBV"),"")</f>
        <v/>
      </c>
      <c r="AO157" s="27" t="str">
        <f aca="false">IFERROR(ciq($D157,"IQ_TEV_EBITDA"),"")</f>
        <v/>
      </c>
      <c r="AP157" s="24" t="str">
        <f aca="false">IFERROR(ciq($D157,"IQ_RETURN_EQUITY"),"")</f>
        <v/>
      </c>
      <c r="AQ157" s="24" t="str">
        <f aca="false">IFERROR(ciq($D157,"IQ_RETURN_CAPITAL"),"")</f>
        <v/>
      </c>
      <c r="AR157" s="24" t="str">
        <f aca="false">IFERROR(ciq($D157,"IQ_TOTAL_REV_1YR_ANN_GROWTH"),"")</f>
        <v/>
      </c>
      <c r="AS157" s="24" t="str">
        <f aca="false">IFERROR(ciq($D157,"IQ_EPS_1YR_ANN_GROWTH"),"")</f>
        <v/>
      </c>
      <c r="AT157" s="24" t="str">
        <f aca="false">IFERROR(ciq($D157,"IQ_DIVIDEND_YIELD"),"")</f>
        <v/>
      </c>
      <c r="AU157" s="24" t="str">
        <f aca="false">IFERROR(ciq($D157,"IQ_NET_DEBT"),"")</f>
        <v/>
      </c>
    </row>
    <row r="158" customFormat="false" ht="15" hidden="false" customHeight="false" outlineLevel="0" collapsed="false">
      <c r="A158" s="8" t="s">
        <v>1063</v>
      </c>
      <c r="B158" s="6" t="s">
        <v>1064</v>
      </c>
      <c r="C158" s="8" t="s">
        <v>73</v>
      </c>
      <c r="D158" s="8" t="s">
        <v>1065</v>
      </c>
      <c r="E158" s="8" t="s">
        <v>1066</v>
      </c>
      <c r="F158" s="8"/>
      <c r="G158" s="8" t="s">
        <v>55</v>
      </c>
      <c r="H158" s="8" t="s">
        <v>66</v>
      </c>
      <c r="I158" s="8"/>
      <c r="J158" s="8"/>
      <c r="K158" s="8"/>
      <c r="L158" s="8" t="s">
        <v>115</v>
      </c>
      <c r="M158" s="23" t="n">
        <v>147200</v>
      </c>
      <c r="N158" s="23" t="n">
        <v>27266.662656</v>
      </c>
      <c r="O158" s="23" t="n">
        <v>30996.1853013</v>
      </c>
      <c r="P158" s="24" t="n">
        <v>171.63879655</v>
      </c>
      <c r="Q158" s="24" t="n">
        <v>158.515918708333</v>
      </c>
      <c r="R158" s="24" t="n">
        <v>158.515918708333</v>
      </c>
      <c r="S158" s="25" t="n">
        <v>0.00629482231527264</v>
      </c>
      <c r="T158" s="26" t="n">
        <v>1.10702201149399</v>
      </c>
      <c r="U158" s="23" t="n">
        <v>2</v>
      </c>
      <c r="V158" s="26" t="n">
        <v>-0.04</v>
      </c>
      <c r="W158" s="26" t="n">
        <v>-0.00196446117337368</v>
      </c>
      <c r="X158" s="26" t="n">
        <v>-0.210540004115262</v>
      </c>
      <c r="Y158" s="26" t="n">
        <v>-0.55245101437255</v>
      </c>
      <c r="Z158" s="26" t="n">
        <v>-0.323045314789527</v>
      </c>
      <c r="AA158" s="26" t="n">
        <v>0.235366432751673</v>
      </c>
      <c r="AB158" s="26" t="n">
        <v>-0.594919243406586</v>
      </c>
      <c r="AC158" s="27" t="n">
        <v>0.733325716769082</v>
      </c>
      <c r="AD158" s="28" t="n">
        <f aca="false">Params!$B$6*Params!$B$7*$R158</f>
        <v>95.109551225</v>
      </c>
      <c r="AE158" s="29" t="n">
        <f aca="false">MIN(Params!$B$9,AD158/Params!$B$4)</f>
        <v>0.06</v>
      </c>
      <c r="AF158" s="29" t="n">
        <f aca="false">MIN(Params!$B$9,AD158/Params!$B$5)</f>
        <v>0.06</v>
      </c>
      <c r="AG158" s="28" t="n">
        <f aca="false">IF($R158&gt;0,Params!$B$9*Params!$B$4/(Params!$B$6*$R158),"n/a")</f>
        <v>0.946277201824743</v>
      </c>
      <c r="AH158" s="28" t="n">
        <f aca="false">IF($R158&gt;0,Params!$B$9*Params!$B$5/(Params!$B$6*$R158),"n/a")</f>
        <v>1.89255440364949</v>
      </c>
      <c r="AI158" s="28" t="n">
        <f aca="false">IF($R158&gt;0,Params!$B$15*Params!$B$4/(Params!$B$6*$R158),"n/a")</f>
        <v>0.315425733941581</v>
      </c>
      <c r="AJ158" s="29" t="n">
        <f aca="false">MIN(Params!$B$9,AD158*Params!$B$8/Params!$B$4)</f>
        <v>0.06</v>
      </c>
      <c r="AK158" s="28" t="n">
        <f aca="false">IF($R158&gt;0,Params!$B$9*Params!$B$4/(Params!$B$6*$R158*Params!$B$8),"n/a")</f>
        <v>1.89255440364949</v>
      </c>
      <c r="AL158" s="27" t="str">
        <f aca="false">IFERROR(ciq($D158,"IQ_PE_EXCL"),"")</f>
        <v/>
      </c>
      <c r="AM158" s="27" t="str">
        <f aca="false">IFERROR(ciq($D158,"IQ_PE_EXCL_FWD_CIQ"),"")</f>
        <v/>
      </c>
      <c r="AN158" s="27" t="str">
        <f aca="false">IFERROR(ciq($D158,"IQ_PBV"),"")</f>
        <v/>
      </c>
      <c r="AO158" s="27" t="str">
        <f aca="false">IFERROR(ciq($D158,"IQ_TEV_EBITDA"),"")</f>
        <v/>
      </c>
      <c r="AP158" s="24" t="str">
        <f aca="false">IFERROR(ciq($D158,"IQ_RETURN_EQUITY"),"")</f>
        <v/>
      </c>
      <c r="AQ158" s="24" t="str">
        <f aca="false">IFERROR(ciq($D158,"IQ_RETURN_CAPITAL"),"")</f>
        <v/>
      </c>
      <c r="AR158" s="24" t="str">
        <f aca="false">IFERROR(ciq($D158,"IQ_TOTAL_REV_1YR_ANN_GROWTH"),"")</f>
        <v/>
      </c>
      <c r="AS158" s="24" t="str">
        <f aca="false">IFERROR(ciq($D158,"IQ_EPS_1YR_ANN_GROWTH"),"")</f>
        <v/>
      </c>
      <c r="AT158" s="24" t="str">
        <f aca="false">IFERROR(ciq($D158,"IQ_DIVIDEND_YIELD"),"")</f>
        <v/>
      </c>
      <c r="AU158" s="24" t="str">
        <f aca="false">IFERROR(ciq($D158,"IQ_NET_DEBT"),"")</f>
        <v/>
      </c>
    </row>
    <row r="159" customFormat="false" ht="15" hidden="false" customHeight="false" outlineLevel="0" collapsed="false">
      <c r="A159" s="8" t="s">
        <v>1067</v>
      </c>
      <c r="B159" s="8" t="s">
        <v>1068</v>
      </c>
      <c r="C159" s="8" t="s">
        <v>72</v>
      </c>
      <c r="D159" s="8" t="s">
        <v>1069</v>
      </c>
      <c r="E159" s="8" t="s">
        <v>1070</v>
      </c>
      <c r="F159" s="6" t="s">
        <v>565</v>
      </c>
      <c r="G159" s="8" t="s">
        <v>55</v>
      </c>
      <c r="H159" s="8" t="s">
        <v>66</v>
      </c>
      <c r="I159" s="8"/>
      <c r="J159" s="8"/>
      <c r="K159" s="8"/>
      <c r="L159" s="8"/>
      <c r="M159" s="23" t="n">
        <v>46000</v>
      </c>
      <c r="N159" s="23" t="n">
        <v>26914.9979</v>
      </c>
      <c r="O159" s="23" t="n">
        <v>28576.706466</v>
      </c>
      <c r="P159" s="24" t="n">
        <v>158.998298075</v>
      </c>
      <c r="Q159" s="24" t="n">
        <v>102.349370641667</v>
      </c>
      <c r="R159" s="24" t="n">
        <v>102.349370641667</v>
      </c>
      <c r="S159" s="25" t="n">
        <v>0.00590742375926398</v>
      </c>
      <c r="T159" s="26" t="n">
        <v>0.876636664855795</v>
      </c>
      <c r="U159" s="23" t="n">
        <v>1</v>
      </c>
      <c r="V159" s="26" t="n">
        <v>-0.06</v>
      </c>
      <c r="W159" s="26" t="n">
        <v>-0.00862806506518876</v>
      </c>
      <c r="X159" s="26" t="n">
        <v>0.155857972256756</v>
      </c>
      <c r="Y159" s="26" t="n">
        <v>0.643341941277225</v>
      </c>
      <c r="Z159" s="26" t="n">
        <v>0.885711837693147</v>
      </c>
      <c r="AA159" s="26" t="n">
        <v>0.818310649773286</v>
      </c>
      <c r="AB159" s="26" t="n">
        <v>-0.267540747746958</v>
      </c>
      <c r="AC159" s="27" t="n">
        <v>1.32373460452162</v>
      </c>
      <c r="AD159" s="28" t="n">
        <f aca="false">Params!$B$6*Params!$B$7*$R159</f>
        <v>61.409622385</v>
      </c>
      <c r="AE159" s="29" t="n">
        <f aca="false">MIN(Params!$B$9,AD159/Params!$B$4)</f>
        <v>0.06</v>
      </c>
      <c r="AF159" s="29" t="n">
        <f aca="false">MIN(Params!$B$9,AD159/Params!$B$5)</f>
        <v>0.06</v>
      </c>
      <c r="AG159" s="28" t="n">
        <f aca="false">IF($R159&gt;0,Params!$B$9*Params!$B$4/(Params!$B$6*$R159),"n/a")</f>
        <v>1.46556836705095</v>
      </c>
      <c r="AH159" s="28" t="n">
        <f aca="false">IF($R159&gt;0,Params!$B$9*Params!$B$5/(Params!$B$6*$R159),"n/a")</f>
        <v>2.9311367341019</v>
      </c>
      <c r="AI159" s="28" t="n">
        <f aca="false">IF($R159&gt;0,Params!$B$15*Params!$B$4/(Params!$B$6*$R159),"n/a")</f>
        <v>0.488522789016984</v>
      </c>
      <c r="AJ159" s="29" t="n">
        <f aca="false">MIN(Params!$B$9,AD159*Params!$B$8/Params!$B$4)</f>
        <v>0.06</v>
      </c>
      <c r="AK159" s="28" t="n">
        <f aca="false">IF($R159&gt;0,Params!$B$9*Params!$B$4/(Params!$B$6*$R159*Params!$B$8),"n/a")</f>
        <v>2.9311367341019</v>
      </c>
      <c r="AL159" s="27" t="str">
        <f aca="false">IFERROR(ciq($D159,"IQ_PE_EXCL"),"")</f>
        <v/>
      </c>
      <c r="AM159" s="27" t="str">
        <f aca="false">IFERROR(ciq($D159,"IQ_PE_EXCL_FWD_CIQ"),"")</f>
        <v/>
      </c>
      <c r="AN159" s="27" t="str">
        <f aca="false">IFERROR(ciq($D159,"IQ_PBV"),"")</f>
        <v/>
      </c>
      <c r="AO159" s="27" t="str">
        <f aca="false">IFERROR(ciq($D159,"IQ_TEV_EBITDA"),"")</f>
        <v/>
      </c>
      <c r="AP159" s="24" t="str">
        <f aca="false">IFERROR(ciq($D159,"IQ_RETURN_EQUITY"),"")</f>
        <v/>
      </c>
      <c r="AQ159" s="24" t="str">
        <f aca="false">IFERROR(ciq($D159,"IQ_RETURN_CAPITAL"),"")</f>
        <v/>
      </c>
      <c r="AR159" s="24" t="str">
        <f aca="false">IFERROR(ciq($D159,"IQ_TOTAL_REV_1YR_ANN_GROWTH"),"")</f>
        <v/>
      </c>
      <c r="AS159" s="24" t="str">
        <f aca="false">IFERROR(ciq($D159,"IQ_EPS_1YR_ANN_GROWTH"),"")</f>
        <v/>
      </c>
      <c r="AT159" s="24" t="str">
        <f aca="false">IFERROR(ciq($D159,"IQ_DIVIDEND_YIELD"),"")</f>
        <v/>
      </c>
      <c r="AU159" s="24" t="str">
        <f aca="false">IFERROR(ciq($D159,"IQ_NET_DEBT"),"")</f>
        <v/>
      </c>
    </row>
    <row r="160" customFormat="false" ht="15" hidden="false" customHeight="false" outlineLevel="0" collapsed="false">
      <c r="A160" s="8" t="s">
        <v>1071</v>
      </c>
      <c r="B160" s="6" t="s">
        <v>1072</v>
      </c>
      <c r="C160" s="8" t="s">
        <v>74</v>
      </c>
      <c r="D160" s="8" t="s">
        <v>1073</v>
      </c>
      <c r="E160" s="8" t="s">
        <v>1074</v>
      </c>
      <c r="F160" s="6" t="s">
        <v>1075</v>
      </c>
      <c r="G160" s="8" t="s">
        <v>55</v>
      </c>
      <c r="H160" s="8" t="s">
        <v>66</v>
      </c>
      <c r="I160" s="8"/>
      <c r="J160" s="8"/>
      <c r="K160" s="8"/>
      <c r="L160" s="8" t="s">
        <v>514</v>
      </c>
      <c r="M160" s="23" t="n">
        <v>240500</v>
      </c>
      <c r="N160" s="23" t="n">
        <v>26886.49548</v>
      </c>
      <c r="O160" s="23" t="n">
        <v>25327.5259188</v>
      </c>
      <c r="P160" s="24" t="n">
        <v>161.862574375</v>
      </c>
      <c r="Q160" s="24" t="n">
        <v>184.078352016667</v>
      </c>
      <c r="R160" s="24" t="n">
        <v>161.862574375</v>
      </c>
      <c r="S160" s="25" t="n">
        <v>0.00602021838418489</v>
      </c>
      <c r="T160" s="26" t="n">
        <v>1.01659365573535</v>
      </c>
      <c r="U160" s="23" t="n">
        <v>3</v>
      </c>
      <c r="V160" s="26" t="n">
        <v>-0.04</v>
      </c>
      <c r="W160" s="26" t="n">
        <v>0.310617579770328</v>
      </c>
      <c r="X160" s="26" t="n">
        <v>-0.0516554828262111</v>
      </c>
      <c r="Y160" s="26" t="n">
        <v>0.0931379651535762</v>
      </c>
      <c r="Z160" s="26" t="n">
        <v>0.691334754777729</v>
      </c>
      <c r="AA160" s="26" t="n">
        <v>1.20211163313323</v>
      </c>
      <c r="AB160" s="26" t="n">
        <v>-0.310204356438491</v>
      </c>
      <c r="AC160" s="27" t="n">
        <v>0.802934344015772</v>
      </c>
      <c r="AD160" s="28" t="n">
        <f aca="false">Params!$B$6*Params!$B$7*$R160</f>
        <v>97.117544625</v>
      </c>
      <c r="AE160" s="29" t="n">
        <f aca="false">MIN(Params!$B$9,AD160/Params!$B$4)</f>
        <v>0.06</v>
      </c>
      <c r="AF160" s="29" t="n">
        <f aca="false">MIN(Params!$B$9,AD160/Params!$B$5)</f>
        <v>0.06</v>
      </c>
      <c r="AG160" s="28" t="n">
        <f aca="false">IF($R160&gt;0,Params!$B$9*Params!$B$4/(Params!$B$6*$R160),"n/a")</f>
        <v>0.926712061631264</v>
      </c>
      <c r="AH160" s="28" t="n">
        <f aca="false">IF($R160&gt;0,Params!$B$9*Params!$B$5/(Params!$B$6*$R160),"n/a")</f>
        <v>1.85342412326253</v>
      </c>
      <c r="AI160" s="28" t="n">
        <f aca="false">IF($R160&gt;0,Params!$B$15*Params!$B$4/(Params!$B$6*$R160),"n/a")</f>
        <v>0.308904020543755</v>
      </c>
      <c r="AJ160" s="29" t="n">
        <f aca="false">MIN(Params!$B$9,AD160*Params!$B$8/Params!$B$4)</f>
        <v>0.06</v>
      </c>
      <c r="AK160" s="28" t="n">
        <f aca="false">IF($R160&gt;0,Params!$B$9*Params!$B$4/(Params!$B$6*$R160*Params!$B$8),"n/a")</f>
        <v>1.85342412326253</v>
      </c>
      <c r="AL160" s="27" t="str">
        <f aca="false">IFERROR(ciq($D160,"IQ_PE_EXCL"),"")</f>
        <v/>
      </c>
      <c r="AM160" s="27" t="str">
        <f aca="false">IFERROR(ciq($D160,"IQ_PE_EXCL_FWD_CIQ"),"")</f>
        <v/>
      </c>
      <c r="AN160" s="27" t="str">
        <f aca="false">IFERROR(ciq($D160,"IQ_PBV"),"")</f>
        <v/>
      </c>
      <c r="AO160" s="27" t="str">
        <f aca="false">IFERROR(ciq($D160,"IQ_TEV_EBITDA"),"")</f>
        <v/>
      </c>
      <c r="AP160" s="24" t="str">
        <f aca="false">IFERROR(ciq($D160,"IQ_RETURN_EQUITY"),"")</f>
        <v/>
      </c>
      <c r="AQ160" s="24" t="str">
        <f aca="false">IFERROR(ciq($D160,"IQ_RETURN_CAPITAL"),"")</f>
        <v/>
      </c>
      <c r="AR160" s="24" t="str">
        <f aca="false">IFERROR(ciq($D160,"IQ_TOTAL_REV_1YR_ANN_GROWTH"),"")</f>
        <v/>
      </c>
      <c r="AS160" s="24" t="str">
        <f aca="false">IFERROR(ciq($D160,"IQ_EPS_1YR_ANN_GROWTH"),"")</f>
        <v/>
      </c>
      <c r="AT160" s="24" t="str">
        <f aca="false">IFERROR(ciq($D160,"IQ_DIVIDEND_YIELD"),"")</f>
        <v/>
      </c>
      <c r="AU160" s="24" t="str">
        <f aca="false">IFERROR(ciq($D160,"IQ_NET_DEBT"),"")</f>
        <v/>
      </c>
    </row>
    <row r="161" customFormat="false" ht="15" hidden="false" customHeight="false" outlineLevel="0" collapsed="false">
      <c r="A161" s="8" t="s">
        <v>1076</v>
      </c>
      <c r="B161" s="6" t="s">
        <v>1077</v>
      </c>
      <c r="C161" s="8" t="s">
        <v>72</v>
      </c>
      <c r="D161" s="8" t="s">
        <v>1078</v>
      </c>
      <c r="E161" s="8" t="s">
        <v>1079</v>
      </c>
      <c r="F161" s="6" t="s">
        <v>733</v>
      </c>
      <c r="G161" s="8" t="s">
        <v>55</v>
      </c>
      <c r="H161" s="8" t="s">
        <v>66</v>
      </c>
      <c r="I161" s="8"/>
      <c r="J161" s="8"/>
      <c r="K161" s="8"/>
      <c r="L161" s="8"/>
      <c r="M161" s="23" t="n">
        <v>430500</v>
      </c>
      <c r="N161" s="23" t="n">
        <v>26185.77381</v>
      </c>
      <c r="O161" s="23" t="n">
        <v>25931.8235065</v>
      </c>
      <c r="P161" s="24" t="n">
        <v>173.36822975</v>
      </c>
      <c r="Q161" s="24" t="n">
        <v>120.39404575</v>
      </c>
      <c r="R161" s="24" t="n">
        <v>120.39404575</v>
      </c>
      <c r="S161" s="25" t="n">
        <v>0.00662070294381726</v>
      </c>
      <c r="T161" s="26" t="n">
        <v>0.478428517055791</v>
      </c>
      <c r="U161" s="23" t="n">
        <v>0</v>
      </c>
      <c r="V161" s="26" t="n">
        <v>-0.06</v>
      </c>
      <c r="W161" s="26" t="n">
        <v>0.143400731821287</v>
      </c>
      <c r="X161" s="26" t="n">
        <v>0.148089925617019</v>
      </c>
      <c r="Y161" s="26" t="n">
        <v>0.0928311870669614</v>
      </c>
      <c r="Z161" s="26" t="n">
        <v>-0.00423436595319615</v>
      </c>
      <c r="AA161" s="26" t="n">
        <v>0.0861713188750983</v>
      </c>
      <c r="AB161" s="26" t="n">
        <v>-0.175086968992274</v>
      </c>
      <c r="AC161" s="27" t="n">
        <v>1.60946852131083</v>
      </c>
      <c r="AD161" s="28" t="n">
        <f aca="false">Params!$B$6*Params!$B$7*$R161</f>
        <v>72.23642745</v>
      </c>
      <c r="AE161" s="29" t="n">
        <f aca="false">MIN(Params!$B$9,AD161/Params!$B$4)</f>
        <v>0.06</v>
      </c>
      <c r="AF161" s="29" t="n">
        <f aca="false">MIN(Params!$B$9,AD161/Params!$B$5)</f>
        <v>0.06</v>
      </c>
      <c r="AG161" s="28" t="n">
        <f aca="false">IF($R161&gt;0,Params!$B$9*Params!$B$4/(Params!$B$6*$R161),"n/a")</f>
        <v>1.24590879113305</v>
      </c>
      <c r="AH161" s="28" t="n">
        <f aca="false">IF($R161&gt;0,Params!$B$9*Params!$B$5/(Params!$B$6*$R161),"n/a")</f>
        <v>2.49181758226611</v>
      </c>
      <c r="AI161" s="28" t="n">
        <f aca="false">IF($R161&gt;0,Params!$B$15*Params!$B$4/(Params!$B$6*$R161),"n/a")</f>
        <v>0.415302930377684</v>
      </c>
      <c r="AJ161" s="29" t="n">
        <f aca="false">MIN(Params!$B$9,AD161*Params!$B$8/Params!$B$4)</f>
        <v>0.06</v>
      </c>
      <c r="AK161" s="28" t="n">
        <f aca="false">IF($R161&gt;0,Params!$B$9*Params!$B$4/(Params!$B$6*$R161*Params!$B$8),"n/a")</f>
        <v>2.49181758226611</v>
      </c>
      <c r="AL161" s="27" t="str">
        <f aca="false">IFERROR(ciq($D161,"IQ_PE_EXCL"),"")</f>
        <v/>
      </c>
      <c r="AM161" s="27" t="str">
        <f aca="false">IFERROR(ciq($D161,"IQ_PE_EXCL_FWD_CIQ"),"")</f>
        <v/>
      </c>
      <c r="AN161" s="27" t="str">
        <f aca="false">IFERROR(ciq($D161,"IQ_PBV"),"")</f>
        <v/>
      </c>
      <c r="AO161" s="27" t="str">
        <f aca="false">IFERROR(ciq($D161,"IQ_TEV_EBITDA"),"")</f>
        <v/>
      </c>
      <c r="AP161" s="24" t="str">
        <f aca="false">IFERROR(ciq($D161,"IQ_RETURN_EQUITY"),"")</f>
        <v/>
      </c>
      <c r="AQ161" s="24" t="str">
        <f aca="false">IFERROR(ciq($D161,"IQ_RETURN_CAPITAL"),"")</f>
        <v/>
      </c>
      <c r="AR161" s="24" t="str">
        <f aca="false">IFERROR(ciq($D161,"IQ_TOTAL_REV_1YR_ANN_GROWTH"),"")</f>
        <v/>
      </c>
      <c r="AS161" s="24" t="str">
        <f aca="false">IFERROR(ciq($D161,"IQ_EPS_1YR_ANN_GROWTH"),"")</f>
        <v/>
      </c>
      <c r="AT161" s="24" t="str">
        <f aca="false">IFERROR(ciq($D161,"IQ_DIVIDEND_YIELD"),"")</f>
        <v/>
      </c>
      <c r="AU161" s="24" t="str">
        <f aca="false">IFERROR(ciq($D161,"IQ_NET_DEBT"),"")</f>
        <v/>
      </c>
    </row>
    <row r="162" customFormat="false" ht="15" hidden="false" customHeight="false" outlineLevel="0" collapsed="false">
      <c r="A162" s="8" t="s">
        <v>1080</v>
      </c>
      <c r="B162" s="8" t="s">
        <v>1081</v>
      </c>
      <c r="C162" s="8" t="s">
        <v>72</v>
      </c>
      <c r="D162" s="8" t="s">
        <v>1082</v>
      </c>
      <c r="E162" s="8" t="s">
        <v>1083</v>
      </c>
      <c r="F162" s="6" t="s">
        <v>982</v>
      </c>
      <c r="G162" s="8" t="s">
        <v>55</v>
      </c>
      <c r="H162" s="8" t="s">
        <v>66</v>
      </c>
      <c r="I162" s="8"/>
      <c r="J162" s="8"/>
      <c r="K162" s="8"/>
      <c r="L162" s="8"/>
      <c r="M162" s="23" t="n">
        <v>150600</v>
      </c>
      <c r="N162" s="23" t="n">
        <v>26029.562436</v>
      </c>
      <c r="O162" s="23" t="n">
        <v>25208.576901</v>
      </c>
      <c r="P162" s="24" t="n">
        <v>111.272603946</v>
      </c>
      <c r="Q162" s="24" t="n">
        <v>112.140067096667</v>
      </c>
      <c r="R162" s="24" t="n">
        <v>111.272603946</v>
      </c>
      <c r="S162" s="25" t="n">
        <v>0.00427485495461519</v>
      </c>
      <c r="T162" s="26" t="n">
        <v>0.56762486033277</v>
      </c>
      <c r="U162" s="23" t="n">
        <v>0</v>
      </c>
      <c r="V162" s="26" t="n">
        <v>-0.06</v>
      </c>
      <c r="W162" s="26" t="n">
        <v>0.231544258516155</v>
      </c>
      <c r="X162" s="26" t="n">
        <v>0.170459534108423</v>
      </c>
      <c r="Y162" s="26" t="n">
        <v>0.267906666505013</v>
      </c>
      <c r="Z162" s="26" t="n">
        <v>0.437483840261243</v>
      </c>
      <c r="AA162" s="26" t="n">
        <v>0.254336816037054</v>
      </c>
      <c r="AB162" s="26" t="n">
        <v>-0.0162181348279954</v>
      </c>
      <c r="AC162" s="27" t="n">
        <v>1.15355659860063</v>
      </c>
      <c r="AD162" s="28" t="n">
        <f aca="false">Params!$B$6*Params!$B$7*$R162</f>
        <v>66.7635623676</v>
      </c>
      <c r="AE162" s="29" t="n">
        <f aca="false">MIN(Params!$B$9,AD162/Params!$B$4)</f>
        <v>0.06</v>
      </c>
      <c r="AF162" s="29" t="n">
        <f aca="false">MIN(Params!$B$9,AD162/Params!$B$5)</f>
        <v>0.06</v>
      </c>
      <c r="AG162" s="28" t="n">
        <f aca="false">IF($R162&gt;0,Params!$B$9*Params!$B$4/(Params!$B$6*$R162),"n/a")</f>
        <v>1.34804070975812</v>
      </c>
      <c r="AH162" s="28" t="n">
        <f aca="false">IF($R162&gt;0,Params!$B$9*Params!$B$5/(Params!$B$6*$R162),"n/a")</f>
        <v>2.69608141951624</v>
      </c>
      <c r="AI162" s="28" t="n">
        <f aca="false">IF($R162&gt;0,Params!$B$15*Params!$B$4/(Params!$B$6*$R162),"n/a")</f>
        <v>0.449346903252707</v>
      </c>
      <c r="AJ162" s="29" t="n">
        <f aca="false">MIN(Params!$B$9,AD162*Params!$B$8/Params!$B$4)</f>
        <v>0.06</v>
      </c>
      <c r="AK162" s="28" t="n">
        <f aca="false">IF($R162&gt;0,Params!$B$9*Params!$B$4/(Params!$B$6*$R162*Params!$B$8),"n/a")</f>
        <v>2.69608141951624</v>
      </c>
      <c r="AL162" s="27" t="str">
        <f aca="false">IFERROR(ciq($D162,"IQ_PE_EXCL"),"")</f>
        <v/>
      </c>
      <c r="AM162" s="27" t="str">
        <f aca="false">IFERROR(ciq($D162,"IQ_PE_EXCL_FWD_CIQ"),"")</f>
        <v/>
      </c>
      <c r="AN162" s="27" t="str">
        <f aca="false">IFERROR(ciq($D162,"IQ_PBV"),"")</f>
        <v/>
      </c>
      <c r="AO162" s="27" t="str">
        <f aca="false">IFERROR(ciq($D162,"IQ_TEV_EBITDA"),"")</f>
        <v/>
      </c>
      <c r="AP162" s="24" t="str">
        <f aca="false">IFERROR(ciq($D162,"IQ_RETURN_EQUITY"),"")</f>
        <v/>
      </c>
      <c r="AQ162" s="24" t="str">
        <f aca="false">IFERROR(ciq($D162,"IQ_RETURN_CAPITAL"),"")</f>
        <v/>
      </c>
      <c r="AR162" s="24" t="str">
        <f aca="false">IFERROR(ciq($D162,"IQ_TOTAL_REV_1YR_ANN_GROWTH"),"")</f>
        <v/>
      </c>
      <c r="AS162" s="24" t="str">
        <f aca="false">IFERROR(ciq($D162,"IQ_EPS_1YR_ANN_GROWTH"),"")</f>
        <v/>
      </c>
      <c r="AT162" s="24" t="str">
        <f aca="false">IFERROR(ciq($D162,"IQ_DIVIDEND_YIELD"),"")</f>
        <v/>
      </c>
      <c r="AU162" s="24" t="str">
        <f aca="false">IFERROR(ciq($D162,"IQ_NET_DEBT"),"")</f>
        <v/>
      </c>
    </row>
    <row r="163" customFormat="false" ht="15" hidden="false" customHeight="false" outlineLevel="0" collapsed="false">
      <c r="A163" s="8" t="s">
        <v>1084</v>
      </c>
      <c r="B163" s="6" t="s">
        <v>1085</v>
      </c>
      <c r="C163" s="8" t="s">
        <v>74</v>
      </c>
      <c r="D163" s="8" t="s">
        <v>1086</v>
      </c>
      <c r="E163" s="8" t="s">
        <v>1087</v>
      </c>
      <c r="F163" s="6" t="s">
        <v>627</v>
      </c>
      <c r="G163" s="8" t="s">
        <v>55</v>
      </c>
      <c r="H163" s="8" t="s">
        <v>66</v>
      </c>
      <c r="I163" s="8"/>
      <c r="J163" s="8"/>
      <c r="K163" s="8"/>
      <c r="L163" s="8" t="s">
        <v>514</v>
      </c>
      <c r="M163" s="23" t="n">
        <v>133900</v>
      </c>
      <c r="N163" s="23" t="n">
        <v>25923.04</v>
      </c>
      <c r="O163" s="23" t="n">
        <v>27015.912</v>
      </c>
      <c r="P163" s="24" t="n">
        <v>475.8036225</v>
      </c>
      <c r="Q163" s="24" t="n">
        <v>829.463282975</v>
      </c>
      <c r="R163" s="24" t="n">
        <v>475.8036225</v>
      </c>
      <c r="S163" s="25" t="n">
        <v>0.0183544685538425</v>
      </c>
      <c r="T163" s="26" t="n">
        <v>1.36515924077668</v>
      </c>
      <c r="U163" s="23" t="n">
        <v>3</v>
      </c>
      <c r="V163" s="26" t="n">
        <v>-0.04</v>
      </c>
      <c r="W163" s="26" t="n">
        <v>-0.0154571601996325</v>
      </c>
      <c r="X163" s="26" t="n">
        <v>-0.170106970061647</v>
      </c>
      <c r="Y163" s="26" t="n">
        <v>1.01406212030312</v>
      </c>
      <c r="Z163" s="26" t="n">
        <v>2.00602878452569</v>
      </c>
      <c r="AA163" s="26" t="n">
        <v>3.4696065273546</v>
      </c>
      <c r="AB163" s="26" t="n">
        <v>-0.384285883441188</v>
      </c>
      <c r="AC163" s="27" t="n">
        <v>0.769186056812897</v>
      </c>
      <c r="AD163" s="28" t="n">
        <f aca="false">Params!$B$6*Params!$B$7*$R163</f>
        <v>285.4821735</v>
      </c>
      <c r="AE163" s="29" t="n">
        <f aca="false">MIN(Params!$B$9,AD163/Params!$B$4)</f>
        <v>0.06</v>
      </c>
      <c r="AF163" s="29" t="n">
        <f aca="false">MIN(Params!$B$9,AD163/Params!$B$5)</f>
        <v>0.06</v>
      </c>
      <c r="AG163" s="28" t="n">
        <f aca="false">IF($R163&gt;0,Params!$B$9*Params!$B$4/(Params!$B$6*$R163),"n/a")</f>
        <v>0.315256111779603</v>
      </c>
      <c r="AH163" s="28" t="n">
        <f aca="false">IF($R163&gt;0,Params!$B$9*Params!$B$5/(Params!$B$6*$R163),"n/a")</f>
        <v>0.630512223559206</v>
      </c>
      <c r="AI163" s="28" t="n">
        <f aca="false">IF($R163&gt;0,Params!$B$15*Params!$B$4/(Params!$B$6*$R163),"n/a")</f>
        <v>0.105085370593201</v>
      </c>
      <c r="AJ163" s="29" t="n">
        <f aca="false">MIN(Params!$B$9,AD163*Params!$B$8/Params!$B$4)</f>
        <v>0.06</v>
      </c>
      <c r="AK163" s="28" t="n">
        <f aca="false">IF($R163&gt;0,Params!$B$9*Params!$B$4/(Params!$B$6*$R163*Params!$B$8),"n/a")</f>
        <v>0.630512223559206</v>
      </c>
      <c r="AL163" s="27" t="str">
        <f aca="false">IFERROR(ciq($D163,"IQ_PE_EXCL"),"")</f>
        <v/>
      </c>
      <c r="AM163" s="27" t="str">
        <f aca="false">IFERROR(ciq($D163,"IQ_PE_EXCL_FWD_CIQ"),"")</f>
        <v/>
      </c>
      <c r="AN163" s="27" t="str">
        <f aca="false">IFERROR(ciq($D163,"IQ_PBV"),"")</f>
        <v/>
      </c>
      <c r="AO163" s="27" t="str">
        <f aca="false">IFERROR(ciq($D163,"IQ_TEV_EBITDA"),"")</f>
        <v/>
      </c>
      <c r="AP163" s="24" t="str">
        <f aca="false">IFERROR(ciq($D163,"IQ_RETURN_EQUITY"),"")</f>
        <v/>
      </c>
      <c r="AQ163" s="24" t="str">
        <f aca="false">IFERROR(ciq($D163,"IQ_RETURN_CAPITAL"),"")</f>
        <v/>
      </c>
      <c r="AR163" s="24" t="str">
        <f aca="false">IFERROR(ciq($D163,"IQ_TOTAL_REV_1YR_ANN_GROWTH"),"")</f>
        <v/>
      </c>
      <c r="AS163" s="24" t="str">
        <f aca="false">IFERROR(ciq($D163,"IQ_EPS_1YR_ANN_GROWTH"),"")</f>
        <v/>
      </c>
      <c r="AT163" s="24" t="str">
        <f aca="false">IFERROR(ciq($D163,"IQ_DIVIDEND_YIELD"),"")</f>
        <v/>
      </c>
      <c r="AU163" s="24" t="str">
        <f aca="false">IFERROR(ciq($D163,"IQ_NET_DEBT"),"")</f>
        <v/>
      </c>
    </row>
    <row r="164" customFormat="false" ht="15" hidden="false" customHeight="false" outlineLevel="0" collapsed="false">
      <c r="A164" s="8" t="s">
        <v>1088</v>
      </c>
      <c r="B164" s="6" t="s">
        <v>1089</v>
      </c>
      <c r="C164" s="8" t="s">
        <v>72</v>
      </c>
      <c r="D164" s="8" t="s">
        <v>1090</v>
      </c>
      <c r="E164" s="8" t="s">
        <v>1091</v>
      </c>
      <c r="F164" s="8"/>
      <c r="G164" s="8" t="s">
        <v>55</v>
      </c>
      <c r="H164" s="8" t="s">
        <v>66</v>
      </c>
      <c r="I164" s="8"/>
      <c r="J164" s="8"/>
      <c r="K164" s="8"/>
      <c r="L164" s="8" t="s">
        <v>115</v>
      </c>
      <c r="M164" s="23" t="n">
        <v>39000</v>
      </c>
      <c r="N164" s="23" t="n">
        <v>25542.55314</v>
      </c>
      <c r="O164" s="23" t="n">
        <v>25627.6949838</v>
      </c>
      <c r="P164" s="24" t="n">
        <v>401.75954075</v>
      </c>
      <c r="Q164" s="24" t="n">
        <v>346.514255713333</v>
      </c>
      <c r="R164" s="24" t="n">
        <v>346.514255713333</v>
      </c>
      <c r="S164" s="25" t="n">
        <v>0.0157290282826441</v>
      </c>
      <c r="T164" s="26" t="n">
        <v>1.50597889552368</v>
      </c>
      <c r="U164" s="23" t="n">
        <v>4</v>
      </c>
      <c r="V164" s="26" t="n">
        <v>-0.04</v>
      </c>
      <c r="W164" s="26" t="n">
        <v>0.127310795109729</v>
      </c>
      <c r="X164" s="26" t="n">
        <v>-0.458321411930368</v>
      </c>
      <c r="Y164" s="26" t="n">
        <v>-0.0511516668582683</v>
      </c>
      <c r="Z164" s="26" t="n">
        <v>0.351375864323944</v>
      </c>
      <c r="AA164" s="26" t="n">
        <v>0.428237311905257</v>
      </c>
      <c r="AB164" s="26" t="n">
        <v>-0.615810151310092</v>
      </c>
      <c r="AC164" s="27" t="n">
        <v>0.775904361908457</v>
      </c>
      <c r="AD164" s="28" t="n">
        <f aca="false">Params!$B$6*Params!$B$7*$R164</f>
        <v>207.908553428</v>
      </c>
      <c r="AE164" s="29" t="n">
        <f aca="false">MIN(Params!$B$9,AD164/Params!$B$4)</f>
        <v>0.06</v>
      </c>
      <c r="AF164" s="29" t="n">
        <f aca="false">MIN(Params!$B$9,AD164/Params!$B$5)</f>
        <v>0.06</v>
      </c>
      <c r="AG164" s="28" t="n">
        <f aca="false">IF($R164&gt;0,Params!$B$9*Params!$B$4/(Params!$B$6*$R164),"n/a")</f>
        <v>0.432882623230639</v>
      </c>
      <c r="AH164" s="28" t="n">
        <f aca="false">IF($R164&gt;0,Params!$B$9*Params!$B$5/(Params!$B$6*$R164),"n/a")</f>
        <v>0.865765246461277</v>
      </c>
      <c r="AI164" s="28" t="n">
        <f aca="false">IF($R164&gt;0,Params!$B$15*Params!$B$4/(Params!$B$6*$R164),"n/a")</f>
        <v>0.144294207743546</v>
      </c>
      <c r="AJ164" s="29" t="n">
        <f aca="false">MIN(Params!$B$9,AD164*Params!$B$8/Params!$B$4)</f>
        <v>0.06</v>
      </c>
      <c r="AK164" s="28" t="n">
        <f aca="false">IF($R164&gt;0,Params!$B$9*Params!$B$4/(Params!$B$6*$R164*Params!$B$8),"n/a")</f>
        <v>0.865765246461277</v>
      </c>
      <c r="AL164" s="27" t="str">
        <f aca="false">IFERROR(ciq($D164,"IQ_PE_EXCL"),"")</f>
        <v/>
      </c>
      <c r="AM164" s="27" t="str">
        <f aca="false">IFERROR(ciq($D164,"IQ_PE_EXCL_FWD_CIQ"),"")</f>
        <v/>
      </c>
      <c r="AN164" s="27" t="str">
        <f aca="false">IFERROR(ciq($D164,"IQ_PBV"),"")</f>
        <v/>
      </c>
      <c r="AO164" s="27" t="str">
        <f aca="false">IFERROR(ciq($D164,"IQ_TEV_EBITDA"),"")</f>
        <v/>
      </c>
      <c r="AP164" s="24" t="str">
        <f aca="false">IFERROR(ciq($D164,"IQ_RETURN_EQUITY"),"")</f>
        <v/>
      </c>
      <c r="AQ164" s="24" t="str">
        <f aca="false">IFERROR(ciq($D164,"IQ_RETURN_CAPITAL"),"")</f>
        <v/>
      </c>
      <c r="AR164" s="24" t="str">
        <f aca="false">IFERROR(ciq($D164,"IQ_TOTAL_REV_1YR_ANN_GROWTH"),"")</f>
        <v/>
      </c>
      <c r="AS164" s="24" t="str">
        <f aca="false">IFERROR(ciq($D164,"IQ_EPS_1YR_ANN_GROWTH"),"")</f>
        <v/>
      </c>
      <c r="AT164" s="24" t="str">
        <f aca="false">IFERROR(ciq($D164,"IQ_DIVIDEND_YIELD"),"")</f>
        <v/>
      </c>
      <c r="AU164" s="24" t="str">
        <f aca="false">IFERROR(ciq($D164,"IQ_NET_DEBT"),"")</f>
        <v/>
      </c>
    </row>
    <row r="165" customFormat="false" ht="15" hidden="false" customHeight="false" outlineLevel="0" collapsed="false">
      <c r="A165" s="8" t="s">
        <v>1092</v>
      </c>
      <c r="B165" s="6" t="s">
        <v>1093</v>
      </c>
      <c r="C165" s="8" t="s">
        <v>72</v>
      </c>
      <c r="D165" s="8" t="s">
        <v>1094</v>
      </c>
      <c r="E165" s="8" t="s">
        <v>1095</v>
      </c>
      <c r="F165" s="8"/>
      <c r="G165" s="8" t="s">
        <v>55</v>
      </c>
      <c r="H165" s="8" t="s">
        <v>66</v>
      </c>
      <c r="I165" s="8"/>
      <c r="J165" s="8"/>
      <c r="K165" s="8"/>
      <c r="L165" s="8" t="s">
        <v>241</v>
      </c>
      <c r="M165" s="23" t="n">
        <v>35200</v>
      </c>
      <c r="N165" s="23" t="n">
        <v>24926.48224</v>
      </c>
      <c r="O165" s="23" t="n">
        <v>26394.09969575</v>
      </c>
      <c r="P165" s="24" t="n">
        <v>121.2862208375</v>
      </c>
      <c r="Q165" s="24" t="n">
        <v>156.885113657333</v>
      </c>
      <c r="R165" s="24" t="n">
        <v>121.2862208375</v>
      </c>
      <c r="S165" s="25" t="n">
        <v>0.00486575761752975</v>
      </c>
      <c r="T165" s="26" t="n">
        <v>0.860363619305076</v>
      </c>
      <c r="U165" s="23" t="n">
        <v>0</v>
      </c>
      <c r="V165" s="26" t="n">
        <v>-0.06</v>
      </c>
      <c r="W165" s="26" t="n">
        <v>0.0382621648658994</v>
      </c>
      <c r="X165" s="26" t="n">
        <v>-0.341070763506594</v>
      </c>
      <c r="Y165" s="26" t="n">
        <v>-0.489421034371188</v>
      </c>
      <c r="Z165" s="26" t="n">
        <v>-0.324615447124726</v>
      </c>
      <c r="AA165" s="26" t="n">
        <v>-0.3472214449263</v>
      </c>
      <c r="AB165" s="26" t="n">
        <v>-0.592869883396413</v>
      </c>
      <c r="AC165" s="27" t="n">
        <v>0.209299008703919</v>
      </c>
      <c r="AD165" s="28" t="n">
        <f aca="false">Params!$B$6*Params!$B$7*$R165</f>
        <v>72.7717325025</v>
      </c>
      <c r="AE165" s="29" t="n">
        <f aca="false">MIN(Params!$B$9,AD165/Params!$B$4)</f>
        <v>0.06</v>
      </c>
      <c r="AF165" s="29" t="n">
        <f aca="false">MIN(Params!$B$9,AD165/Params!$B$5)</f>
        <v>0.06</v>
      </c>
      <c r="AG165" s="28" t="n">
        <f aca="false">IF($R165&gt;0,Params!$B$9*Params!$B$4/(Params!$B$6*$R165),"n/a")</f>
        <v>1.23674395132627</v>
      </c>
      <c r="AH165" s="28" t="n">
        <f aca="false">IF($R165&gt;0,Params!$B$9*Params!$B$5/(Params!$B$6*$R165),"n/a")</f>
        <v>2.47348790265253</v>
      </c>
      <c r="AI165" s="28" t="n">
        <f aca="false">IF($R165&gt;0,Params!$B$15*Params!$B$4/(Params!$B$6*$R165),"n/a")</f>
        <v>0.412247983775422</v>
      </c>
      <c r="AJ165" s="29" t="n">
        <f aca="false">MIN(Params!$B$9,AD165*Params!$B$8/Params!$B$4)</f>
        <v>0.06</v>
      </c>
      <c r="AK165" s="28" t="n">
        <f aca="false">IF($R165&gt;0,Params!$B$9*Params!$B$4/(Params!$B$6*$R165*Params!$B$8),"n/a")</f>
        <v>2.47348790265253</v>
      </c>
      <c r="AL165" s="27" t="str">
        <f aca="false">IFERROR(ciq($D165,"IQ_PE_EXCL"),"")</f>
        <v/>
      </c>
      <c r="AM165" s="27" t="str">
        <f aca="false">IFERROR(ciq($D165,"IQ_PE_EXCL_FWD_CIQ"),"")</f>
        <v/>
      </c>
      <c r="AN165" s="27" t="str">
        <f aca="false">IFERROR(ciq($D165,"IQ_PBV"),"")</f>
        <v/>
      </c>
      <c r="AO165" s="27" t="str">
        <f aca="false">IFERROR(ciq($D165,"IQ_TEV_EBITDA"),"")</f>
        <v/>
      </c>
      <c r="AP165" s="24" t="str">
        <f aca="false">IFERROR(ciq($D165,"IQ_RETURN_EQUITY"),"")</f>
        <v/>
      </c>
      <c r="AQ165" s="24" t="str">
        <f aca="false">IFERROR(ciq($D165,"IQ_RETURN_CAPITAL"),"")</f>
        <v/>
      </c>
      <c r="AR165" s="24" t="str">
        <f aca="false">IFERROR(ciq($D165,"IQ_TOTAL_REV_1YR_ANN_GROWTH"),"")</f>
        <v/>
      </c>
      <c r="AS165" s="24" t="str">
        <f aca="false">IFERROR(ciq($D165,"IQ_EPS_1YR_ANN_GROWTH"),"")</f>
        <v/>
      </c>
      <c r="AT165" s="24" t="str">
        <f aca="false">IFERROR(ciq($D165,"IQ_DIVIDEND_YIELD"),"")</f>
        <v/>
      </c>
      <c r="AU165" s="24" t="str">
        <f aca="false">IFERROR(ciq($D165,"IQ_NET_DEBT"),"")</f>
        <v/>
      </c>
    </row>
    <row r="166" customFormat="false" ht="15" hidden="false" customHeight="false" outlineLevel="0" collapsed="false">
      <c r="A166" s="8" t="s">
        <v>1096</v>
      </c>
      <c r="B166" s="6" t="s">
        <v>1097</v>
      </c>
      <c r="C166" s="8" t="s">
        <v>73</v>
      </c>
      <c r="D166" s="8" t="s">
        <v>1098</v>
      </c>
      <c r="E166" s="8" t="s">
        <v>1099</v>
      </c>
      <c r="F166" s="6" t="s">
        <v>1100</v>
      </c>
      <c r="G166" s="8" t="s">
        <v>55</v>
      </c>
      <c r="H166" s="8" t="s">
        <v>66</v>
      </c>
      <c r="I166" s="8"/>
      <c r="J166" s="8"/>
      <c r="K166" s="8"/>
      <c r="L166" s="8" t="s">
        <v>514</v>
      </c>
      <c r="M166" s="23" t="n">
        <v>224000</v>
      </c>
      <c r="N166" s="23" t="n">
        <v>24777.60096</v>
      </c>
      <c r="O166" s="23" t="n">
        <v>26541.8988855</v>
      </c>
      <c r="P166" s="24" t="n">
        <v>312.0519622</v>
      </c>
      <c r="Q166" s="24" t="n">
        <v>318.576212575</v>
      </c>
      <c r="R166" s="24" t="n">
        <v>312.0519622</v>
      </c>
      <c r="S166" s="25" t="n">
        <v>0.0125941152536827</v>
      </c>
      <c r="T166" s="26" t="n">
        <v>1.34690627509798</v>
      </c>
      <c r="U166" s="23" t="n">
        <v>4</v>
      </c>
      <c r="V166" s="26" t="n">
        <v>-0.04</v>
      </c>
      <c r="W166" s="26" t="n">
        <v>0.117347758156603</v>
      </c>
      <c r="X166" s="26" t="n">
        <v>0.0489672070749785</v>
      </c>
      <c r="Y166" s="26" t="n">
        <v>1.22796948663214</v>
      </c>
      <c r="Z166" s="26" t="n">
        <v>2.887489754793</v>
      </c>
      <c r="AA166" s="26" t="n">
        <v>4.9884660617424</v>
      </c>
      <c r="AB166" s="26" t="n">
        <v>-0.212569240159025</v>
      </c>
      <c r="AC166" s="27" t="n">
        <v>1.2649931784921</v>
      </c>
      <c r="AD166" s="28" t="n">
        <f aca="false">Params!$B$6*Params!$B$7*$R166</f>
        <v>187.23117732</v>
      </c>
      <c r="AE166" s="29" t="n">
        <f aca="false">MIN(Params!$B$9,AD166/Params!$B$4)</f>
        <v>0.06</v>
      </c>
      <c r="AF166" s="29" t="n">
        <f aca="false">MIN(Params!$B$9,AD166/Params!$B$5)</f>
        <v>0.06</v>
      </c>
      <c r="AG166" s="28" t="n">
        <f aca="false">IF($R166&gt;0,Params!$B$9*Params!$B$4/(Params!$B$6*$R166),"n/a")</f>
        <v>0.480689174144216</v>
      </c>
      <c r="AH166" s="28" t="n">
        <f aca="false">IF($R166&gt;0,Params!$B$9*Params!$B$5/(Params!$B$6*$R166),"n/a")</f>
        <v>0.961378348288431</v>
      </c>
      <c r="AI166" s="28" t="n">
        <f aca="false">IF($R166&gt;0,Params!$B$15*Params!$B$4/(Params!$B$6*$R166),"n/a")</f>
        <v>0.160229724714739</v>
      </c>
      <c r="AJ166" s="29" t="n">
        <f aca="false">MIN(Params!$B$9,AD166*Params!$B$8/Params!$B$4)</f>
        <v>0.06</v>
      </c>
      <c r="AK166" s="28" t="n">
        <f aca="false">IF($R166&gt;0,Params!$B$9*Params!$B$4/(Params!$B$6*$R166*Params!$B$8),"n/a")</f>
        <v>0.961378348288431</v>
      </c>
      <c r="AL166" s="27" t="str">
        <f aca="false">IFERROR(ciq($D166,"IQ_PE_EXCL"),"")</f>
        <v/>
      </c>
      <c r="AM166" s="27" t="str">
        <f aca="false">IFERROR(ciq($D166,"IQ_PE_EXCL_FWD_CIQ"),"")</f>
        <v/>
      </c>
      <c r="AN166" s="27" t="str">
        <f aca="false">IFERROR(ciq($D166,"IQ_PBV"),"")</f>
        <v/>
      </c>
      <c r="AO166" s="27" t="str">
        <f aca="false">IFERROR(ciq($D166,"IQ_TEV_EBITDA"),"")</f>
        <v/>
      </c>
      <c r="AP166" s="24" t="str">
        <f aca="false">IFERROR(ciq($D166,"IQ_RETURN_EQUITY"),"")</f>
        <v/>
      </c>
      <c r="AQ166" s="24" t="str">
        <f aca="false">IFERROR(ciq($D166,"IQ_RETURN_CAPITAL"),"")</f>
        <v/>
      </c>
      <c r="AR166" s="24" t="str">
        <f aca="false">IFERROR(ciq($D166,"IQ_TOTAL_REV_1YR_ANN_GROWTH"),"")</f>
        <v/>
      </c>
      <c r="AS166" s="24" t="str">
        <f aca="false">IFERROR(ciq($D166,"IQ_EPS_1YR_ANN_GROWTH"),"")</f>
        <v/>
      </c>
      <c r="AT166" s="24" t="str">
        <f aca="false">IFERROR(ciq($D166,"IQ_DIVIDEND_YIELD"),"")</f>
        <v/>
      </c>
      <c r="AU166" s="24" t="str">
        <f aca="false">IFERROR(ciq($D166,"IQ_NET_DEBT"),"")</f>
        <v/>
      </c>
    </row>
    <row r="167" customFormat="false" ht="15" hidden="false" customHeight="false" outlineLevel="0" collapsed="false">
      <c r="A167" s="8" t="s">
        <v>1101</v>
      </c>
      <c r="B167" s="6" t="s">
        <v>1102</v>
      </c>
      <c r="C167" s="8" t="s">
        <v>72</v>
      </c>
      <c r="D167" s="8" t="s">
        <v>1103</v>
      </c>
      <c r="E167" s="8" t="s">
        <v>1104</v>
      </c>
      <c r="F167" s="8"/>
      <c r="G167" s="8" t="s">
        <v>55</v>
      </c>
      <c r="H167" s="8" t="s">
        <v>66</v>
      </c>
      <c r="I167" s="8"/>
      <c r="J167" s="8"/>
      <c r="K167" s="8"/>
      <c r="L167" s="8"/>
      <c r="M167" s="23" t="n">
        <v>190500</v>
      </c>
      <c r="N167" s="23" t="n">
        <v>23861.868075</v>
      </c>
      <c r="O167" s="23" t="n">
        <v>28475.2354125</v>
      </c>
      <c r="P167" s="24" t="n">
        <v>374.395965025</v>
      </c>
      <c r="Q167" s="24" t="n">
        <v>409.191831453667</v>
      </c>
      <c r="R167" s="24" t="n">
        <v>374.395965025</v>
      </c>
      <c r="S167" s="25" t="n">
        <v>0.0156901364071011</v>
      </c>
      <c r="T167" s="26" t="n">
        <v>0.793246618607482</v>
      </c>
      <c r="U167" s="23" t="n">
        <v>0</v>
      </c>
      <c r="V167" s="26" t="n">
        <v>-0.06</v>
      </c>
      <c r="W167" s="26" t="n">
        <v>-0.178800603662997</v>
      </c>
      <c r="X167" s="26" t="n">
        <v>-0.0384276784339293</v>
      </c>
      <c r="Y167" s="26" t="n">
        <v>0.285704690279126</v>
      </c>
      <c r="Z167" s="26" t="n">
        <v>0.291784546250404</v>
      </c>
      <c r="AA167" s="26" t="n">
        <v>0.030611358173821</v>
      </c>
      <c r="AB167" s="26" t="n">
        <v>-0.28105370014256</v>
      </c>
      <c r="AC167" s="27" t="n">
        <v>0.948638890015519</v>
      </c>
      <c r="AD167" s="28" t="n">
        <f aca="false">Params!$B$6*Params!$B$7*$R167</f>
        <v>224.637579015</v>
      </c>
      <c r="AE167" s="29" t="n">
        <f aca="false">MIN(Params!$B$9,AD167/Params!$B$4)</f>
        <v>0.06</v>
      </c>
      <c r="AF167" s="29" t="n">
        <f aca="false">MIN(Params!$B$9,AD167/Params!$B$5)</f>
        <v>0.06</v>
      </c>
      <c r="AG167" s="28" t="n">
        <f aca="false">IF($R167&gt;0,Params!$B$9*Params!$B$4/(Params!$B$6*$R167),"n/a")</f>
        <v>0.400645343466733</v>
      </c>
      <c r="AH167" s="28" t="n">
        <f aca="false">IF($R167&gt;0,Params!$B$9*Params!$B$5/(Params!$B$6*$R167),"n/a")</f>
        <v>0.801290686933466</v>
      </c>
      <c r="AI167" s="28" t="n">
        <f aca="false">IF($R167&gt;0,Params!$B$15*Params!$B$4/(Params!$B$6*$R167),"n/a")</f>
        <v>0.133548447822244</v>
      </c>
      <c r="AJ167" s="29" t="n">
        <f aca="false">MIN(Params!$B$9,AD167*Params!$B$8/Params!$B$4)</f>
        <v>0.06</v>
      </c>
      <c r="AK167" s="28" t="n">
        <f aca="false">IF($R167&gt;0,Params!$B$9*Params!$B$4/(Params!$B$6*$R167*Params!$B$8),"n/a")</f>
        <v>0.801290686933466</v>
      </c>
      <c r="AL167" s="27" t="str">
        <f aca="false">IFERROR(ciq($D167,"IQ_PE_EXCL"),"")</f>
        <v/>
      </c>
      <c r="AM167" s="27" t="str">
        <f aca="false">IFERROR(ciq($D167,"IQ_PE_EXCL_FWD_CIQ"),"")</f>
        <v/>
      </c>
      <c r="AN167" s="27" t="str">
        <f aca="false">IFERROR(ciq($D167,"IQ_PBV"),"")</f>
        <v/>
      </c>
      <c r="AO167" s="27" t="str">
        <f aca="false">IFERROR(ciq($D167,"IQ_TEV_EBITDA"),"")</f>
        <v/>
      </c>
      <c r="AP167" s="24" t="str">
        <f aca="false">IFERROR(ciq($D167,"IQ_RETURN_EQUITY"),"")</f>
        <v/>
      </c>
      <c r="AQ167" s="24" t="str">
        <f aca="false">IFERROR(ciq($D167,"IQ_RETURN_CAPITAL"),"")</f>
        <v/>
      </c>
      <c r="AR167" s="24" t="str">
        <f aca="false">IFERROR(ciq($D167,"IQ_TOTAL_REV_1YR_ANN_GROWTH"),"")</f>
        <v/>
      </c>
      <c r="AS167" s="24" t="str">
        <f aca="false">IFERROR(ciq($D167,"IQ_EPS_1YR_ANN_GROWTH"),"")</f>
        <v/>
      </c>
      <c r="AT167" s="24" t="str">
        <f aca="false">IFERROR(ciq($D167,"IQ_DIVIDEND_YIELD"),"")</f>
        <v/>
      </c>
      <c r="AU167" s="24" t="str">
        <f aca="false">IFERROR(ciq($D167,"IQ_NET_DEBT"),"")</f>
        <v/>
      </c>
    </row>
    <row r="168" customFormat="false" ht="15" hidden="false" customHeight="false" outlineLevel="0" collapsed="false">
      <c r="A168" s="8" t="s">
        <v>1105</v>
      </c>
      <c r="B168" s="6" t="s">
        <v>1106</v>
      </c>
      <c r="C168" s="8" t="s">
        <v>73</v>
      </c>
      <c r="D168" s="8" t="s">
        <v>1107</v>
      </c>
      <c r="E168" s="8" t="s">
        <v>1108</v>
      </c>
      <c r="F168" s="6" t="s">
        <v>513</v>
      </c>
      <c r="G168" s="8" t="s">
        <v>55</v>
      </c>
      <c r="H168" s="8" t="s">
        <v>66</v>
      </c>
      <c r="I168" s="8"/>
      <c r="J168" s="8"/>
      <c r="K168" s="8"/>
      <c r="L168" s="8" t="s">
        <v>514</v>
      </c>
      <c r="M168" s="23" t="n">
        <v>68800</v>
      </c>
      <c r="N168" s="23" t="n">
        <v>23696.669104</v>
      </c>
      <c r="O168" s="23" t="n">
        <v>26886.0754398</v>
      </c>
      <c r="P168" s="24" t="n">
        <v>1456.503410775</v>
      </c>
      <c r="Q168" s="24" t="n">
        <v>2433.31411315417</v>
      </c>
      <c r="R168" s="24" t="n">
        <v>1456.503410775</v>
      </c>
      <c r="S168" s="25" t="n">
        <v>0.0614644785890664</v>
      </c>
      <c r="T168" s="26" t="n">
        <v>1.39678157451881</v>
      </c>
      <c r="U168" s="23" t="n">
        <v>4</v>
      </c>
      <c r="V168" s="26" t="n">
        <v>-0.04</v>
      </c>
      <c r="W168" s="26" t="n">
        <v>-0.0886280862744779</v>
      </c>
      <c r="X168" s="26" t="n">
        <v>-0.314525925823209</v>
      </c>
      <c r="Y168" s="26" t="n">
        <v>0.583867377441689</v>
      </c>
      <c r="Z168" s="26" t="n">
        <v>1.611099574269</v>
      </c>
      <c r="AA168" s="26" t="n">
        <v>3.85302045067732</v>
      </c>
      <c r="AB168" s="26" t="n">
        <v>-0.486378176653723</v>
      </c>
      <c r="AC168" s="27" t="n">
        <v>0.614513909039879</v>
      </c>
      <c r="AD168" s="28" t="n">
        <f aca="false">Params!$B$6*Params!$B$7*$R168</f>
        <v>873.902046465</v>
      </c>
      <c r="AE168" s="29" t="n">
        <f aca="false">MIN(Params!$B$9,AD168/Params!$B$4)</f>
        <v>0.06</v>
      </c>
      <c r="AF168" s="29" t="n">
        <f aca="false">MIN(Params!$B$9,AD168/Params!$B$5)</f>
        <v>0.06</v>
      </c>
      <c r="AG168" s="28" t="n">
        <f aca="false">IF($R168&gt;0,Params!$B$9*Params!$B$4/(Params!$B$6*$R168),"n/a")</f>
        <v>0.102986370571</v>
      </c>
      <c r="AH168" s="28" t="n">
        <f aca="false">IF($R168&gt;0,Params!$B$9*Params!$B$5/(Params!$B$6*$R168),"n/a")</f>
        <v>0.205972741142001</v>
      </c>
      <c r="AI168" s="28" t="n">
        <f aca="false">IF($R168&gt;0,Params!$B$15*Params!$B$4/(Params!$B$6*$R168),"n/a")</f>
        <v>0.0343287901903334</v>
      </c>
      <c r="AJ168" s="29" t="n">
        <f aca="false">MIN(Params!$B$9,AD168*Params!$B$8/Params!$B$4)</f>
        <v>0.06</v>
      </c>
      <c r="AK168" s="28" t="n">
        <f aca="false">IF($R168&gt;0,Params!$B$9*Params!$B$4/(Params!$B$6*$R168*Params!$B$8),"n/a")</f>
        <v>0.205972741142001</v>
      </c>
      <c r="AL168" s="27" t="str">
        <f aca="false">IFERROR(ciq($D168,"IQ_PE_EXCL"),"")</f>
        <v/>
      </c>
      <c r="AM168" s="27" t="str">
        <f aca="false">IFERROR(ciq($D168,"IQ_PE_EXCL_FWD_CIQ"),"")</f>
        <v/>
      </c>
      <c r="AN168" s="27" t="str">
        <f aca="false">IFERROR(ciq($D168,"IQ_PBV"),"")</f>
        <v/>
      </c>
      <c r="AO168" s="27" t="str">
        <f aca="false">IFERROR(ciq($D168,"IQ_TEV_EBITDA"),"")</f>
        <v/>
      </c>
      <c r="AP168" s="24" t="str">
        <f aca="false">IFERROR(ciq($D168,"IQ_RETURN_EQUITY"),"")</f>
        <v/>
      </c>
      <c r="AQ168" s="24" t="str">
        <f aca="false">IFERROR(ciq($D168,"IQ_RETURN_CAPITAL"),"")</f>
        <v/>
      </c>
      <c r="AR168" s="24" t="str">
        <f aca="false">IFERROR(ciq($D168,"IQ_TOTAL_REV_1YR_ANN_GROWTH"),"")</f>
        <v/>
      </c>
      <c r="AS168" s="24" t="str">
        <f aca="false">IFERROR(ciq($D168,"IQ_EPS_1YR_ANN_GROWTH"),"")</f>
        <v/>
      </c>
      <c r="AT168" s="24" t="str">
        <f aca="false">IFERROR(ciq($D168,"IQ_DIVIDEND_YIELD"),"")</f>
        <v/>
      </c>
      <c r="AU168" s="24" t="str">
        <f aca="false">IFERROR(ciq($D168,"IQ_NET_DEBT"),"")</f>
        <v/>
      </c>
    </row>
    <row r="169" customFormat="false" ht="15" hidden="false" customHeight="false" outlineLevel="0" collapsed="false">
      <c r="A169" s="8" t="s">
        <v>1109</v>
      </c>
      <c r="B169" s="6" t="s">
        <v>1110</v>
      </c>
      <c r="C169" s="8" t="s">
        <v>73</v>
      </c>
      <c r="D169" s="8" t="s">
        <v>1111</v>
      </c>
      <c r="E169" s="8" t="s">
        <v>1112</v>
      </c>
      <c r="F169" s="8"/>
      <c r="G169" s="8" t="s">
        <v>55</v>
      </c>
      <c r="H169" s="8" t="s">
        <v>66</v>
      </c>
      <c r="I169" s="8"/>
      <c r="J169" s="8"/>
      <c r="K169" s="8"/>
      <c r="L169" s="8" t="s">
        <v>241</v>
      </c>
      <c r="M169" s="23" t="n">
        <v>21200</v>
      </c>
      <c r="N169" s="23" t="n">
        <v>23611.720268</v>
      </c>
      <c r="O169" s="23" t="n">
        <v>26607.7357171</v>
      </c>
      <c r="P169" s="24" t="n">
        <v>376.38759725</v>
      </c>
      <c r="Q169" s="24" t="n">
        <v>456.668645409167</v>
      </c>
      <c r="R169" s="24" t="n">
        <v>376.38759725</v>
      </c>
      <c r="S169" s="25" t="n">
        <v>0.0159407105021527</v>
      </c>
      <c r="T169" s="26" t="n">
        <v>1.0519798537576</v>
      </c>
      <c r="U169" s="23" t="n">
        <v>1</v>
      </c>
      <c r="V169" s="26" t="n">
        <v>-0.06</v>
      </c>
      <c r="W169" s="26" t="n">
        <v>-0.132868635817883</v>
      </c>
      <c r="X169" s="26" t="n">
        <v>-0.390716977606333</v>
      </c>
      <c r="Y169" s="26" t="n">
        <v>-0.348593598945607</v>
      </c>
      <c r="Z169" s="26" t="n">
        <v>0.12830839721804</v>
      </c>
      <c r="AA169" s="26" t="n">
        <v>3.21455622478027</v>
      </c>
      <c r="AB169" s="26" t="n">
        <v>-0.542619289257779</v>
      </c>
      <c r="AC169" s="27" t="n">
        <v>0.533757849435724</v>
      </c>
      <c r="AD169" s="28" t="n">
        <f aca="false">Params!$B$6*Params!$B$7*$R169</f>
        <v>225.83255835</v>
      </c>
      <c r="AE169" s="29" t="n">
        <f aca="false">MIN(Params!$B$9,AD169/Params!$B$4)</f>
        <v>0.06</v>
      </c>
      <c r="AF169" s="29" t="n">
        <f aca="false">MIN(Params!$B$9,AD169/Params!$B$5)</f>
        <v>0.06</v>
      </c>
      <c r="AG169" s="28" t="n">
        <f aca="false">IF($R169&gt;0,Params!$B$9*Params!$B$4/(Params!$B$6*$R169),"n/a")</f>
        <v>0.398525352843571</v>
      </c>
      <c r="AH169" s="28" t="n">
        <f aca="false">IF($R169&gt;0,Params!$B$9*Params!$B$5/(Params!$B$6*$R169),"n/a")</f>
        <v>0.797050705687141</v>
      </c>
      <c r="AI169" s="28" t="n">
        <f aca="false">IF($R169&gt;0,Params!$B$15*Params!$B$4/(Params!$B$6*$R169),"n/a")</f>
        <v>0.13284178428119</v>
      </c>
      <c r="AJ169" s="29" t="n">
        <f aca="false">MIN(Params!$B$9,AD169*Params!$B$8/Params!$B$4)</f>
        <v>0.06</v>
      </c>
      <c r="AK169" s="28" t="n">
        <f aca="false">IF($R169&gt;0,Params!$B$9*Params!$B$4/(Params!$B$6*$R169*Params!$B$8),"n/a")</f>
        <v>0.797050705687141</v>
      </c>
      <c r="AL169" s="27" t="str">
        <f aca="false">IFERROR(ciq($D169,"IQ_PE_EXCL"),"")</f>
        <v/>
      </c>
      <c r="AM169" s="27" t="str">
        <f aca="false">IFERROR(ciq($D169,"IQ_PE_EXCL_FWD_CIQ"),"")</f>
        <v/>
      </c>
      <c r="AN169" s="27" t="str">
        <f aca="false">IFERROR(ciq($D169,"IQ_PBV"),"")</f>
        <v/>
      </c>
      <c r="AO169" s="27" t="str">
        <f aca="false">IFERROR(ciq($D169,"IQ_TEV_EBITDA"),"")</f>
        <v/>
      </c>
      <c r="AP169" s="24" t="str">
        <f aca="false">IFERROR(ciq($D169,"IQ_RETURN_EQUITY"),"")</f>
        <v/>
      </c>
      <c r="AQ169" s="24" t="str">
        <f aca="false">IFERROR(ciq($D169,"IQ_RETURN_CAPITAL"),"")</f>
        <v/>
      </c>
      <c r="AR169" s="24" t="str">
        <f aca="false">IFERROR(ciq($D169,"IQ_TOTAL_REV_1YR_ANN_GROWTH"),"")</f>
        <v/>
      </c>
      <c r="AS169" s="24" t="str">
        <f aca="false">IFERROR(ciq($D169,"IQ_EPS_1YR_ANN_GROWTH"),"")</f>
        <v/>
      </c>
      <c r="AT169" s="24" t="str">
        <f aca="false">IFERROR(ciq($D169,"IQ_DIVIDEND_YIELD"),"")</f>
        <v/>
      </c>
      <c r="AU169" s="24" t="str">
        <f aca="false">IFERROR(ciq($D169,"IQ_NET_DEBT"),"")</f>
        <v/>
      </c>
    </row>
    <row r="170" customFormat="false" ht="15" hidden="false" customHeight="false" outlineLevel="0" collapsed="false">
      <c r="A170" s="8" t="s">
        <v>1113</v>
      </c>
      <c r="B170" s="6" t="s">
        <v>1114</v>
      </c>
      <c r="C170" s="8" t="s">
        <v>73</v>
      </c>
      <c r="D170" s="8" t="s">
        <v>1115</v>
      </c>
      <c r="E170" s="8" t="s">
        <v>1116</v>
      </c>
      <c r="F170" s="6" t="s">
        <v>513</v>
      </c>
      <c r="G170" s="8" t="s">
        <v>55</v>
      </c>
      <c r="H170" s="8" t="s">
        <v>66</v>
      </c>
      <c r="I170" s="8"/>
      <c r="J170" s="8"/>
      <c r="K170" s="8"/>
      <c r="L170" s="8"/>
      <c r="M170" s="23" t="n">
        <v>34700</v>
      </c>
      <c r="N170" s="23" t="n">
        <v>23072.331543</v>
      </c>
      <c r="O170" s="23" t="n">
        <v>23595.947136375</v>
      </c>
      <c r="P170" s="24" t="n">
        <v>603.6662733125</v>
      </c>
      <c r="Q170" s="24" t="n">
        <v>832.445918325</v>
      </c>
      <c r="R170" s="24" t="n">
        <v>603.6662733125</v>
      </c>
      <c r="S170" s="25" t="n">
        <v>0.0261640776177061</v>
      </c>
      <c r="T170" s="26" t="n">
        <v>1.0989166256834</v>
      </c>
      <c r="U170" s="23" t="n">
        <v>1</v>
      </c>
      <c r="V170" s="26" t="n">
        <v>-0.06</v>
      </c>
      <c r="W170" s="26" t="n">
        <v>0.0880281949852251</v>
      </c>
      <c r="X170" s="26" t="n">
        <v>-0.197305290868414</v>
      </c>
      <c r="Y170" s="26" t="n">
        <v>0.0780650257552562</v>
      </c>
      <c r="Z170" s="26" t="n">
        <v>0.347873706435283</v>
      </c>
      <c r="AA170" s="26" t="n">
        <v>1.9076124811417</v>
      </c>
      <c r="AB170" s="26" t="n">
        <v>-0.388842275034993</v>
      </c>
      <c r="AC170" s="27" t="n">
        <v>0.698301677122968</v>
      </c>
      <c r="AD170" s="28" t="n">
        <f aca="false">Params!$B$6*Params!$B$7*$R170</f>
        <v>362.1997639875</v>
      </c>
      <c r="AE170" s="29" t="n">
        <f aca="false">MIN(Params!$B$9,AD170/Params!$B$4)</f>
        <v>0.06</v>
      </c>
      <c r="AF170" s="29" t="n">
        <f aca="false">MIN(Params!$B$9,AD170/Params!$B$5)</f>
        <v>0.06</v>
      </c>
      <c r="AG170" s="28" t="n">
        <f aca="false">IF($R170&gt;0,Params!$B$9*Params!$B$4/(Params!$B$6*$R170),"n/a")</f>
        <v>0.24848166384533</v>
      </c>
      <c r="AH170" s="28" t="n">
        <f aca="false">IF($R170&gt;0,Params!$B$9*Params!$B$5/(Params!$B$6*$R170),"n/a")</f>
        <v>0.496963327690661</v>
      </c>
      <c r="AI170" s="28" t="n">
        <f aca="false">IF($R170&gt;0,Params!$B$15*Params!$B$4/(Params!$B$6*$R170),"n/a")</f>
        <v>0.0828272212817768</v>
      </c>
      <c r="AJ170" s="29" t="n">
        <f aca="false">MIN(Params!$B$9,AD170*Params!$B$8/Params!$B$4)</f>
        <v>0.06</v>
      </c>
      <c r="AK170" s="28" t="n">
        <f aca="false">IF($R170&gt;0,Params!$B$9*Params!$B$4/(Params!$B$6*$R170*Params!$B$8),"n/a")</f>
        <v>0.496963327690661</v>
      </c>
      <c r="AL170" s="27" t="str">
        <f aca="false">IFERROR(ciq($D170,"IQ_PE_EXCL"),"")</f>
        <v/>
      </c>
      <c r="AM170" s="27" t="str">
        <f aca="false">IFERROR(ciq($D170,"IQ_PE_EXCL_FWD_CIQ"),"")</f>
        <v/>
      </c>
      <c r="AN170" s="27" t="str">
        <f aca="false">IFERROR(ciq($D170,"IQ_PBV"),"")</f>
        <v/>
      </c>
      <c r="AO170" s="27" t="str">
        <f aca="false">IFERROR(ciq($D170,"IQ_TEV_EBITDA"),"")</f>
        <v/>
      </c>
      <c r="AP170" s="24" t="str">
        <f aca="false">IFERROR(ciq($D170,"IQ_RETURN_EQUITY"),"")</f>
        <v/>
      </c>
      <c r="AQ170" s="24" t="str">
        <f aca="false">IFERROR(ciq($D170,"IQ_RETURN_CAPITAL"),"")</f>
        <v/>
      </c>
      <c r="AR170" s="24" t="str">
        <f aca="false">IFERROR(ciq($D170,"IQ_TOTAL_REV_1YR_ANN_GROWTH"),"")</f>
        <v/>
      </c>
      <c r="AS170" s="24" t="str">
        <f aca="false">IFERROR(ciq($D170,"IQ_EPS_1YR_ANN_GROWTH"),"")</f>
        <v/>
      </c>
      <c r="AT170" s="24" t="str">
        <f aca="false">IFERROR(ciq($D170,"IQ_DIVIDEND_YIELD"),"")</f>
        <v/>
      </c>
      <c r="AU170" s="24" t="str">
        <f aca="false">IFERROR(ciq($D170,"IQ_NET_DEBT"),"")</f>
        <v/>
      </c>
    </row>
    <row r="171" customFormat="false" ht="15" hidden="false" customHeight="false" outlineLevel="0" collapsed="false">
      <c r="A171" s="8" t="s">
        <v>1117</v>
      </c>
      <c r="B171" s="8" t="s">
        <v>1118</v>
      </c>
      <c r="C171" s="8" t="s">
        <v>72</v>
      </c>
      <c r="D171" s="8" t="s">
        <v>1119</v>
      </c>
      <c r="E171" s="8" t="s">
        <v>1120</v>
      </c>
      <c r="F171" s="6" t="s">
        <v>572</v>
      </c>
      <c r="G171" s="8" t="s">
        <v>55</v>
      </c>
      <c r="H171" s="8" t="s">
        <v>66</v>
      </c>
      <c r="I171" s="8"/>
      <c r="J171" s="8"/>
      <c r="K171" s="8"/>
      <c r="L171" s="8"/>
      <c r="M171" s="23" t="n">
        <v>47650</v>
      </c>
      <c r="N171" s="23" t="n">
        <v>22375.06768</v>
      </c>
      <c r="O171" s="23" t="n">
        <v>24375.440992</v>
      </c>
      <c r="P171" s="24" t="n">
        <v>214.9477147375</v>
      </c>
      <c r="Q171" s="24" t="n">
        <v>507.5873854</v>
      </c>
      <c r="R171" s="24" t="n">
        <v>214.9477147375</v>
      </c>
      <c r="S171" s="25" t="n">
        <v>0.00960657271797356</v>
      </c>
      <c r="T171" s="26" t="n">
        <v>1.00567927021609</v>
      </c>
      <c r="U171" s="23" t="n">
        <v>0</v>
      </c>
      <c r="V171" s="26" t="n">
        <v>-0.06</v>
      </c>
      <c r="W171" s="26" t="n">
        <v>-0.0583333604044442</v>
      </c>
      <c r="X171" s="26" t="n">
        <v>-0.0770165584890986</v>
      </c>
      <c r="Y171" s="26" t="n">
        <v>-0.109593393093255</v>
      </c>
      <c r="Z171" s="26" t="n">
        <v>-0.188630983672105</v>
      </c>
      <c r="AA171" s="26" t="n">
        <v>0.330128094443168</v>
      </c>
      <c r="AB171" s="26" t="n">
        <v>-0.380657017111129</v>
      </c>
      <c r="AC171" s="27" t="n">
        <v>0.546795057355617</v>
      </c>
      <c r="AD171" s="28" t="n">
        <f aca="false">Params!$B$6*Params!$B$7*$R171</f>
        <v>128.9686288425</v>
      </c>
      <c r="AE171" s="29" t="n">
        <f aca="false">MIN(Params!$B$9,AD171/Params!$B$4)</f>
        <v>0.06</v>
      </c>
      <c r="AF171" s="29" t="n">
        <f aca="false">MIN(Params!$B$9,AD171/Params!$B$5)</f>
        <v>0.06</v>
      </c>
      <c r="AG171" s="28" t="n">
        <f aca="false">IF($R171&gt;0,Params!$B$9*Params!$B$4/(Params!$B$6*$R171),"n/a")</f>
        <v>0.69784412541061</v>
      </c>
      <c r="AH171" s="28" t="n">
        <f aca="false">IF($R171&gt;0,Params!$B$9*Params!$B$5/(Params!$B$6*$R171),"n/a")</f>
        <v>1.39568825082122</v>
      </c>
      <c r="AI171" s="28" t="n">
        <f aca="false">IF($R171&gt;0,Params!$B$15*Params!$B$4/(Params!$B$6*$R171),"n/a")</f>
        <v>0.232614708470203</v>
      </c>
      <c r="AJ171" s="29" t="n">
        <f aca="false">MIN(Params!$B$9,AD171*Params!$B$8/Params!$B$4)</f>
        <v>0.06</v>
      </c>
      <c r="AK171" s="28" t="n">
        <f aca="false">IF($R171&gt;0,Params!$B$9*Params!$B$4/(Params!$B$6*$R171*Params!$B$8),"n/a")</f>
        <v>1.39568825082122</v>
      </c>
      <c r="AL171" s="27" t="str">
        <f aca="false">IFERROR(ciq($D171,"IQ_PE_EXCL"),"")</f>
        <v/>
      </c>
      <c r="AM171" s="27" t="str">
        <f aca="false">IFERROR(ciq($D171,"IQ_PE_EXCL_FWD_CIQ"),"")</f>
        <v/>
      </c>
      <c r="AN171" s="27" t="str">
        <f aca="false">IFERROR(ciq($D171,"IQ_PBV"),"")</f>
        <v/>
      </c>
      <c r="AO171" s="27" t="str">
        <f aca="false">IFERROR(ciq($D171,"IQ_TEV_EBITDA"),"")</f>
        <v/>
      </c>
      <c r="AP171" s="24" t="str">
        <f aca="false">IFERROR(ciq($D171,"IQ_RETURN_EQUITY"),"")</f>
        <v/>
      </c>
      <c r="AQ171" s="24" t="str">
        <f aca="false">IFERROR(ciq($D171,"IQ_RETURN_CAPITAL"),"")</f>
        <v/>
      </c>
      <c r="AR171" s="24" t="str">
        <f aca="false">IFERROR(ciq($D171,"IQ_TOTAL_REV_1YR_ANN_GROWTH"),"")</f>
        <v/>
      </c>
      <c r="AS171" s="24" t="str">
        <f aca="false">IFERROR(ciq($D171,"IQ_EPS_1YR_ANN_GROWTH"),"")</f>
        <v/>
      </c>
      <c r="AT171" s="24" t="str">
        <f aca="false">IFERROR(ciq($D171,"IQ_DIVIDEND_YIELD"),"")</f>
        <v/>
      </c>
      <c r="AU171" s="24" t="str">
        <f aca="false">IFERROR(ciq($D171,"IQ_NET_DEBT"),"")</f>
        <v/>
      </c>
    </row>
    <row r="172" customFormat="false" ht="15" hidden="false" customHeight="false" outlineLevel="0" collapsed="false">
      <c r="A172" s="8" t="s">
        <v>354</v>
      </c>
      <c r="B172" s="6" t="s">
        <v>355</v>
      </c>
      <c r="C172" s="8" t="s">
        <v>73</v>
      </c>
      <c r="D172" s="8" t="s">
        <v>1121</v>
      </c>
      <c r="E172" s="8" t="s">
        <v>1122</v>
      </c>
      <c r="F172" s="8"/>
      <c r="G172" s="8" t="s">
        <v>55</v>
      </c>
      <c r="H172" s="8" t="s">
        <v>66</v>
      </c>
      <c r="I172" s="8" t="s">
        <v>508</v>
      </c>
      <c r="J172" s="8"/>
      <c r="K172" s="8"/>
      <c r="L172" s="6" t="s">
        <v>351</v>
      </c>
      <c r="M172" s="23" t="n">
        <v>48500</v>
      </c>
      <c r="N172" s="23" t="n">
        <v>22231.240365</v>
      </c>
      <c r="O172" s="23" t="n">
        <v>26011.697167275</v>
      </c>
      <c r="P172" s="24" t="n">
        <v>629.2973122375</v>
      </c>
      <c r="Q172" s="24" t="n">
        <v>1104.93792240417</v>
      </c>
      <c r="R172" s="24" t="n">
        <v>629.2973122375</v>
      </c>
      <c r="S172" s="25" t="n">
        <v>0.0283068916491156</v>
      </c>
      <c r="T172" s="26" t="n">
        <v>1.23788923033375</v>
      </c>
      <c r="U172" s="23" t="n">
        <v>1</v>
      </c>
      <c r="V172" s="26" t="n">
        <v>-0.06</v>
      </c>
      <c r="W172" s="26" t="n">
        <v>-0.0868357206405599</v>
      </c>
      <c r="X172" s="26" t="n">
        <v>-0.458883581847395</v>
      </c>
      <c r="Y172" s="26" t="n">
        <v>-0.39555633109344</v>
      </c>
      <c r="Z172" s="26" t="n">
        <v>-0.471910044826252</v>
      </c>
      <c r="AA172" s="26" t="n">
        <v>0.44449529849539</v>
      </c>
      <c r="AB172" s="26" t="n">
        <v>-0.564040578494218</v>
      </c>
      <c r="AC172" s="27" t="n">
        <v>0.686441114020603</v>
      </c>
      <c r="AD172" s="28" t="n">
        <f aca="false">Params!$B$6*Params!$B$7*$R172</f>
        <v>377.5783873425</v>
      </c>
      <c r="AE172" s="29" t="n">
        <f aca="false">MIN(Params!$B$9,AD172/Params!$B$4)</f>
        <v>0.06</v>
      </c>
      <c r="AF172" s="29" t="n">
        <f aca="false">MIN(Params!$B$9,AD172/Params!$B$5)</f>
        <v>0.06</v>
      </c>
      <c r="AG172" s="28" t="n">
        <f aca="false">IF($R172&gt;0,Params!$B$9*Params!$B$4/(Params!$B$6*$R172),"n/a")</f>
        <v>0.238361100680165</v>
      </c>
      <c r="AH172" s="28" t="n">
        <f aca="false">IF($R172&gt;0,Params!$B$9*Params!$B$5/(Params!$B$6*$R172),"n/a")</f>
        <v>0.47672220136033</v>
      </c>
      <c r="AI172" s="28" t="n">
        <f aca="false">IF($R172&gt;0,Params!$B$15*Params!$B$4/(Params!$B$6*$R172),"n/a")</f>
        <v>0.0794537002267217</v>
      </c>
      <c r="AJ172" s="29" t="n">
        <f aca="false">MIN(Params!$B$9,AD172*Params!$B$8/Params!$B$4)</f>
        <v>0.06</v>
      </c>
      <c r="AK172" s="28" t="n">
        <f aca="false">IF($R172&gt;0,Params!$B$9*Params!$B$4/(Params!$B$6*$R172*Params!$B$8),"n/a")</f>
        <v>0.47672220136033</v>
      </c>
      <c r="AL172" s="27" t="str">
        <f aca="false">IFERROR(ciq($D172,"IQ_PE_EXCL"),"")</f>
        <v/>
      </c>
      <c r="AM172" s="27" t="str">
        <f aca="false">IFERROR(ciq($D172,"IQ_PE_EXCL_FWD_CIQ"),"")</f>
        <v/>
      </c>
      <c r="AN172" s="27" t="str">
        <f aca="false">IFERROR(ciq($D172,"IQ_PBV"),"")</f>
        <v/>
      </c>
      <c r="AO172" s="27" t="str">
        <f aca="false">IFERROR(ciq($D172,"IQ_TEV_EBITDA"),"")</f>
        <v/>
      </c>
      <c r="AP172" s="24" t="str">
        <f aca="false">IFERROR(ciq($D172,"IQ_RETURN_EQUITY"),"")</f>
        <v/>
      </c>
      <c r="AQ172" s="24" t="str">
        <f aca="false">IFERROR(ciq($D172,"IQ_RETURN_CAPITAL"),"")</f>
        <v/>
      </c>
      <c r="AR172" s="24" t="str">
        <f aca="false">IFERROR(ciq($D172,"IQ_TOTAL_REV_1YR_ANN_GROWTH"),"")</f>
        <v/>
      </c>
      <c r="AS172" s="24" t="str">
        <f aca="false">IFERROR(ciq($D172,"IQ_EPS_1YR_ANN_GROWTH"),"")</f>
        <v/>
      </c>
      <c r="AT172" s="24" t="str">
        <f aca="false">IFERROR(ciq($D172,"IQ_DIVIDEND_YIELD"),"")</f>
        <v/>
      </c>
      <c r="AU172" s="24" t="str">
        <f aca="false">IFERROR(ciq($D172,"IQ_NET_DEBT"),"")</f>
        <v/>
      </c>
    </row>
    <row r="173" customFormat="false" ht="15" hidden="false" customHeight="false" outlineLevel="0" collapsed="false">
      <c r="A173" s="8" t="s">
        <v>1123</v>
      </c>
      <c r="B173" s="6" t="s">
        <v>1124</v>
      </c>
      <c r="C173" s="8" t="s">
        <v>72</v>
      </c>
      <c r="D173" s="8" t="s">
        <v>1125</v>
      </c>
      <c r="E173" s="8" t="s">
        <v>1126</v>
      </c>
      <c r="F173" s="8" t="s">
        <v>595</v>
      </c>
      <c r="G173" s="8" t="s">
        <v>55</v>
      </c>
      <c r="H173" s="8" t="s">
        <v>66</v>
      </c>
      <c r="I173" s="8"/>
      <c r="J173" s="8"/>
      <c r="K173" s="8"/>
      <c r="L173" s="8"/>
      <c r="M173" s="23" t="n">
        <v>78600</v>
      </c>
      <c r="N173" s="23" t="n">
        <v>22027.082508</v>
      </c>
      <c r="O173" s="23" t="n">
        <v>23012.1358797</v>
      </c>
      <c r="P173" s="24" t="n">
        <v>131.384912925</v>
      </c>
      <c r="Q173" s="24" t="n">
        <v>106.505915525</v>
      </c>
      <c r="R173" s="24" t="n">
        <v>106.505915525</v>
      </c>
      <c r="S173" s="25" t="n">
        <v>0.00596469881461979</v>
      </c>
      <c r="T173" s="26" t="n">
        <v>0.771721519017874</v>
      </c>
      <c r="U173" s="23" t="n">
        <v>1</v>
      </c>
      <c r="V173" s="26" t="n">
        <v>-0.06</v>
      </c>
      <c r="W173" s="26" t="n">
        <v>-0.0259510884833401</v>
      </c>
      <c r="X173" s="26" t="n">
        <v>0.137713840676091</v>
      </c>
      <c r="Y173" s="26" t="n">
        <v>-0.25917654342476</v>
      </c>
      <c r="Z173" s="26" t="n">
        <v>-0.262159406443441</v>
      </c>
      <c r="AA173" s="26" t="n">
        <v>-0.353292944373878</v>
      </c>
      <c r="AB173" s="26" t="n">
        <v>-0.429827216697143</v>
      </c>
      <c r="AC173" s="27" t="n">
        <v>0.712387763962173</v>
      </c>
      <c r="AD173" s="28" t="n">
        <f aca="false">Params!$B$6*Params!$B$7*$R173</f>
        <v>63.903549315</v>
      </c>
      <c r="AE173" s="29" t="n">
        <f aca="false">MIN(Params!$B$9,AD173/Params!$B$4)</f>
        <v>0.06</v>
      </c>
      <c r="AF173" s="29" t="n">
        <f aca="false">MIN(Params!$B$9,AD173/Params!$B$5)</f>
        <v>0.06</v>
      </c>
      <c r="AG173" s="28" t="n">
        <f aca="false">IF($R173&gt;0,Params!$B$9*Params!$B$4/(Params!$B$6*$R173),"n/a")</f>
        <v>1.40837247640757</v>
      </c>
      <c r="AH173" s="28" t="n">
        <f aca="false">IF($R173&gt;0,Params!$B$9*Params!$B$5/(Params!$B$6*$R173),"n/a")</f>
        <v>2.81674495281515</v>
      </c>
      <c r="AI173" s="28" t="n">
        <f aca="false">IF($R173&gt;0,Params!$B$15*Params!$B$4/(Params!$B$6*$R173),"n/a")</f>
        <v>0.469457492135858</v>
      </c>
      <c r="AJ173" s="29" t="n">
        <f aca="false">MIN(Params!$B$9,AD173*Params!$B$8/Params!$B$4)</f>
        <v>0.06</v>
      </c>
      <c r="AK173" s="28" t="n">
        <f aca="false">IF($R173&gt;0,Params!$B$9*Params!$B$4/(Params!$B$6*$R173*Params!$B$8),"n/a")</f>
        <v>2.81674495281515</v>
      </c>
      <c r="AL173" s="27" t="str">
        <f aca="false">IFERROR(ciq($D173,"IQ_PE_EXCL"),"")</f>
        <v/>
      </c>
      <c r="AM173" s="27" t="str">
        <f aca="false">IFERROR(ciq($D173,"IQ_PE_EXCL_FWD_CIQ"),"")</f>
        <v/>
      </c>
      <c r="AN173" s="27" t="str">
        <f aca="false">IFERROR(ciq($D173,"IQ_PBV"),"")</f>
        <v/>
      </c>
      <c r="AO173" s="27" t="str">
        <f aca="false">IFERROR(ciq($D173,"IQ_TEV_EBITDA"),"")</f>
        <v/>
      </c>
      <c r="AP173" s="24" t="str">
        <f aca="false">IFERROR(ciq($D173,"IQ_RETURN_EQUITY"),"")</f>
        <v/>
      </c>
      <c r="AQ173" s="24" t="str">
        <f aca="false">IFERROR(ciq($D173,"IQ_RETURN_CAPITAL"),"")</f>
        <v/>
      </c>
      <c r="AR173" s="24" t="str">
        <f aca="false">IFERROR(ciq($D173,"IQ_TOTAL_REV_1YR_ANN_GROWTH"),"")</f>
        <v/>
      </c>
      <c r="AS173" s="24" t="str">
        <f aca="false">IFERROR(ciq($D173,"IQ_EPS_1YR_ANN_GROWTH"),"")</f>
        <v/>
      </c>
      <c r="AT173" s="24" t="str">
        <f aca="false">IFERROR(ciq($D173,"IQ_DIVIDEND_YIELD"),"")</f>
        <v/>
      </c>
      <c r="AU173" s="24" t="str">
        <f aca="false">IFERROR(ciq($D173,"IQ_NET_DEBT"),"")</f>
        <v/>
      </c>
    </row>
    <row r="174" customFormat="false" ht="15" hidden="false" customHeight="false" outlineLevel="0" collapsed="false">
      <c r="A174" s="8" t="s">
        <v>356</v>
      </c>
      <c r="B174" s="8" t="s">
        <v>357</v>
      </c>
      <c r="C174" s="8" t="s">
        <v>72</v>
      </c>
      <c r="D174" s="8" t="s">
        <v>1127</v>
      </c>
      <c r="E174" s="8" t="s">
        <v>1128</v>
      </c>
      <c r="F174" s="6" t="s">
        <v>900</v>
      </c>
      <c r="G174" s="8" t="s">
        <v>55</v>
      </c>
      <c r="H174" s="8" t="s">
        <v>66</v>
      </c>
      <c r="I174" s="8" t="s">
        <v>508</v>
      </c>
      <c r="J174" s="8"/>
      <c r="K174" s="8"/>
      <c r="L174" s="6" t="s">
        <v>335</v>
      </c>
      <c r="M174" s="23" t="n">
        <v>65900</v>
      </c>
      <c r="N174" s="23" t="n">
        <v>21584.318601</v>
      </c>
      <c r="O174" s="23" t="n">
        <v>21213.389301825</v>
      </c>
      <c r="P174" s="24" t="n">
        <v>225.23942415</v>
      </c>
      <c r="Q174" s="24" t="n">
        <v>112.698739208333</v>
      </c>
      <c r="R174" s="24" t="n">
        <v>112.698739208333</v>
      </c>
      <c r="S174" s="25" t="n">
        <v>0.0104353270684007</v>
      </c>
      <c r="T174" s="26" t="n">
        <v>1.07102057773518</v>
      </c>
      <c r="U174" s="23" t="n">
        <v>2</v>
      </c>
      <c r="V174" s="26" t="n">
        <v>-0.04</v>
      </c>
      <c r="W174" s="26" t="n">
        <v>0.539691991846071</v>
      </c>
      <c r="X174" s="26" t="n">
        <v>0.550418001376269</v>
      </c>
      <c r="Y174" s="26" t="n">
        <v>0.799722780679471</v>
      </c>
      <c r="Z174" s="26" t="n">
        <v>1.26671214136001</v>
      </c>
      <c r="AA174" s="26" t="n">
        <v>1.43819525566034</v>
      </c>
      <c r="AB174" s="26" t="n">
        <v>-0.123610343455168</v>
      </c>
      <c r="AC174" s="27" t="n">
        <v>2.5398649225269</v>
      </c>
      <c r="AD174" s="28" t="n">
        <f aca="false">Params!$B$6*Params!$B$7*$R174</f>
        <v>67.619243525</v>
      </c>
      <c r="AE174" s="29" t="n">
        <f aca="false">MIN(Params!$B$9,AD174/Params!$B$4)</f>
        <v>0.06</v>
      </c>
      <c r="AF174" s="29" t="n">
        <f aca="false">MIN(Params!$B$9,AD174/Params!$B$5)</f>
        <v>0.06</v>
      </c>
      <c r="AG174" s="28" t="n">
        <f aca="false">IF($R174&gt;0,Params!$B$9*Params!$B$4/(Params!$B$6*$R174),"n/a")</f>
        <v>1.3309820593708</v>
      </c>
      <c r="AH174" s="28" t="n">
        <f aca="false">IF($R174&gt;0,Params!$B$9*Params!$B$5/(Params!$B$6*$R174),"n/a")</f>
        <v>2.6619641187416</v>
      </c>
      <c r="AI174" s="28" t="n">
        <f aca="false">IF($R174&gt;0,Params!$B$15*Params!$B$4/(Params!$B$6*$R174),"n/a")</f>
        <v>0.443660686456933</v>
      </c>
      <c r="AJ174" s="29" t="n">
        <f aca="false">MIN(Params!$B$9,AD174*Params!$B$8/Params!$B$4)</f>
        <v>0.06</v>
      </c>
      <c r="AK174" s="28" t="n">
        <f aca="false">IF($R174&gt;0,Params!$B$9*Params!$B$4/(Params!$B$6*$R174*Params!$B$8),"n/a")</f>
        <v>2.6619641187416</v>
      </c>
      <c r="AL174" s="27" t="str">
        <f aca="false">IFERROR(ciq($D174,"IQ_PE_EXCL"),"")</f>
        <v/>
      </c>
      <c r="AM174" s="27" t="str">
        <f aca="false">IFERROR(ciq($D174,"IQ_PE_EXCL_FWD_CIQ"),"")</f>
        <v/>
      </c>
      <c r="AN174" s="27" t="str">
        <f aca="false">IFERROR(ciq($D174,"IQ_PBV"),"")</f>
        <v/>
      </c>
      <c r="AO174" s="27" t="str">
        <f aca="false">IFERROR(ciq($D174,"IQ_TEV_EBITDA"),"")</f>
        <v/>
      </c>
      <c r="AP174" s="24" t="str">
        <f aca="false">IFERROR(ciq($D174,"IQ_RETURN_EQUITY"),"")</f>
        <v/>
      </c>
      <c r="AQ174" s="24" t="str">
        <f aca="false">IFERROR(ciq($D174,"IQ_RETURN_CAPITAL"),"")</f>
        <v/>
      </c>
      <c r="AR174" s="24" t="str">
        <f aca="false">IFERROR(ciq($D174,"IQ_TOTAL_REV_1YR_ANN_GROWTH"),"")</f>
        <v/>
      </c>
      <c r="AS174" s="24" t="str">
        <f aca="false">IFERROR(ciq($D174,"IQ_EPS_1YR_ANN_GROWTH"),"")</f>
        <v/>
      </c>
      <c r="AT174" s="24" t="str">
        <f aca="false">IFERROR(ciq($D174,"IQ_DIVIDEND_YIELD"),"")</f>
        <v/>
      </c>
      <c r="AU174" s="24" t="str">
        <f aca="false">IFERROR(ciq($D174,"IQ_NET_DEBT"),"")</f>
        <v/>
      </c>
    </row>
    <row r="175" customFormat="false" ht="15" hidden="false" customHeight="false" outlineLevel="0" collapsed="false">
      <c r="A175" s="8" t="s">
        <v>1129</v>
      </c>
      <c r="B175" s="6" t="s">
        <v>1130</v>
      </c>
      <c r="C175" s="8" t="s">
        <v>73</v>
      </c>
      <c r="D175" s="8" t="s">
        <v>1131</v>
      </c>
      <c r="E175" s="8" t="s">
        <v>1132</v>
      </c>
      <c r="F175" s="6" t="s">
        <v>507</v>
      </c>
      <c r="G175" s="8" t="s">
        <v>55</v>
      </c>
      <c r="H175" s="8" t="s">
        <v>66</v>
      </c>
      <c r="I175" s="8"/>
      <c r="J175" s="8"/>
      <c r="K175" s="8"/>
      <c r="L175" s="8" t="s">
        <v>115</v>
      </c>
      <c r="M175" s="23" t="n">
        <v>33200</v>
      </c>
      <c r="N175" s="23" t="n">
        <v>21132.044684</v>
      </c>
      <c r="O175" s="23" t="n">
        <v>23655.79640605</v>
      </c>
      <c r="P175" s="24" t="n">
        <v>411.3824016125</v>
      </c>
      <c r="Q175" s="24" t="n">
        <v>640.656109375</v>
      </c>
      <c r="R175" s="24" t="n">
        <v>411.3824016125</v>
      </c>
      <c r="S175" s="25" t="n">
        <v>0.0194672312956056</v>
      </c>
      <c r="T175" s="26" t="n">
        <v>1.169352514798</v>
      </c>
      <c r="U175" s="23" t="n">
        <v>4</v>
      </c>
      <c r="V175" s="26" t="n">
        <v>-0.04</v>
      </c>
      <c r="W175" s="26" t="n">
        <v>-0.114556332041168</v>
      </c>
      <c r="X175" s="26" t="n">
        <v>-0.548970043134561</v>
      </c>
      <c r="Y175" s="26" t="n">
        <v>-0.260656213494086</v>
      </c>
      <c r="Z175" s="26" t="n">
        <v>0.311877194098481</v>
      </c>
      <c r="AA175" s="26" t="n">
        <v>0.760659243961342</v>
      </c>
      <c r="AB175" s="26" t="n">
        <v>-0.589168925679424</v>
      </c>
      <c r="AC175" s="27" t="n">
        <v>0.388824192699747</v>
      </c>
      <c r="AD175" s="28" t="n">
        <f aca="false">Params!$B$6*Params!$B$7*$R175</f>
        <v>246.8294409675</v>
      </c>
      <c r="AE175" s="29" t="n">
        <f aca="false">MIN(Params!$B$9,AD175/Params!$B$4)</f>
        <v>0.06</v>
      </c>
      <c r="AF175" s="29" t="n">
        <f aca="false">MIN(Params!$B$9,AD175/Params!$B$5)</f>
        <v>0.06</v>
      </c>
      <c r="AG175" s="28" t="n">
        <f aca="false">IF($R175&gt;0,Params!$B$9*Params!$B$4/(Params!$B$6*$R175),"n/a")</f>
        <v>0.364624250847978</v>
      </c>
      <c r="AH175" s="28" t="n">
        <f aca="false">IF($R175&gt;0,Params!$B$9*Params!$B$5/(Params!$B$6*$R175),"n/a")</f>
        <v>0.729248501695957</v>
      </c>
      <c r="AI175" s="28" t="n">
        <f aca="false">IF($R175&gt;0,Params!$B$15*Params!$B$4/(Params!$B$6*$R175),"n/a")</f>
        <v>0.121541416949326</v>
      </c>
      <c r="AJ175" s="29" t="n">
        <f aca="false">MIN(Params!$B$9,AD175*Params!$B$8/Params!$B$4)</f>
        <v>0.06</v>
      </c>
      <c r="AK175" s="28" t="n">
        <f aca="false">IF($R175&gt;0,Params!$B$9*Params!$B$4/(Params!$B$6*$R175*Params!$B$8),"n/a")</f>
        <v>0.729248501695957</v>
      </c>
      <c r="AL175" s="27" t="str">
        <f aca="false">IFERROR(ciq($D175,"IQ_PE_EXCL"),"")</f>
        <v/>
      </c>
      <c r="AM175" s="27" t="str">
        <f aca="false">IFERROR(ciq($D175,"IQ_PE_EXCL_FWD_CIQ"),"")</f>
        <v/>
      </c>
      <c r="AN175" s="27" t="str">
        <f aca="false">IFERROR(ciq($D175,"IQ_PBV"),"")</f>
        <v/>
      </c>
      <c r="AO175" s="27" t="str">
        <f aca="false">IFERROR(ciq($D175,"IQ_TEV_EBITDA"),"")</f>
        <v/>
      </c>
      <c r="AP175" s="24" t="str">
        <f aca="false">IFERROR(ciq($D175,"IQ_RETURN_EQUITY"),"")</f>
        <v/>
      </c>
      <c r="AQ175" s="24" t="str">
        <f aca="false">IFERROR(ciq($D175,"IQ_RETURN_CAPITAL"),"")</f>
        <v/>
      </c>
      <c r="AR175" s="24" t="str">
        <f aca="false">IFERROR(ciq($D175,"IQ_TOTAL_REV_1YR_ANN_GROWTH"),"")</f>
        <v/>
      </c>
      <c r="AS175" s="24" t="str">
        <f aca="false">IFERROR(ciq($D175,"IQ_EPS_1YR_ANN_GROWTH"),"")</f>
        <v/>
      </c>
      <c r="AT175" s="24" t="str">
        <f aca="false">IFERROR(ciq($D175,"IQ_DIVIDEND_YIELD"),"")</f>
        <v/>
      </c>
      <c r="AU175" s="24" t="str">
        <f aca="false">IFERROR(ciq($D175,"IQ_NET_DEBT"),"")</f>
        <v/>
      </c>
    </row>
    <row r="176" customFormat="false" ht="15" hidden="false" customHeight="false" outlineLevel="0" collapsed="false">
      <c r="A176" s="8" t="s">
        <v>1133</v>
      </c>
      <c r="B176" s="6" t="s">
        <v>1134</v>
      </c>
      <c r="C176" s="8" t="s">
        <v>74</v>
      </c>
      <c r="D176" s="8" t="s">
        <v>1135</v>
      </c>
      <c r="E176" s="8" t="s">
        <v>1136</v>
      </c>
      <c r="F176" s="6" t="s">
        <v>1137</v>
      </c>
      <c r="G176" s="8" t="s">
        <v>55</v>
      </c>
      <c r="H176" s="8" t="s">
        <v>66</v>
      </c>
      <c r="I176" s="8"/>
      <c r="J176" s="8"/>
      <c r="K176" s="8"/>
      <c r="L176" s="8" t="s">
        <v>241</v>
      </c>
      <c r="M176" s="23" t="n">
        <v>31700</v>
      </c>
      <c r="N176" s="23" t="n">
        <v>20679.703903</v>
      </c>
      <c r="O176" s="23" t="n">
        <v>23907.238132025</v>
      </c>
      <c r="P176" s="24" t="n">
        <v>135.1348158025</v>
      </c>
      <c r="Q176" s="24" t="n">
        <v>121.693392963333</v>
      </c>
      <c r="R176" s="24" t="n">
        <v>121.693392963333</v>
      </c>
      <c r="S176" s="25" t="n">
        <v>0.00653465912453882</v>
      </c>
      <c r="T176" s="26" t="n">
        <v>0.646987591110407</v>
      </c>
      <c r="U176" s="23" t="n">
        <v>0</v>
      </c>
      <c r="V176" s="26" t="n">
        <v>-0.06</v>
      </c>
      <c r="W176" s="26" t="n">
        <v>-0.293971003000199</v>
      </c>
      <c r="X176" s="26" t="n">
        <v>-0.287430749234324</v>
      </c>
      <c r="Y176" s="26" t="n">
        <v>-0.420305616847116</v>
      </c>
      <c r="Z176" s="26" t="n">
        <v>-0.418309242278776</v>
      </c>
      <c r="AA176" s="26" t="n">
        <v>-0.412062800924218</v>
      </c>
      <c r="AB176" s="26" t="n">
        <v>-0.580664333346558</v>
      </c>
      <c r="AC176" s="27" t="n">
        <v>1.07654424982697</v>
      </c>
      <c r="AD176" s="28" t="n">
        <f aca="false">Params!$B$6*Params!$B$7*$R176</f>
        <v>73.016035778</v>
      </c>
      <c r="AE176" s="29" t="n">
        <f aca="false">MIN(Params!$B$9,AD176/Params!$B$4)</f>
        <v>0.06</v>
      </c>
      <c r="AF176" s="29" t="n">
        <f aca="false">MIN(Params!$B$9,AD176/Params!$B$5)</f>
        <v>0.06</v>
      </c>
      <c r="AG176" s="28" t="n">
        <f aca="false">IF($R176&gt;0,Params!$B$9*Params!$B$4/(Params!$B$6*$R176),"n/a")</f>
        <v>1.23260594800899</v>
      </c>
      <c r="AH176" s="28" t="n">
        <f aca="false">IF($R176&gt;0,Params!$B$9*Params!$B$5/(Params!$B$6*$R176),"n/a")</f>
        <v>2.46521189601798</v>
      </c>
      <c r="AI176" s="28" t="n">
        <f aca="false">IF($R176&gt;0,Params!$B$15*Params!$B$4/(Params!$B$6*$R176),"n/a")</f>
        <v>0.41086864933633</v>
      </c>
      <c r="AJ176" s="29" t="n">
        <f aca="false">MIN(Params!$B$9,AD176*Params!$B$8/Params!$B$4)</f>
        <v>0.06</v>
      </c>
      <c r="AK176" s="28" t="n">
        <f aca="false">IF($R176&gt;0,Params!$B$9*Params!$B$4/(Params!$B$6*$R176*Params!$B$8),"n/a")</f>
        <v>2.46521189601798</v>
      </c>
      <c r="AL176" s="27" t="str">
        <f aca="false">IFERROR(ciq($D176,"IQ_PE_EXCL"),"")</f>
        <v/>
      </c>
      <c r="AM176" s="27" t="str">
        <f aca="false">IFERROR(ciq($D176,"IQ_PE_EXCL_FWD_CIQ"),"")</f>
        <v/>
      </c>
      <c r="AN176" s="27" t="str">
        <f aca="false">IFERROR(ciq($D176,"IQ_PBV"),"")</f>
        <v/>
      </c>
      <c r="AO176" s="27" t="str">
        <f aca="false">IFERROR(ciq($D176,"IQ_TEV_EBITDA"),"")</f>
        <v/>
      </c>
      <c r="AP176" s="24" t="str">
        <f aca="false">IFERROR(ciq($D176,"IQ_RETURN_EQUITY"),"")</f>
        <v/>
      </c>
      <c r="AQ176" s="24" t="str">
        <f aca="false">IFERROR(ciq($D176,"IQ_RETURN_CAPITAL"),"")</f>
        <v/>
      </c>
      <c r="AR176" s="24" t="str">
        <f aca="false">IFERROR(ciq($D176,"IQ_TOTAL_REV_1YR_ANN_GROWTH"),"")</f>
        <v/>
      </c>
      <c r="AS176" s="24" t="str">
        <f aca="false">IFERROR(ciq($D176,"IQ_EPS_1YR_ANN_GROWTH"),"")</f>
        <v/>
      </c>
      <c r="AT176" s="24" t="str">
        <f aca="false">IFERROR(ciq($D176,"IQ_DIVIDEND_YIELD"),"")</f>
        <v/>
      </c>
      <c r="AU176" s="24" t="str">
        <f aca="false">IFERROR(ciq($D176,"IQ_NET_DEBT"),"")</f>
        <v/>
      </c>
    </row>
    <row r="177" customFormat="false" ht="15" hidden="false" customHeight="false" outlineLevel="0" collapsed="false">
      <c r="A177" s="8" t="s">
        <v>1138</v>
      </c>
      <c r="B177" s="6" t="s">
        <v>1139</v>
      </c>
      <c r="C177" s="8" t="s">
        <v>74</v>
      </c>
      <c r="D177" s="8" t="s">
        <v>1140</v>
      </c>
      <c r="E177" s="8" t="s">
        <v>1141</v>
      </c>
      <c r="F177" s="6" t="s">
        <v>852</v>
      </c>
      <c r="G177" s="8" t="s">
        <v>55</v>
      </c>
      <c r="H177" s="8" t="s">
        <v>66</v>
      </c>
      <c r="I177" s="8"/>
      <c r="J177" s="8"/>
      <c r="K177" s="8"/>
      <c r="L177" s="8"/>
      <c r="M177" s="23" t="n">
        <v>99000</v>
      </c>
      <c r="N177" s="23" t="n">
        <v>20667.87162</v>
      </c>
      <c r="O177" s="23" t="n">
        <v>21972.661495</v>
      </c>
      <c r="P177" s="24" t="n">
        <v>216.88488915</v>
      </c>
      <c r="Q177" s="24" t="n">
        <v>182.265812558333</v>
      </c>
      <c r="R177" s="24" t="n">
        <v>182.265812558333</v>
      </c>
      <c r="S177" s="25" t="n">
        <v>0.0104938182865489</v>
      </c>
      <c r="T177" s="26" t="n">
        <v>0.807261183428998</v>
      </c>
      <c r="U177" s="23" t="n">
        <v>0</v>
      </c>
      <c r="V177" s="26" t="n">
        <v>-0.06</v>
      </c>
      <c r="W177" s="26" t="n">
        <v>-0.0179611873058384</v>
      </c>
      <c r="X177" s="26" t="n">
        <v>-0.161499857202041</v>
      </c>
      <c r="Y177" s="26" t="n">
        <v>-0.376718527562606</v>
      </c>
      <c r="Z177" s="26" t="n">
        <v>-0.169153378267042</v>
      </c>
      <c r="AA177" s="26" t="n">
        <v>0.0684686749191659</v>
      </c>
      <c r="AB177" s="26" t="n">
        <v>-0.413134062592235</v>
      </c>
      <c r="AC177" s="27" t="n">
        <v>1.11462189658354</v>
      </c>
      <c r="AD177" s="28" t="n">
        <f aca="false">Params!$B$6*Params!$B$7*$R177</f>
        <v>109.359487535</v>
      </c>
      <c r="AE177" s="29" t="n">
        <f aca="false">MIN(Params!$B$9,AD177/Params!$B$4)</f>
        <v>0.06</v>
      </c>
      <c r="AF177" s="29" t="n">
        <f aca="false">MIN(Params!$B$9,AD177/Params!$B$5)</f>
        <v>0.06</v>
      </c>
      <c r="AG177" s="28" t="n">
        <f aca="false">IF($R177&gt;0,Params!$B$9*Params!$B$4/(Params!$B$6*$R177),"n/a")</f>
        <v>0.822973863801217</v>
      </c>
      <c r="AH177" s="28" t="n">
        <f aca="false">IF($R177&gt;0,Params!$B$9*Params!$B$5/(Params!$B$6*$R177),"n/a")</f>
        <v>1.64594772760243</v>
      </c>
      <c r="AI177" s="28" t="n">
        <f aca="false">IF($R177&gt;0,Params!$B$15*Params!$B$4/(Params!$B$6*$R177),"n/a")</f>
        <v>0.274324621267072</v>
      </c>
      <c r="AJ177" s="29" t="n">
        <f aca="false">MIN(Params!$B$9,AD177*Params!$B$8/Params!$B$4)</f>
        <v>0.06</v>
      </c>
      <c r="AK177" s="28" t="n">
        <f aca="false">IF($R177&gt;0,Params!$B$9*Params!$B$4/(Params!$B$6*$R177*Params!$B$8),"n/a")</f>
        <v>1.64594772760243</v>
      </c>
      <c r="AL177" s="27" t="str">
        <f aca="false">IFERROR(ciq($D177,"IQ_PE_EXCL"),"")</f>
        <v/>
      </c>
      <c r="AM177" s="27" t="str">
        <f aca="false">IFERROR(ciq($D177,"IQ_PE_EXCL_FWD_CIQ"),"")</f>
        <v/>
      </c>
      <c r="AN177" s="27" t="str">
        <f aca="false">IFERROR(ciq($D177,"IQ_PBV"),"")</f>
        <v/>
      </c>
      <c r="AO177" s="27" t="str">
        <f aca="false">IFERROR(ciq($D177,"IQ_TEV_EBITDA"),"")</f>
        <v/>
      </c>
      <c r="AP177" s="24" t="str">
        <f aca="false">IFERROR(ciq($D177,"IQ_RETURN_EQUITY"),"")</f>
        <v/>
      </c>
      <c r="AQ177" s="24" t="str">
        <f aca="false">IFERROR(ciq($D177,"IQ_RETURN_CAPITAL"),"")</f>
        <v/>
      </c>
      <c r="AR177" s="24" t="str">
        <f aca="false">IFERROR(ciq($D177,"IQ_TOTAL_REV_1YR_ANN_GROWTH"),"")</f>
        <v/>
      </c>
      <c r="AS177" s="24" t="str">
        <f aca="false">IFERROR(ciq($D177,"IQ_EPS_1YR_ANN_GROWTH"),"")</f>
        <v/>
      </c>
      <c r="AT177" s="24" t="str">
        <f aca="false">IFERROR(ciq($D177,"IQ_DIVIDEND_YIELD"),"")</f>
        <v/>
      </c>
      <c r="AU177" s="24" t="str">
        <f aca="false">IFERROR(ciq($D177,"IQ_NET_DEBT"),"")</f>
        <v/>
      </c>
    </row>
    <row r="178" customFormat="false" ht="15" hidden="false" customHeight="false" outlineLevel="0" collapsed="false">
      <c r="A178" s="8" t="s">
        <v>1142</v>
      </c>
      <c r="B178" s="6" t="s">
        <v>1143</v>
      </c>
      <c r="C178" s="8" t="s">
        <v>72</v>
      </c>
      <c r="D178" s="8" t="s">
        <v>1144</v>
      </c>
      <c r="E178" s="8" t="s">
        <v>1145</v>
      </c>
      <c r="F178" s="6" t="s">
        <v>792</v>
      </c>
      <c r="G178" s="8" t="s">
        <v>55</v>
      </c>
      <c r="H178" s="8" t="s">
        <v>66</v>
      </c>
      <c r="I178" s="8"/>
      <c r="J178" s="8"/>
      <c r="K178" s="8"/>
      <c r="L178" s="8" t="s">
        <v>514</v>
      </c>
      <c r="M178" s="23" t="n">
        <v>7120</v>
      </c>
      <c r="N178" s="23" t="n">
        <v>20452.9324344</v>
      </c>
      <c r="O178" s="23" t="n">
        <v>21429.6174102</v>
      </c>
      <c r="P178" s="24" t="n">
        <v>491.7271960625</v>
      </c>
      <c r="Q178" s="24" t="n">
        <v>443.308623371333</v>
      </c>
      <c r="R178" s="24" t="n">
        <v>443.308623371333</v>
      </c>
      <c r="S178" s="25" t="n">
        <v>0.0240418921658128</v>
      </c>
      <c r="T178" s="26" t="n">
        <v>1.22716694616613</v>
      </c>
      <c r="U178" s="23" t="n">
        <v>2</v>
      </c>
      <c r="V178" s="26" t="n">
        <v>-0.04</v>
      </c>
      <c r="W178" s="26" t="n">
        <v>-0.0353033710061327</v>
      </c>
      <c r="X178" s="26" t="n">
        <v>0.52871103533496</v>
      </c>
      <c r="Y178" s="26" t="n">
        <v>0.207842851800897</v>
      </c>
      <c r="Z178" s="26" t="n">
        <v>0.214078546443294</v>
      </c>
      <c r="AA178" s="26" t="n">
        <v>0.446513436375042</v>
      </c>
      <c r="AB178" s="26" t="n">
        <v>-0.125410674119762</v>
      </c>
      <c r="AC178" s="27" t="n">
        <v>2.03811216376927</v>
      </c>
      <c r="AD178" s="28" t="n">
        <f aca="false">Params!$B$6*Params!$B$7*$R178</f>
        <v>265.9851740228</v>
      </c>
      <c r="AE178" s="29" t="n">
        <f aca="false">MIN(Params!$B$9,AD178/Params!$B$4)</f>
        <v>0.06</v>
      </c>
      <c r="AF178" s="29" t="n">
        <f aca="false">MIN(Params!$B$9,AD178/Params!$B$5)</f>
        <v>0.06</v>
      </c>
      <c r="AG178" s="28" t="n">
        <f aca="false">IF($R178&gt;0,Params!$B$9*Params!$B$4/(Params!$B$6*$R178),"n/a")</f>
        <v>0.338364724013848</v>
      </c>
      <c r="AH178" s="28" t="n">
        <f aca="false">IF($R178&gt;0,Params!$B$9*Params!$B$5/(Params!$B$6*$R178),"n/a")</f>
        <v>0.676729448027696</v>
      </c>
      <c r="AI178" s="28" t="n">
        <f aca="false">IF($R178&gt;0,Params!$B$15*Params!$B$4/(Params!$B$6*$R178),"n/a")</f>
        <v>0.112788241337949</v>
      </c>
      <c r="AJ178" s="29" t="n">
        <f aca="false">MIN(Params!$B$9,AD178*Params!$B$8/Params!$B$4)</f>
        <v>0.06</v>
      </c>
      <c r="AK178" s="28" t="n">
        <f aca="false">IF($R178&gt;0,Params!$B$9*Params!$B$4/(Params!$B$6*$R178*Params!$B$8),"n/a")</f>
        <v>0.676729448027696</v>
      </c>
      <c r="AL178" s="27" t="str">
        <f aca="false">IFERROR(ciq($D178,"IQ_PE_EXCL"),"")</f>
        <v/>
      </c>
      <c r="AM178" s="27" t="str">
        <f aca="false">IFERROR(ciq($D178,"IQ_PE_EXCL_FWD_CIQ"),"")</f>
        <v/>
      </c>
      <c r="AN178" s="27" t="str">
        <f aca="false">IFERROR(ciq($D178,"IQ_PBV"),"")</f>
        <v/>
      </c>
      <c r="AO178" s="27" t="str">
        <f aca="false">IFERROR(ciq($D178,"IQ_TEV_EBITDA"),"")</f>
        <v/>
      </c>
      <c r="AP178" s="24" t="str">
        <f aca="false">IFERROR(ciq($D178,"IQ_RETURN_EQUITY"),"")</f>
        <v/>
      </c>
      <c r="AQ178" s="24" t="str">
        <f aca="false">IFERROR(ciq($D178,"IQ_RETURN_CAPITAL"),"")</f>
        <v/>
      </c>
      <c r="AR178" s="24" t="str">
        <f aca="false">IFERROR(ciq($D178,"IQ_TOTAL_REV_1YR_ANN_GROWTH"),"")</f>
        <v/>
      </c>
      <c r="AS178" s="24" t="str">
        <f aca="false">IFERROR(ciq($D178,"IQ_EPS_1YR_ANN_GROWTH"),"")</f>
        <v/>
      </c>
      <c r="AT178" s="24" t="str">
        <f aca="false">IFERROR(ciq($D178,"IQ_DIVIDEND_YIELD"),"")</f>
        <v/>
      </c>
      <c r="AU178" s="24" t="str">
        <f aca="false">IFERROR(ciq($D178,"IQ_NET_DEBT"),"")</f>
        <v/>
      </c>
    </row>
    <row r="179" customFormat="false" ht="15" hidden="false" customHeight="false" outlineLevel="0" collapsed="false">
      <c r="A179" s="8" t="s">
        <v>1146</v>
      </c>
      <c r="B179" s="6" t="s">
        <v>1147</v>
      </c>
      <c r="C179" s="8" t="s">
        <v>72</v>
      </c>
      <c r="D179" s="8" t="s">
        <v>1148</v>
      </c>
      <c r="E179" s="8" t="s">
        <v>1149</v>
      </c>
      <c r="F179" s="6" t="s">
        <v>982</v>
      </c>
      <c r="G179" s="8" t="s">
        <v>55</v>
      </c>
      <c r="H179" s="8" t="s">
        <v>66</v>
      </c>
      <c r="I179" s="8"/>
      <c r="J179" s="8"/>
      <c r="K179" s="8"/>
      <c r="L179" s="8" t="s">
        <v>241</v>
      </c>
      <c r="M179" s="23" t="n">
        <v>94600</v>
      </c>
      <c r="N179" s="23" t="n">
        <v>20400.406752</v>
      </c>
      <c r="O179" s="23" t="n">
        <v>20994.5200776</v>
      </c>
      <c r="P179" s="24" t="n">
        <v>168.78809675</v>
      </c>
      <c r="Q179" s="24" t="n">
        <v>260.744915617</v>
      </c>
      <c r="R179" s="24" t="n">
        <v>168.78809675</v>
      </c>
      <c r="S179" s="25" t="n">
        <v>0.00827376134220718</v>
      </c>
      <c r="T179" s="26" t="n">
        <v>0.639433772719987</v>
      </c>
      <c r="U179" s="23" t="n">
        <v>0</v>
      </c>
      <c r="V179" s="26" t="n">
        <v>-0.06</v>
      </c>
      <c r="W179" s="26" t="n">
        <v>-0.140693732388684</v>
      </c>
      <c r="X179" s="26" t="n">
        <v>-0.432789655444705</v>
      </c>
      <c r="Y179" s="26" t="n">
        <v>0.0569557899288855</v>
      </c>
      <c r="Z179" s="26" t="n">
        <v>0.0675728679356935</v>
      </c>
      <c r="AA179" s="26" t="n">
        <v>0.269778927624784</v>
      </c>
      <c r="AB179" s="26" t="n">
        <v>-0.542947743938231</v>
      </c>
      <c r="AC179" s="27" t="n">
        <v>0.812789739740649</v>
      </c>
      <c r="AD179" s="28" t="n">
        <f aca="false">Params!$B$6*Params!$B$7*$R179</f>
        <v>101.27285805</v>
      </c>
      <c r="AE179" s="29" t="n">
        <f aca="false">MIN(Params!$B$9,AD179/Params!$B$4)</f>
        <v>0.06</v>
      </c>
      <c r="AF179" s="29" t="n">
        <f aca="false">MIN(Params!$B$9,AD179/Params!$B$5)</f>
        <v>0.06</v>
      </c>
      <c r="AG179" s="28" t="n">
        <f aca="false">IF($R179&gt;0,Params!$B$9*Params!$B$4/(Params!$B$6*$R179),"n/a")</f>
        <v>0.888688259943899</v>
      </c>
      <c r="AH179" s="28" t="n">
        <f aca="false">IF($R179&gt;0,Params!$B$9*Params!$B$5/(Params!$B$6*$R179),"n/a")</f>
        <v>1.7773765198878</v>
      </c>
      <c r="AI179" s="28" t="n">
        <f aca="false">IF($R179&gt;0,Params!$B$15*Params!$B$4/(Params!$B$6*$R179),"n/a")</f>
        <v>0.2962294199813</v>
      </c>
      <c r="AJ179" s="29" t="n">
        <f aca="false">MIN(Params!$B$9,AD179*Params!$B$8/Params!$B$4)</f>
        <v>0.06</v>
      </c>
      <c r="AK179" s="28" t="n">
        <f aca="false">IF($R179&gt;0,Params!$B$9*Params!$B$4/(Params!$B$6*$R179*Params!$B$8),"n/a")</f>
        <v>1.7773765198878</v>
      </c>
      <c r="AL179" s="27" t="str">
        <f aca="false">IFERROR(ciq($D179,"IQ_PE_EXCL"),"")</f>
        <v/>
      </c>
      <c r="AM179" s="27" t="str">
        <f aca="false">IFERROR(ciq($D179,"IQ_PE_EXCL_FWD_CIQ"),"")</f>
        <v/>
      </c>
      <c r="AN179" s="27" t="str">
        <f aca="false">IFERROR(ciq($D179,"IQ_PBV"),"")</f>
        <v/>
      </c>
      <c r="AO179" s="27" t="str">
        <f aca="false">IFERROR(ciq($D179,"IQ_TEV_EBITDA"),"")</f>
        <v/>
      </c>
      <c r="AP179" s="24" t="str">
        <f aca="false">IFERROR(ciq($D179,"IQ_RETURN_EQUITY"),"")</f>
        <v/>
      </c>
      <c r="AQ179" s="24" t="str">
        <f aca="false">IFERROR(ciq($D179,"IQ_RETURN_CAPITAL"),"")</f>
        <v/>
      </c>
      <c r="AR179" s="24" t="str">
        <f aca="false">IFERROR(ciq($D179,"IQ_TOTAL_REV_1YR_ANN_GROWTH"),"")</f>
        <v/>
      </c>
      <c r="AS179" s="24" t="str">
        <f aca="false">IFERROR(ciq($D179,"IQ_EPS_1YR_ANN_GROWTH"),"")</f>
        <v/>
      </c>
      <c r="AT179" s="24" t="str">
        <f aca="false">IFERROR(ciq($D179,"IQ_DIVIDEND_YIELD"),"")</f>
        <v/>
      </c>
      <c r="AU179" s="24" t="str">
        <f aca="false">IFERROR(ciq($D179,"IQ_NET_DEBT"),"")</f>
        <v/>
      </c>
    </row>
    <row r="180" customFormat="false" ht="15" hidden="false" customHeight="false" outlineLevel="0" collapsed="false">
      <c r="A180" s="8" t="s">
        <v>1150</v>
      </c>
      <c r="B180" s="6" t="s">
        <v>1151</v>
      </c>
      <c r="C180" s="8" t="s">
        <v>73</v>
      </c>
      <c r="D180" s="8" t="s">
        <v>1152</v>
      </c>
      <c r="E180" s="8" t="s">
        <v>1153</v>
      </c>
      <c r="F180" s="6" t="s">
        <v>619</v>
      </c>
      <c r="G180" s="8" t="s">
        <v>55</v>
      </c>
      <c r="H180" s="8" t="s">
        <v>66</v>
      </c>
      <c r="I180" s="8"/>
      <c r="J180" s="8"/>
      <c r="K180" s="8"/>
      <c r="L180" s="8"/>
      <c r="M180" s="23" t="n">
        <v>39750</v>
      </c>
      <c r="N180" s="23" t="n">
        <v>20260.625085</v>
      </c>
      <c r="O180" s="23" t="n">
        <v>21452.05178025</v>
      </c>
      <c r="P180" s="24" t="n">
        <v>155.799991475</v>
      </c>
      <c r="Q180" s="24" t="n">
        <v>291.203652091667</v>
      </c>
      <c r="R180" s="24" t="n">
        <v>155.799991475</v>
      </c>
      <c r="S180" s="25" t="n">
        <v>0.00768979193985219</v>
      </c>
      <c r="T180" s="26" t="n">
        <v>0.846917665839994</v>
      </c>
      <c r="U180" s="23" t="n">
        <v>1</v>
      </c>
      <c r="V180" s="26" t="n">
        <v>-0.06</v>
      </c>
      <c r="W180" s="26" t="n">
        <v>-0.049040675127863</v>
      </c>
      <c r="X180" s="26" t="n">
        <v>-0.258361420944856</v>
      </c>
      <c r="Y180" s="26" t="n">
        <v>-0.209981220919841</v>
      </c>
      <c r="Z180" s="26" t="n">
        <v>0.0847000376529743</v>
      </c>
      <c r="AA180" s="26" t="n">
        <v>0.324783671875597</v>
      </c>
      <c r="AB180" s="26" t="n">
        <v>-0.397678052053206</v>
      </c>
      <c r="AC180" s="27" t="n">
        <v>0.377672922411717</v>
      </c>
      <c r="AD180" s="28" t="n">
        <f aca="false">Params!$B$6*Params!$B$7*$R180</f>
        <v>93.479994885</v>
      </c>
      <c r="AE180" s="29" t="n">
        <f aca="false">MIN(Params!$B$9,AD180/Params!$B$4)</f>
        <v>0.06</v>
      </c>
      <c r="AF180" s="29" t="n">
        <f aca="false">MIN(Params!$B$9,AD180/Params!$B$5)</f>
        <v>0.06</v>
      </c>
      <c r="AG180" s="28" t="n">
        <f aca="false">IF($R180&gt;0,Params!$B$9*Params!$B$4/(Params!$B$6*$R180),"n/a")</f>
        <v>0.962772838303199</v>
      </c>
      <c r="AH180" s="28" t="n">
        <f aca="false">IF($R180&gt;0,Params!$B$9*Params!$B$5/(Params!$B$6*$R180),"n/a")</f>
        <v>1.9255456766064</v>
      </c>
      <c r="AI180" s="28" t="n">
        <f aca="false">IF($R180&gt;0,Params!$B$15*Params!$B$4/(Params!$B$6*$R180),"n/a")</f>
        <v>0.3209242794344</v>
      </c>
      <c r="AJ180" s="29" t="n">
        <f aca="false">MIN(Params!$B$9,AD180*Params!$B$8/Params!$B$4)</f>
        <v>0.06</v>
      </c>
      <c r="AK180" s="28" t="n">
        <f aca="false">IF($R180&gt;0,Params!$B$9*Params!$B$4/(Params!$B$6*$R180*Params!$B$8),"n/a")</f>
        <v>1.9255456766064</v>
      </c>
      <c r="AL180" s="27" t="str">
        <f aca="false">IFERROR(ciq($D180,"IQ_PE_EXCL"),"")</f>
        <v/>
      </c>
      <c r="AM180" s="27" t="str">
        <f aca="false">IFERROR(ciq($D180,"IQ_PE_EXCL_FWD_CIQ"),"")</f>
        <v/>
      </c>
      <c r="AN180" s="27" t="str">
        <f aca="false">IFERROR(ciq($D180,"IQ_PBV"),"")</f>
        <v/>
      </c>
      <c r="AO180" s="27" t="str">
        <f aca="false">IFERROR(ciq($D180,"IQ_TEV_EBITDA"),"")</f>
        <v/>
      </c>
      <c r="AP180" s="24" t="str">
        <f aca="false">IFERROR(ciq($D180,"IQ_RETURN_EQUITY"),"")</f>
        <v/>
      </c>
      <c r="AQ180" s="24" t="str">
        <f aca="false">IFERROR(ciq($D180,"IQ_RETURN_CAPITAL"),"")</f>
        <v/>
      </c>
      <c r="AR180" s="24" t="str">
        <f aca="false">IFERROR(ciq($D180,"IQ_TOTAL_REV_1YR_ANN_GROWTH"),"")</f>
        <v/>
      </c>
      <c r="AS180" s="24" t="str">
        <f aca="false">IFERROR(ciq($D180,"IQ_EPS_1YR_ANN_GROWTH"),"")</f>
        <v/>
      </c>
      <c r="AT180" s="24" t="str">
        <f aca="false">IFERROR(ciq($D180,"IQ_DIVIDEND_YIELD"),"")</f>
        <v/>
      </c>
      <c r="AU180" s="24" t="str">
        <f aca="false">IFERROR(ciq($D180,"IQ_NET_DEBT"),"")</f>
        <v/>
      </c>
    </row>
    <row r="181" customFormat="false" ht="15" hidden="false" customHeight="false" outlineLevel="0" collapsed="false">
      <c r="A181" s="8" t="s">
        <v>1154</v>
      </c>
      <c r="B181" s="6" t="s">
        <v>1155</v>
      </c>
      <c r="C181" s="8" t="s">
        <v>73</v>
      </c>
      <c r="D181" s="8" t="s">
        <v>1156</v>
      </c>
      <c r="E181" s="8" t="s">
        <v>1157</v>
      </c>
      <c r="F181" s="6" t="s">
        <v>843</v>
      </c>
      <c r="G181" s="8" t="s">
        <v>55</v>
      </c>
      <c r="H181" s="8" t="s">
        <v>66</v>
      </c>
      <c r="I181" s="8"/>
      <c r="J181" s="8"/>
      <c r="K181" s="8"/>
      <c r="L181" s="8" t="s">
        <v>115</v>
      </c>
      <c r="M181" s="23" t="n">
        <v>12850</v>
      </c>
      <c r="N181" s="23" t="n">
        <v>19979.90731</v>
      </c>
      <c r="O181" s="23" t="n">
        <v>20486.0131333</v>
      </c>
      <c r="P181" s="24" t="n">
        <v>1401.6465415475</v>
      </c>
      <c r="Q181" s="24" t="n">
        <v>1397.35969270833</v>
      </c>
      <c r="R181" s="24" t="n">
        <v>1397.35969270833</v>
      </c>
      <c r="S181" s="25" t="n">
        <v>0.0701528050055554</v>
      </c>
      <c r="T181" s="26" t="n">
        <v>1.29674362552472</v>
      </c>
      <c r="U181" s="23" t="n">
        <v>4</v>
      </c>
      <c r="V181" s="26" t="n">
        <v>-0.04</v>
      </c>
      <c r="W181" s="26" t="n">
        <v>0.0644217849972975</v>
      </c>
      <c r="X181" s="26" t="n">
        <v>-0.299598070957009</v>
      </c>
      <c r="Y181" s="26" t="n">
        <v>0.793484621478397</v>
      </c>
      <c r="Z181" s="26" t="n">
        <v>5.02111198303089</v>
      </c>
      <c r="AA181" s="26" t="n">
        <v>10.3828355480333</v>
      </c>
      <c r="AB181" s="26" t="n">
        <v>-0.558703389142834</v>
      </c>
      <c r="AC181" s="27" t="n">
        <v>0.369191325619005</v>
      </c>
      <c r="AD181" s="28" t="n">
        <f aca="false">Params!$B$6*Params!$B$7*$R181</f>
        <v>838.415815625</v>
      </c>
      <c r="AE181" s="29" t="n">
        <f aca="false">MIN(Params!$B$9,AD181/Params!$B$4)</f>
        <v>0.06</v>
      </c>
      <c r="AF181" s="29" t="n">
        <f aca="false">MIN(Params!$B$9,AD181/Params!$B$5)</f>
        <v>0.06</v>
      </c>
      <c r="AG181" s="28" t="n">
        <f aca="false">IF($R181&gt;0,Params!$B$9*Params!$B$4/(Params!$B$6*$R181),"n/a")</f>
        <v>0.107345303276405</v>
      </c>
      <c r="AH181" s="28" t="n">
        <f aca="false">IF($R181&gt;0,Params!$B$9*Params!$B$5/(Params!$B$6*$R181),"n/a")</f>
        <v>0.21469060655281</v>
      </c>
      <c r="AI181" s="28" t="n">
        <f aca="false">IF($R181&gt;0,Params!$B$15*Params!$B$4/(Params!$B$6*$R181),"n/a")</f>
        <v>0.0357817677588016</v>
      </c>
      <c r="AJ181" s="29" t="n">
        <f aca="false">MIN(Params!$B$9,AD181*Params!$B$8/Params!$B$4)</f>
        <v>0.06</v>
      </c>
      <c r="AK181" s="28" t="n">
        <f aca="false">IF($R181&gt;0,Params!$B$9*Params!$B$4/(Params!$B$6*$R181*Params!$B$8),"n/a")</f>
        <v>0.21469060655281</v>
      </c>
      <c r="AL181" s="27" t="str">
        <f aca="false">IFERROR(ciq($D181,"IQ_PE_EXCL"),"")</f>
        <v/>
      </c>
      <c r="AM181" s="27" t="str">
        <f aca="false">IFERROR(ciq($D181,"IQ_PE_EXCL_FWD_CIQ"),"")</f>
        <v/>
      </c>
      <c r="AN181" s="27" t="str">
        <f aca="false">IFERROR(ciq($D181,"IQ_PBV"),"")</f>
        <v/>
      </c>
      <c r="AO181" s="27" t="str">
        <f aca="false">IFERROR(ciq($D181,"IQ_TEV_EBITDA"),"")</f>
        <v/>
      </c>
      <c r="AP181" s="24" t="str">
        <f aca="false">IFERROR(ciq($D181,"IQ_RETURN_EQUITY"),"")</f>
        <v/>
      </c>
      <c r="AQ181" s="24" t="str">
        <f aca="false">IFERROR(ciq($D181,"IQ_RETURN_CAPITAL"),"")</f>
        <v/>
      </c>
      <c r="AR181" s="24" t="str">
        <f aca="false">IFERROR(ciq($D181,"IQ_TOTAL_REV_1YR_ANN_GROWTH"),"")</f>
        <v/>
      </c>
      <c r="AS181" s="24" t="str">
        <f aca="false">IFERROR(ciq($D181,"IQ_EPS_1YR_ANN_GROWTH"),"")</f>
        <v/>
      </c>
      <c r="AT181" s="24" t="str">
        <f aca="false">IFERROR(ciq($D181,"IQ_DIVIDEND_YIELD"),"")</f>
        <v/>
      </c>
      <c r="AU181" s="24" t="str">
        <f aca="false">IFERROR(ciq($D181,"IQ_NET_DEBT"),"")</f>
        <v/>
      </c>
    </row>
    <row r="182" customFormat="false" ht="15" hidden="false" customHeight="false" outlineLevel="0" collapsed="false">
      <c r="A182" s="8" t="s">
        <v>1158</v>
      </c>
      <c r="B182" s="6" t="s">
        <v>1159</v>
      </c>
      <c r="C182" s="8" t="s">
        <v>73</v>
      </c>
      <c r="D182" s="8" t="s">
        <v>1160</v>
      </c>
      <c r="E182" s="8" t="s">
        <v>1161</v>
      </c>
      <c r="F182" s="6" t="s">
        <v>900</v>
      </c>
      <c r="G182" s="8" t="s">
        <v>55</v>
      </c>
      <c r="H182" s="8" t="s">
        <v>66</v>
      </c>
      <c r="I182" s="8"/>
      <c r="J182" s="8"/>
      <c r="K182" s="8"/>
      <c r="L182" s="8" t="s">
        <v>241</v>
      </c>
      <c r="M182" s="23" t="n">
        <v>30950</v>
      </c>
      <c r="N182" s="23" t="n">
        <v>19450.190145</v>
      </c>
      <c r="O182" s="23" t="n">
        <v>20425.84184775</v>
      </c>
      <c r="P182" s="24" t="n">
        <v>161.404897825</v>
      </c>
      <c r="Q182" s="24" t="n">
        <v>133.379713929167</v>
      </c>
      <c r="R182" s="24" t="n">
        <v>133.379713929167</v>
      </c>
      <c r="S182" s="25" t="n">
        <v>0.00829837120468932</v>
      </c>
      <c r="T182" s="26" t="n">
        <v>0.55011115274359</v>
      </c>
      <c r="U182" s="23" t="n">
        <v>0</v>
      </c>
      <c r="V182" s="26" t="n">
        <v>-0.06</v>
      </c>
      <c r="W182" s="26" t="n">
        <v>-0.10670000918389</v>
      </c>
      <c r="X182" s="26" t="n">
        <v>-0.197786666504154</v>
      </c>
      <c r="Y182" s="26" t="n">
        <v>-0.495639617435858</v>
      </c>
      <c r="Z182" s="26" t="n">
        <v>-0.171955804019599</v>
      </c>
      <c r="AA182" s="26" t="n">
        <v>-0.0119812790571153</v>
      </c>
      <c r="AB182" s="26" t="n">
        <v>-0.569900325098001</v>
      </c>
      <c r="AC182" s="27" t="n">
        <v>0.318602787029464</v>
      </c>
      <c r="AD182" s="28" t="n">
        <f aca="false">Params!$B$6*Params!$B$7*$R182</f>
        <v>80.0278283575</v>
      </c>
      <c r="AE182" s="29" t="n">
        <f aca="false">MIN(Params!$B$9,AD182/Params!$B$4)</f>
        <v>0.06</v>
      </c>
      <c r="AF182" s="29" t="n">
        <f aca="false">MIN(Params!$B$9,AD182/Params!$B$5)</f>
        <v>0.06</v>
      </c>
      <c r="AG182" s="28" t="n">
        <f aca="false">IF($R182&gt;0,Params!$B$9*Params!$B$4/(Params!$B$6*$R182),"n/a")</f>
        <v>1.12460879980339</v>
      </c>
      <c r="AH182" s="28" t="n">
        <f aca="false">IF($R182&gt;0,Params!$B$9*Params!$B$5/(Params!$B$6*$R182),"n/a")</f>
        <v>2.24921759960679</v>
      </c>
      <c r="AI182" s="28" t="n">
        <f aca="false">IF($R182&gt;0,Params!$B$15*Params!$B$4/(Params!$B$6*$R182),"n/a")</f>
        <v>0.374869599934464</v>
      </c>
      <c r="AJ182" s="29" t="n">
        <f aca="false">MIN(Params!$B$9,AD182*Params!$B$8/Params!$B$4)</f>
        <v>0.06</v>
      </c>
      <c r="AK182" s="28" t="n">
        <f aca="false">IF($R182&gt;0,Params!$B$9*Params!$B$4/(Params!$B$6*$R182*Params!$B$8),"n/a")</f>
        <v>2.24921759960679</v>
      </c>
      <c r="AL182" s="27" t="str">
        <f aca="false">IFERROR(ciq($D182,"IQ_PE_EXCL"),"")</f>
        <v/>
      </c>
      <c r="AM182" s="27" t="str">
        <f aca="false">IFERROR(ciq($D182,"IQ_PE_EXCL_FWD_CIQ"),"")</f>
        <v/>
      </c>
      <c r="AN182" s="27" t="str">
        <f aca="false">IFERROR(ciq($D182,"IQ_PBV"),"")</f>
        <v/>
      </c>
      <c r="AO182" s="27" t="str">
        <f aca="false">IFERROR(ciq($D182,"IQ_TEV_EBITDA"),"")</f>
        <v/>
      </c>
      <c r="AP182" s="24" t="str">
        <f aca="false">IFERROR(ciq($D182,"IQ_RETURN_EQUITY"),"")</f>
        <v/>
      </c>
      <c r="AQ182" s="24" t="str">
        <f aca="false">IFERROR(ciq($D182,"IQ_RETURN_CAPITAL"),"")</f>
        <v/>
      </c>
      <c r="AR182" s="24" t="str">
        <f aca="false">IFERROR(ciq($D182,"IQ_TOTAL_REV_1YR_ANN_GROWTH"),"")</f>
        <v/>
      </c>
      <c r="AS182" s="24" t="str">
        <f aca="false">IFERROR(ciq($D182,"IQ_EPS_1YR_ANN_GROWTH"),"")</f>
        <v/>
      </c>
      <c r="AT182" s="24" t="str">
        <f aca="false">IFERROR(ciq($D182,"IQ_DIVIDEND_YIELD"),"")</f>
        <v/>
      </c>
      <c r="AU182" s="24" t="str">
        <f aca="false">IFERROR(ciq($D182,"IQ_NET_DEBT"),"")</f>
        <v/>
      </c>
    </row>
    <row r="183" customFormat="false" ht="15" hidden="false" customHeight="false" outlineLevel="0" collapsed="false">
      <c r="A183" s="8" t="s">
        <v>1162</v>
      </c>
      <c r="B183" s="6" t="s">
        <v>1163</v>
      </c>
      <c r="C183" s="8" t="s">
        <v>72</v>
      </c>
      <c r="D183" s="8" t="s">
        <v>1164</v>
      </c>
      <c r="E183" s="8" t="s">
        <v>1165</v>
      </c>
      <c r="F183" s="6" t="s">
        <v>1166</v>
      </c>
      <c r="G183" s="8" t="s">
        <v>55</v>
      </c>
      <c r="H183" s="8" t="s">
        <v>66</v>
      </c>
      <c r="I183" s="8"/>
      <c r="J183" s="8"/>
      <c r="K183" s="8"/>
      <c r="L183" s="8"/>
      <c r="M183" s="23" t="n">
        <v>45900</v>
      </c>
      <c r="N183" s="23" t="n">
        <v>19356.673977</v>
      </c>
      <c r="O183" s="23" t="n">
        <v>19656.0909383</v>
      </c>
      <c r="P183" s="24" t="n">
        <v>178.90442685</v>
      </c>
      <c r="Q183" s="24" t="n">
        <v>240.303704558333</v>
      </c>
      <c r="R183" s="24" t="n">
        <v>178.90442685</v>
      </c>
      <c r="S183" s="25" t="n">
        <v>0.009242518991774</v>
      </c>
      <c r="T183" s="26" t="n">
        <v>0.962109431018238</v>
      </c>
      <c r="U183" s="23" t="n">
        <v>0</v>
      </c>
      <c r="V183" s="26" t="n">
        <v>-0.06</v>
      </c>
      <c r="W183" s="26" t="n">
        <v>0.11974645474815</v>
      </c>
      <c r="X183" s="26" t="n">
        <v>0.138153926736448</v>
      </c>
      <c r="Y183" s="26" t="n">
        <v>-0.111865217223642</v>
      </c>
      <c r="Z183" s="26" t="n">
        <v>0.103746960905367</v>
      </c>
      <c r="AA183" s="26" t="n">
        <v>0.0587563613620632</v>
      </c>
      <c r="AB183" s="26" t="n">
        <v>-0.402797013307698</v>
      </c>
      <c r="AC183" s="27" t="n">
        <v>0.581593995411319</v>
      </c>
      <c r="AD183" s="28" t="n">
        <f aca="false">Params!$B$6*Params!$B$7*$R183</f>
        <v>107.34265611</v>
      </c>
      <c r="AE183" s="29" t="n">
        <f aca="false">MIN(Params!$B$9,AD183/Params!$B$4)</f>
        <v>0.06</v>
      </c>
      <c r="AF183" s="29" t="n">
        <f aca="false">MIN(Params!$B$9,AD183/Params!$B$5)</f>
        <v>0.06</v>
      </c>
      <c r="AG183" s="28" t="n">
        <f aca="false">IF($R183&gt;0,Params!$B$9*Params!$B$4/(Params!$B$6*$R183),"n/a")</f>
        <v>0.838436491712782</v>
      </c>
      <c r="AH183" s="28" t="n">
        <f aca="false">IF($R183&gt;0,Params!$B$9*Params!$B$5/(Params!$B$6*$R183),"n/a")</f>
        <v>1.67687298342556</v>
      </c>
      <c r="AI183" s="28" t="n">
        <f aca="false">IF($R183&gt;0,Params!$B$15*Params!$B$4/(Params!$B$6*$R183),"n/a")</f>
        <v>0.279478830570927</v>
      </c>
      <c r="AJ183" s="29" t="n">
        <f aca="false">MIN(Params!$B$9,AD183*Params!$B$8/Params!$B$4)</f>
        <v>0.06</v>
      </c>
      <c r="AK183" s="28" t="n">
        <f aca="false">IF($R183&gt;0,Params!$B$9*Params!$B$4/(Params!$B$6*$R183*Params!$B$8),"n/a")</f>
        <v>1.67687298342556</v>
      </c>
      <c r="AL183" s="27" t="str">
        <f aca="false">IFERROR(ciq($D183,"IQ_PE_EXCL"),"")</f>
        <v/>
      </c>
      <c r="AM183" s="27" t="str">
        <f aca="false">IFERROR(ciq($D183,"IQ_PE_EXCL_FWD_CIQ"),"")</f>
        <v/>
      </c>
      <c r="AN183" s="27" t="str">
        <f aca="false">IFERROR(ciq($D183,"IQ_PBV"),"")</f>
        <v/>
      </c>
      <c r="AO183" s="27" t="str">
        <f aca="false">IFERROR(ciq($D183,"IQ_TEV_EBITDA"),"")</f>
        <v/>
      </c>
      <c r="AP183" s="24" t="str">
        <f aca="false">IFERROR(ciq($D183,"IQ_RETURN_EQUITY"),"")</f>
        <v/>
      </c>
      <c r="AQ183" s="24" t="str">
        <f aca="false">IFERROR(ciq($D183,"IQ_RETURN_CAPITAL"),"")</f>
        <v/>
      </c>
      <c r="AR183" s="24" t="str">
        <f aca="false">IFERROR(ciq($D183,"IQ_TOTAL_REV_1YR_ANN_GROWTH"),"")</f>
        <v/>
      </c>
      <c r="AS183" s="24" t="str">
        <f aca="false">IFERROR(ciq($D183,"IQ_EPS_1YR_ANN_GROWTH"),"")</f>
        <v/>
      </c>
      <c r="AT183" s="24" t="str">
        <f aca="false">IFERROR(ciq($D183,"IQ_DIVIDEND_YIELD"),"")</f>
        <v/>
      </c>
      <c r="AU183" s="24" t="str">
        <f aca="false">IFERROR(ciq($D183,"IQ_NET_DEBT"),"")</f>
        <v/>
      </c>
    </row>
    <row r="184" customFormat="false" ht="15" hidden="false" customHeight="false" outlineLevel="0" collapsed="false">
      <c r="A184" s="8" t="s">
        <v>1167</v>
      </c>
      <c r="B184" s="6" t="s">
        <v>1168</v>
      </c>
      <c r="C184" s="8" t="s">
        <v>74</v>
      </c>
      <c r="D184" s="8" t="s">
        <v>1169</v>
      </c>
      <c r="E184" s="8" t="s">
        <v>1170</v>
      </c>
      <c r="F184" s="6" t="s">
        <v>632</v>
      </c>
      <c r="G184" s="8" t="s">
        <v>55</v>
      </c>
      <c r="H184" s="8" t="s">
        <v>66</v>
      </c>
      <c r="I184" s="8"/>
      <c r="J184" s="8"/>
      <c r="K184" s="8"/>
      <c r="L184" s="8" t="s">
        <v>241</v>
      </c>
      <c r="M184" s="23" t="n">
        <v>91800</v>
      </c>
      <c r="N184" s="23" t="n">
        <v>19335.6963</v>
      </c>
      <c r="O184" s="23" t="n">
        <v>23003.7916275</v>
      </c>
      <c r="P184" s="24" t="n">
        <v>300.4751157</v>
      </c>
      <c r="Q184" s="24" t="n">
        <v>379.3607442</v>
      </c>
      <c r="R184" s="24" t="n">
        <v>300.4751157</v>
      </c>
      <c r="S184" s="25" t="n">
        <v>0.0155399170031441</v>
      </c>
      <c r="T184" s="26" t="n">
        <v>1.18490366860113</v>
      </c>
      <c r="U184" s="23" t="n">
        <v>1</v>
      </c>
      <c r="V184" s="26" t="n">
        <v>-0.06</v>
      </c>
      <c r="W184" s="26" t="n">
        <v>-0.24425545059265</v>
      </c>
      <c r="X184" s="26" t="n">
        <v>-0.302807886971837</v>
      </c>
      <c r="Y184" s="26" t="n">
        <v>-0.489645386734841</v>
      </c>
      <c r="Z184" s="26" t="n">
        <v>-0.345571609205451</v>
      </c>
      <c r="AA184" s="26" t="n">
        <v>0.620597730744341</v>
      </c>
      <c r="AB184" s="26" t="n">
        <v>-0.556223822708453</v>
      </c>
      <c r="AC184" s="27" t="n">
        <v>0.631840989921797</v>
      </c>
      <c r="AD184" s="28" t="n">
        <f aca="false">Params!$B$6*Params!$B$7*$R184</f>
        <v>180.28506942</v>
      </c>
      <c r="AE184" s="29" t="n">
        <f aca="false">MIN(Params!$B$9,AD184/Params!$B$4)</f>
        <v>0.06</v>
      </c>
      <c r="AF184" s="29" t="n">
        <f aca="false">MIN(Params!$B$9,AD184/Params!$B$5)</f>
        <v>0.06</v>
      </c>
      <c r="AG184" s="28" t="n">
        <f aca="false">IF($R184&gt;0,Params!$B$9*Params!$B$4/(Params!$B$6*$R184),"n/a")</f>
        <v>0.499209392599961</v>
      </c>
      <c r="AH184" s="28" t="n">
        <f aca="false">IF($R184&gt;0,Params!$B$9*Params!$B$5/(Params!$B$6*$R184),"n/a")</f>
        <v>0.998418785199922</v>
      </c>
      <c r="AI184" s="28" t="n">
        <f aca="false">IF($R184&gt;0,Params!$B$15*Params!$B$4/(Params!$B$6*$R184),"n/a")</f>
        <v>0.166403130866654</v>
      </c>
      <c r="AJ184" s="29" t="n">
        <f aca="false">MIN(Params!$B$9,AD184*Params!$B$8/Params!$B$4)</f>
        <v>0.06</v>
      </c>
      <c r="AK184" s="28" t="n">
        <f aca="false">IF($R184&gt;0,Params!$B$9*Params!$B$4/(Params!$B$6*$R184*Params!$B$8),"n/a")</f>
        <v>0.998418785199922</v>
      </c>
      <c r="AL184" s="27" t="str">
        <f aca="false">IFERROR(ciq($D184,"IQ_PE_EXCL"),"")</f>
        <v/>
      </c>
      <c r="AM184" s="27" t="str">
        <f aca="false">IFERROR(ciq($D184,"IQ_PE_EXCL_FWD_CIQ"),"")</f>
        <v/>
      </c>
      <c r="AN184" s="27" t="str">
        <f aca="false">IFERROR(ciq($D184,"IQ_PBV"),"")</f>
        <v/>
      </c>
      <c r="AO184" s="27" t="str">
        <f aca="false">IFERROR(ciq($D184,"IQ_TEV_EBITDA"),"")</f>
        <v/>
      </c>
      <c r="AP184" s="24" t="str">
        <f aca="false">IFERROR(ciq($D184,"IQ_RETURN_EQUITY"),"")</f>
        <v/>
      </c>
      <c r="AQ184" s="24" t="str">
        <f aca="false">IFERROR(ciq($D184,"IQ_RETURN_CAPITAL"),"")</f>
        <v/>
      </c>
      <c r="AR184" s="24" t="str">
        <f aca="false">IFERROR(ciq($D184,"IQ_TOTAL_REV_1YR_ANN_GROWTH"),"")</f>
        <v/>
      </c>
      <c r="AS184" s="24" t="str">
        <f aca="false">IFERROR(ciq($D184,"IQ_EPS_1YR_ANN_GROWTH"),"")</f>
        <v/>
      </c>
      <c r="AT184" s="24" t="str">
        <f aca="false">IFERROR(ciq($D184,"IQ_DIVIDEND_YIELD"),"")</f>
        <v/>
      </c>
      <c r="AU184" s="24" t="str">
        <f aca="false">IFERROR(ciq($D184,"IQ_NET_DEBT"),"")</f>
        <v/>
      </c>
    </row>
    <row r="185" customFormat="false" ht="15" hidden="false" customHeight="false" outlineLevel="0" collapsed="false">
      <c r="A185" s="8" t="s">
        <v>1171</v>
      </c>
      <c r="B185" s="6" t="s">
        <v>1172</v>
      </c>
      <c r="C185" s="8" t="s">
        <v>73</v>
      </c>
      <c r="D185" s="8" t="s">
        <v>1173</v>
      </c>
      <c r="E185" s="8" t="s">
        <v>1174</v>
      </c>
      <c r="F185" s="6" t="s">
        <v>627</v>
      </c>
      <c r="G185" s="8" t="s">
        <v>55</v>
      </c>
      <c r="H185" s="8" t="s">
        <v>66</v>
      </c>
      <c r="I185" s="8"/>
      <c r="J185" s="8"/>
      <c r="K185" s="8"/>
      <c r="L185" s="8"/>
      <c r="M185" s="23" t="n">
        <v>27550</v>
      </c>
      <c r="N185" s="23" t="n">
        <v>18790.2606815</v>
      </c>
      <c r="O185" s="23" t="n">
        <v>20265.176787625</v>
      </c>
      <c r="P185" s="24" t="n">
        <v>238.6422929125</v>
      </c>
      <c r="Q185" s="24" t="n">
        <v>466.203410683333</v>
      </c>
      <c r="R185" s="24" t="n">
        <v>238.6422929125</v>
      </c>
      <c r="S185" s="25" t="n">
        <v>0.0127003183701148</v>
      </c>
      <c r="T185" s="26" t="n">
        <v>1.03009834118325</v>
      </c>
      <c r="U185" s="23" t="n">
        <v>1</v>
      </c>
      <c r="V185" s="26" t="n">
        <v>-0.06</v>
      </c>
      <c r="W185" s="26" t="n">
        <v>-0.111463833759332</v>
      </c>
      <c r="X185" s="26" t="n">
        <v>-0.176529434075501</v>
      </c>
      <c r="Y185" s="26" t="n">
        <v>-0.0818099205356135</v>
      </c>
      <c r="Z185" s="26" t="n">
        <v>0.202814996447263</v>
      </c>
      <c r="AA185" s="26" t="n">
        <v>0.884899274529141</v>
      </c>
      <c r="AB185" s="26" t="n">
        <v>-0.366685958637565</v>
      </c>
      <c r="AC185" s="27" t="n">
        <v>0.27561755774675</v>
      </c>
      <c r="AD185" s="28" t="n">
        <f aca="false">Params!$B$6*Params!$B$7*$R185</f>
        <v>143.1853757475</v>
      </c>
      <c r="AE185" s="29" t="n">
        <f aca="false">MIN(Params!$B$9,AD185/Params!$B$4)</f>
        <v>0.06</v>
      </c>
      <c r="AF185" s="29" t="n">
        <f aca="false">MIN(Params!$B$9,AD185/Params!$B$5)</f>
        <v>0.06</v>
      </c>
      <c r="AG185" s="28" t="n">
        <f aca="false">IF($R185&gt;0,Params!$B$9*Params!$B$4/(Params!$B$6*$R185),"n/a")</f>
        <v>0.628555811165453</v>
      </c>
      <c r="AH185" s="28" t="n">
        <f aca="false">IF($R185&gt;0,Params!$B$9*Params!$B$5/(Params!$B$6*$R185),"n/a")</f>
        <v>1.25711162233091</v>
      </c>
      <c r="AI185" s="28" t="n">
        <f aca="false">IF($R185&gt;0,Params!$B$15*Params!$B$4/(Params!$B$6*$R185),"n/a")</f>
        <v>0.209518603721818</v>
      </c>
      <c r="AJ185" s="29" t="n">
        <f aca="false">MIN(Params!$B$9,AD185*Params!$B$8/Params!$B$4)</f>
        <v>0.06</v>
      </c>
      <c r="AK185" s="28" t="n">
        <f aca="false">IF($R185&gt;0,Params!$B$9*Params!$B$4/(Params!$B$6*$R185*Params!$B$8),"n/a")</f>
        <v>1.25711162233091</v>
      </c>
      <c r="AL185" s="27" t="str">
        <f aca="false">IFERROR(ciq($D185,"IQ_PE_EXCL"),"")</f>
        <v/>
      </c>
      <c r="AM185" s="27" t="str">
        <f aca="false">IFERROR(ciq($D185,"IQ_PE_EXCL_FWD_CIQ"),"")</f>
        <v/>
      </c>
      <c r="AN185" s="27" t="str">
        <f aca="false">IFERROR(ciq($D185,"IQ_PBV"),"")</f>
        <v/>
      </c>
      <c r="AO185" s="27" t="str">
        <f aca="false">IFERROR(ciq($D185,"IQ_TEV_EBITDA"),"")</f>
        <v/>
      </c>
      <c r="AP185" s="24" t="str">
        <f aca="false">IFERROR(ciq($D185,"IQ_RETURN_EQUITY"),"")</f>
        <v/>
      </c>
      <c r="AQ185" s="24" t="str">
        <f aca="false">IFERROR(ciq($D185,"IQ_RETURN_CAPITAL"),"")</f>
        <v/>
      </c>
      <c r="AR185" s="24" t="str">
        <f aca="false">IFERROR(ciq($D185,"IQ_TOTAL_REV_1YR_ANN_GROWTH"),"")</f>
        <v/>
      </c>
      <c r="AS185" s="24" t="str">
        <f aca="false">IFERROR(ciq($D185,"IQ_EPS_1YR_ANN_GROWTH"),"")</f>
        <v/>
      </c>
      <c r="AT185" s="24" t="str">
        <f aca="false">IFERROR(ciq($D185,"IQ_DIVIDEND_YIELD"),"")</f>
        <v/>
      </c>
      <c r="AU185" s="24" t="str">
        <f aca="false">IFERROR(ciq($D185,"IQ_NET_DEBT"),"")</f>
        <v/>
      </c>
    </row>
    <row r="186" customFormat="false" ht="15" hidden="false" customHeight="false" outlineLevel="0" collapsed="false">
      <c r="A186" s="8" t="s">
        <v>1175</v>
      </c>
      <c r="B186" s="6" t="s">
        <v>1176</v>
      </c>
      <c r="C186" s="8" t="s">
        <v>73</v>
      </c>
      <c r="D186" s="8" t="s">
        <v>1177</v>
      </c>
      <c r="E186" s="8" t="s">
        <v>1178</v>
      </c>
      <c r="F186" s="6" t="s">
        <v>584</v>
      </c>
      <c r="G186" s="8" t="s">
        <v>55</v>
      </c>
      <c r="H186" s="8" t="s">
        <v>66</v>
      </c>
      <c r="I186" s="8"/>
      <c r="J186" s="8"/>
      <c r="K186" s="8"/>
      <c r="L186" s="8" t="s">
        <v>514</v>
      </c>
      <c r="M186" s="23" t="n">
        <v>83800</v>
      </c>
      <c r="N186" s="23" t="n">
        <v>18584.62768</v>
      </c>
      <c r="O186" s="23" t="n">
        <v>22256.089628</v>
      </c>
      <c r="P186" s="24" t="n">
        <v>528.4490209</v>
      </c>
      <c r="Q186" s="24" t="n">
        <v>458.167287866667</v>
      </c>
      <c r="R186" s="24" t="n">
        <v>458.167287866667</v>
      </c>
      <c r="S186" s="25" t="n">
        <v>0.0284347381071666</v>
      </c>
      <c r="T186" s="26" t="n">
        <v>1.21746800772362</v>
      </c>
      <c r="U186" s="23" t="n">
        <v>3</v>
      </c>
      <c r="V186" s="26" t="n">
        <v>-0.04</v>
      </c>
      <c r="W186" s="26" t="n">
        <v>-0.230588038886705</v>
      </c>
      <c r="X186" s="26" t="n">
        <v>-0.124404978053688</v>
      </c>
      <c r="Y186" s="26" t="n">
        <v>-0.361226751333032</v>
      </c>
      <c r="Z186" s="26" t="n">
        <v>0.0313402864243582</v>
      </c>
      <c r="AA186" s="26" t="n">
        <v>2.25430139527344</v>
      </c>
      <c r="AB186" s="26" t="n">
        <v>-0.469715282948634</v>
      </c>
      <c r="AC186" s="27" t="n">
        <v>1.13723665695478</v>
      </c>
      <c r="AD186" s="28" t="n">
        <f aca="false">Params!$B$6*Params!$B$7*$R186</f>
        <v>274.90037272</v>
      </c>
      <c r="AE186" s="29" t="n">
        <f aca="false">MIN(Params!$B$9,AD186/Params!$B$4)</f>
        <v>0.06</v>
      </c>
      <c r="AF186" s="29" t="n">
        <f aca="false">MIN(Params!$B$9,AD186/Params!$B$5)</f>
        <v>0.06</v>
      </c>
      <c r="AG186" s="28" t="n">
        <f aca="false">IF($R186&gt;0,Params!$B$9*Params!$B$4/(Params!$B$6*$R186),"n/a")</f>
        <v>0.327391334938893</v>
      </c>
      <c r="AH186" s="28" t="n">
        <f aca="false">IF($R186&gt;0,Params!$B$9*Params!$B$5/(Params!$B$6*$R186),"n/a")</f>
        <v>0.654782669877786</v>
      </c>
      <c r="AI186" s="28" t="n">
        <f aca="false">IF($R186&gt;0,Params!$B$15*Params!$B$4/(Params!$B$6*$R186),"n/a")</f>
        <v>0.109130444979631</v>
      </c>
      <c r="AJ186" s="29" t="n">
        <f aca="false">MIN(Params!$B$9,AD186*Params!$B$8/Params!$B$4)</f>
        <v>0.06</v>
      </c>
      <c r="AK186" s="28" t="n">
        <f aca="false">IF($R186&gt;0,Params!$B$9*Params!$B$4/(Params!$B$6*$R186*Params!$B$8),"n/a")</f>
        <v>0.654782669877786</v>
      </c>
      <c r="AL186" s="27" t="str">
        <f aca="false">IFERROR(ciq($D186,"IQ_PE_EXCL"),"")</f>
        <v/>
      </c>
      <c r="AM186" s="27" t="str">
        <f aca="false">IFERROR(ciq($D186,"IQ_PE_EXCL_FWD_CIQ"),"")</f>
        <v/>
      </c>
      <c r="AN186" s="27" t="str">
        <f aca="false">IFERROR(ciq($D186,"IQ_PBV"),"")</f>
        <v/>
      </c>
      <c r="AO186" s="27" t="str">
        <f aca="false">IFERROR(ciq($D186,"IQ_TEV_EBITDA"),"")</f>
        <v/>
      </c>
      <c r="AP186" s="24" t="str">
        <f aca="false">IFERROR(ciq($D186,"IQ_RETURN_EQUITY"),"")</f>
        <v/>
      </c>
      <c r="AQ186" s="24" t="str">
        <f aca="false">IFERROR(ciq($D186,"IQ_RETURN_CAPITAL"),"")</f>
        <v/>
      </c>
      <c r="AR186" s="24" t="str">
        <f aca="false">IFERROR(ciq($D186,"IQ_TOTAL_REV_1YR_ANN_GROWTH"),"")</f>
        <v/>
      </c>
      <c r="AS186" s="24" t="str">
        <f aca="false">IFERROR(ciq($D186,"IQ_EPS_1YR_ANN_GROWTH"),"")</f>
        <v/>
      </c>
      <c r="AT186" s="24" t="str">
        <f aca="false">IFERROR(ciq($D186,"IQ_DIVIDEND_YIELD"),"")</f>
        <v/>
      </c>
      <c r="AU186" s="24" t="str">
        <f aca="false">IFERROR(ciq($D186,"IQ_NET_DEBT"),"")</f>
        <v/>
      </c>
    </row>
    <row r="187" customFormat="false" ht="15" hidden="false" customHeight="false" outlineLevel="0" collapsed="false">
      <c r="A187" s="8" t="s">
        <v>1179</v>
      </c>
      <c r="B187" s="6" t="s">
        <v>1180</v>
      </c>
      <c r="C187" s="8" t="s">
        <v>73</v>
      </c>
      <c r="D187" s="8" t="s">
        <v>1181</v>
      </c>
      <c r="E187" s="8" t="s">
        <v>1182</v>
      </c>
      <c r="F187" s="6" t="s">
        <v>550</v>
      </c>
      <c r="G187" s="8" t="s">
        <v>55</v>
      </c>
      <c r="H187" s="8" t="s">
        <v>66</v>
      </c>
      <c r="I187" s="8"/>
      <c r="J187" s="8"/>
      <c r="K187" s="8"/>
      <c r="L187" s="8" t="s">
        <v>514</v>
      </c>
      <c r="M187" s="23" t="n">
        <v>59300</v>
      </c>
      <c r="N187" s="23" t="n">
        <v>18350.014375</v>
      </c>
      <c r="O187" s="23" t="n">
        <v>18261.82290625</v>
      </c>
      <c r="P187" s="24" t="n">
        <v>233.9123796875</v>
      </c>
      <c r="Q187" s="24" t="n">
        <v>182.585700825</v>
      </c>
      <c r="R187" s="24" t="n">
        <v>182.585700825</v>
      </c>
      <c r="S187" s="25" t="n">
        <v>0.0127472586618887</v>
      </c>
      <c r="T187" s="26" t="n">
        <v>1.2407466318474</v>
      </c>
      <c r="U187" s="23" t="n">
        <v>2</v>
      </c>
      <c r="V187" s="26" t="n">
        <v>-0.04</v>
      </c>
      <c r="W187" s="26" t="n">
        <v>0.174271319674402</v>
      </c>
      <c r="X187" s="26" t="n">
        <v>-0.0545140892546535</v>
      </c>
      <c r="Y187" s="26" t="n">
        <v>-0.40933102818995</v>
      </c>
      <c r="Z187" s="26" t="n">
        <v>0.134180831323687</v>
      </c>
      <c r="AA187" s="26" t="n">
        <v>0.120997332601134</v>
      </c>
      <c r="AB187" s="26" t="n">
        <v>-0.458446038300017</v>
      </c>
      <c r="AC187" s="27" t="n">
        <v>0.832116358641983</v>
      </c>
      <c r="AD187" s="28" t="n">
        <f aca="false">Params!$B$6*Params!$B$7*$R187</f>
        <v>109.551420495</v>
      </c>
      <c r="AE187" s="29" t="n">
        <f aca="false">MIN(Params!$B$9,AD187/Params!$B$4)</f>
        <v>0.06</v>
      </c>
      <c r="AF187" s="29" t="n">
        <f aca="false">MIN(Params!$B$9,AD187/Params!$B$5)</f>
        <v>0.06</v>
      </c>
      <c r="AG187" s="28" t="n">
        <f aca="false">IF($R187&gt;0,Params!$B$9*Params!$B$4/(Params!$B$6*$R187),"n/a")</f>
        <v>0.821532022070929</v>
      </c>
      <c r="AH187" s="28" t="n">
        <f aca="false">IF($R187&gt;0,Params!$B$9*Params!$B$5/(Params!$B$6*$R187),"n/a")</f>
        <v>1.64306404414186</v>
      </c>
      <c r="AI187" s="28" t="n">
        <f aca="false">IF($R187&gt;0,Params!$B$15*Params!$B$4/(Params!$B$6*$R187),"n/a")</f>
        <v>0.273844007356976</v>
      </c>
      <c r="AJ187" s="29" t="n">
        <f aca="false">MIN(Params!$B$9,AD187*Params!$B$8/Params!$B$4)</f>
        <v>0.06</v>
      </c>
      <c r="AK187" s="28" t="n">
        <f aca="false">IF($R187&gt;0,Params!$B$9*Params!$B$4/(Params!$B$6*$R187*Params!$B$8),"n/a")</f>
        <v>1.64306404414186</v>
      </c>
      <c r="AL187" s="27" t="str">
        <f aca="false">IFERROR(ciq($D187,"IQ_PE_EXCL"),"")</f>
        <v/>
      </c>
      <c r="AM187" s="27" t="str">
        <f aca="false">IFERROR(ciq($D187,"IQ_PE_EXCL_FWD_CIQ"),"")</f>
        <v/>
      </c>
      <c r="AN187" s="27" t="str">
        <f aca="false">IFERROR(ciq($D187,"IQ_PBV"),"")</f>
        <v/>
      </c>
      <c r="AO187" s="27" t="str">
        <f aca="false">IFERROR(ciq($D187,"IQ_TEV_EBITDA"),"")</f>
        <v/>
      </c>
      <c r="AP187" s="24" t="str">
        <f aca="false">IFERROR(ciq($D187,"IQ_RETURN_EQUITY"),"")</f>
        <v/>
      </c>
      <c r="AQ187" s="24" t="str">
        <f aca="false">IFERROR(ciq($D187,"IQ_RETURN_CAPITAL"),"")</f>
        <v/>
      </c>
      <c r="AR187" s="24" t="str">
        <f aca="false">IFERROR(ciq($D187,"IQ_TOTAL_REV_1YR_ANN_GROWTH"),"")</f>
        <v/>
      </c>
      <c r="AS187" s="24" t="str">
        <f aca="false">IFERROR(ciq($D187,"IQ_EPS_1YR_ANN_GROWTH"),"")</f>
        <v/>
      </c>
      <c r="AT187" s="24" t="str">
        <f aca="false">IFERROR(ciq($D187,"IQ_DIVIDEND_YIELD"),"")</f>
        <v/>
      </c>
      <c r="AU187" s="24" t="str">
        <f aca="false">IFERROR(ciq($D187,"IQ_NET_DEBT"),"")</f>
        <v/>
      </c>
    </row>
    <row r="188" customFormat="false" ht="15" hidden="false" customHeight="false" outlineLevel="0" collapsed="false">
      <c r="A188" s="8" t="s">
        <v>1183</v>
      </c>
      <c r="B188" s="6" t="s">
        <v>1184</v>
      </c>
      <c r="C188" s="8" t="s">
        <v>73</v>
      </c>
      <c r="D188" s="8" t="s">
        <v>1185</v>
      </c>
      <c r="E188" s="8" t="s">
        <v>1186</v>
      </c>
      <c r="F188" s="6" t="s">
        <v>584</v>
      </c>
      <c r="G188" s="8" t="s">
        <v>55</v>
      </c>
      <c r="H188" s="8" t="s">
        <v>66</v>
      </c>
      <c r="I188" s="8"/>
      <c r="J188" s="8"/>
      <c r="K188" s="8"/>
      <c r="L188" s="8" t="s">
        <v>241</v>
      </c>
      <c r="M188" s="23" t="n">
        <v>10500</v>
      </c>
      <c r="N188" s="23" t="n">
        <v>18142.38426</v>
      </c>
      <c r="O188" s="23" t="n">
        <v>20142.3661439</v>
      </c>
      <c r="P188" s="24" t="n">
        <v>324.5784072125</v>
      </c>
      <c r="Q188" s="24" t="n">
        <v>431.323964905833</v>
      </c>
      <c r="R188" s="24" t="n">
        <v>324.5784072125</v>
      </c>
      <c r="S188" s="25" t="n">
        <v>0.0178906147373432</v>
      </c>
      <c r="T188" s="26" t="n">
        <v>1.2062050474139</v>
      </c>
      <c r="U188" s="23" t="n">
        <v>1</v>
      </c>
      <c r="V188" s="26" t="n">
        <v>-0.06</v>
      </c>
      <c r="W188" s="26" t="n">
        <v>-0.104770834271776</v>
      </c>
      <c r="X188" s="26" t="n">
        <v>-0.234485717343786</v>
      </c>
      <c r="Y188" s="26" t="n">
        <v>-0.537327584015471</v>
      </c>
      <c r="Z188" s="26" t="n">
        <v>1.88570722826054</v>
      </c>
      <c r="AA188" s="26" t="n">
        <v>1.68280274185396</v>
      </c>
      <c r="AB188" s="26" t="n">
        <v>-0.641573938833798</v>
      </c>
      <c r="AC188" s="27" t="n">
        <v>0.169299303109261</v>
      </c>
      <c r="AD188" s="28" t="n">
        <f aca="false">Params!$B$6*Params!$B$7*$R188</f>
        <v>194.7470443275</v>
      </c>
      <c r="AE188" s="29" t="n">
        <f aca="false">MIN(Params!$B$9,AD188/Params!$B$4)</f>
        <v>0.06</v>
      </c>
      <c r="AF188" s="29" t="n">
        <f aca="false">MIN(Params!$B$9,AD188/Params!$B$5)</f>
        <v>0.06</v>
      </c>
      <c r="AG188" s="28" t="n">
        <f aca="false">IF($R188&gt;0,Params!$B$9*Params!$B$4/(Params!$B$6*$R188),"n/a")</f>
        <v>0.462137950852028</v>
      </c>
      <c r="AH188" s="28" t="n">
        <f aca="false">IF($R188&gt;0,Params!$B$9*Params!$B$5/(Params!$B$6*$R188),"n/a")</f>
        <v>0.924275901704057</v>
      </c>
      <c r="AI188" s="28" t="n">
        <f aca="false">IF($R188&gt;0,Params!$B$15*Params!$B$4/(Params!$B$6*$R188),"n/a")</f>
        <v>0.154045983617343</v>
      </c>
      <c r="AJ188" s="29" t="n">
        <f aca="false">MIN(Params!$B$9,AD188*Params!$B$8/Params!$B$4)</f>
        <v>0.06</v>
      </c>
      <c r="AK188" s="28" t="n">
        <f aca="false">IF($R188&gt;0,Params!$B$9*Params!$B$4/(Params!$B$6*$R188*Params!$B$8),"n/a")</f>
        <v>0.924275901704057</v>
      </c>
      <c r="AL188" s="27" t="str">
        <f aca="false">IFERROR(ciq($D188,"IQ_PE_EXCL"),"")</f>
        <v/>
      </c>
      <c r="AM188" s="27" t="str">
        <f aca="false">IFERROR(ciq($D188,"IQ_PE_EXCL_FWD_CIQ"),"")</f>
        <v/>
      </c>
      <c r="AN188" s="27" t="str">
        <f aca="false">IFERROR(ciq($D188,"IQ_PBV"),"")</f>
        <v/>
      </c>
      <c r="AO188" s="27" t="str">
        <f aca="false">IFERROR(ciq($D188,"IQ_TEV_EBITDA"),"")</f>
        <v/>
      </c>
      <c r="AP188" s="24" t="str">
        <f aca="false">IFERROR(ciq($D188,"IQ_RETURN_EQUITY"),"")</f>
        <v/>
      </c>
      <c r="AQ188" s="24" t="str">
        <f aca="false">IFERROR(ciq($D188,"IQ_RETURN_CAPITAL"),"")</f>
        <v/>
      </c>
      <c r="AR188" s="24" t="str">
        <f aca="false">IFERROR(ciq($D188,"IQ_TOTAL_REV_1YR_ANN_GROWTH"),"")</f>
        <v/>
      </c>
      <c r="AS188" s="24" t="str">
        <f aca="false">IFERROR(ciq($D188,"IQ_EPS_1YR_ANN_GROWTH"),"")</f>
        <v/>
      </c>
      <c r="AT188" s="24" t="str">
        <f aca="false">IFERROR(ciq($D188,"IQ_DIVIDEND_YIELD"),"")</f>
        <v/>
      </c>
      <c r="AU188" s="24" t="str">
        <f aca="false">IFERROR(ciq($D188,"IQ_NET_DEBT"),"")</f>
        <v/>
      </c>
    </row>
    <row r="189" customFormat="false" ht="15" hidden="false" customHeight="false" outlineLevel="0" collapsed="false">
      <c r="A189" s="8" t="s">
        <v>1187</v>
      </c>
      <c r="B189" s="6" t="s">
        <v>1188</v>
      </c>
      <c r="C189" s="8" t="s">
        <v>72</v>
      </c>
      <c r="D189" s="8" t="s">
        <v>1189</v>
      </c>
      <c r="E189" s="8" t="s">
        <v>1190</v>
      </c>
      <c r="F189" s="6" t="s">
        <v>1191</v>
      </c>
      <c r="G189" s="8" t="s">
        <v>55</v>
      </c>
      <c r="H189" s="8" t="s">
        <v>66</v>
      </c>
      <c r="I189" s="8"/>
      <c r="J189" s="8"/>
      <c r="K189" s="8"/>
      <c r="L189" s="8"/>
      <c r="M189" s="23" t="n">
        <v>58200</v>
      </c>
      <c r="N189" s="23" t="n">
        <v>17428.590624</v>
      </c>
      <c r="O189" s="23" t="n">
        <v>16661.223554</v>
      </c>
      <c r="P189" s="24" t="n">
        <v>110.3283303</v>
      </c>
      <c r="Q189" s="24" t="n">
        <v>126.100877620833</v>
      </c>
      <c r="R189" s="24" t="n">
        <v>110.3283303</v>
      </c>
      <c r="S189" s="25" t="n">
        <v>0.00633030706155165</v>
      </c>
      <c r="T189" s="26" t="n">
        <v>0.712279272000831</v>
      </c>
      <c r="U189" s="23" t="n">
        <v>0</v>
      </c>
      <c r="V189" s="26" t="n">
        <v>-0.06</v>
      </c>
      <c r="W189" s="26" t="n">
        <v>0.0816939452425496</v>
      </c>
      <c r="X189" s="26" t="n">
        <v>-0.0918594254731446</v>
      </c>
      <c r="Y189" s="26" t="n">
        <v>-0.190375166032199</v>
      </c>
      <c r="Z189" s="26" t="n">
        <v>0.297421960300693</v>
      </c>
      <c r="AA189" s="26" t="n">
        <v>0.646546205386632</v>
      </c>
      <c r="AB189" s="26" t="n">
        <v>-0.422986941214903</v>
      </c>
      <c r="AC189" s="27" t="n">
        <v>0.504858350554769</v>
      </c>
      <c r="AD189" s="28" t="n">
        <f aca="false">Params!$B$6*Params!$B$7*$R189</f>
        <v>66.19699818</v>
      </c>
      <c r="AE189" s="29" t="n">
        <f aca="false">MIN(Params!$B$9,AD189/Params!$B$4)</f>
        <v>0.06</v>
      </c>
      <c r="AF189" s="29" t="n">
        <f aca="false">MIN(Params!$B$9,AD189/Params!$B$5)</f>
        <v>0.06</v>
      </c>
      <c r="AG189" s="28" t="n">
        <f aca="false">IF($R189&gt;0,Params!$B$9*Params!$B$4/(Params!$B$6*$R189),"n/a")</f>
        <v>1.35957826600046</v>
      </c>
      <c r="AH189" s="28" t="n">
        <f aca="false">IF($R189&gt;0,Params!$B$9*Params!$B$5/(Params!$B$6*$R189),"n/a")</f>
        <v>2.71915653200092</v>
      </c>
      <c r="AI189" s="28" t="n">
        <f aca="false">IF($R189&gt;0,Params!$B$15*Params!$B$4/(Params!$B$6*$R189),"n/a")</f>
        <v>0.453192755333487</v>
      </c>
      <c r="AJ189" s="29" t="n">
        <f aca="false">MIN(Params!$B$9,AD189*Params!$B$8/Params!$B$4)</f>
        <v>0.06</v>
      </c>
      <c r="AK189" s="28" t="n">
        <f aca="false">IF($R189&gt;0,Params!$B$9*Params!$B$4/(Params!$B$6*$R189*Params!$B$8),"n/a")</f>
        <v>2.71915653200092</v>
      </c>
      <c r="AL189" s="27" t="str">
        <f aca="false">IFERROR(ciq($D189,"IQ_PE_EXCL"),"")</f>
        <v/>
      </c>
      <c r="AM189" s="27" t="str">
        <f aca="false">IFERROR(ciq($D189,"IQ_PE_EXCL_FWD_CIQ"),"")</f>
        <v/>
      </c>
      <c r="AN189" s="27" t="str">
        <f aca="false">IFERROR(ciq($D189,"IQ_PBV"),"")</f>
        <v/>
      </c>
      <c r="AO189" s="27" t="str">
        <f aca="false">IFERROR(ciq($D189,"IQ_TEV_EBITDA"),"")</f>
        <v/>
      </c>
      <c r="AP189" s="24" t="str">
        <f aca="false">IFERROR(ciq($D189,"IQ_RETURN_EQUITY"),"")</f>
        <v/>
      </c>
      <c r="AQ189" s="24" t="str">
        <f aca="false">IFERROR(ciq($D189,"IQ_RETURN_CAPITAL"),"")</f>
        <v/>
      </c>
      <c r="AR189" s="24" t="str">
        <f aca="false">IFERROR(ciq($D189,"IQ_TOTAL_REV_1YR_ANN_GROWTH"),"")</f>
        <v/>
      </c>
      <c r="AS189" s="24" t="str">
        <f aca="false">IFERROR(ciq($D189,"IQ_EPS_1YR_ANN_GROWTH"),"")</f>
        <v/>
      </c>
      <c r="AT189" s="24" t="str">
        <f aca="false">IFERROR(ciq($D189,"IQ_DIVIDEND_YIELD"),"")</f>
        <v/>
      </c>
      <c r="AU189" s="24" t="str">
        <f aca="false">IFERROR(ciq($D189,"IQ_NET_DEBT"),"")</f>
        <v/>
      </c>
    </row>
    <row r="190" customFormat="false" ht="15" hidden="false" customHeight="false" outlineLevel="0" collapsed="false">
      <c r="A190" s="8" t="s">
        <v>1192</v>
      </c>
      <c r="B190" s="6" t="s">
        <v>1193</v>
      </c>
      <c r="C190" s="8" t="s">
        <v>73</v>
      </c>
      <c r="D190" s="8" t="s">
        <v>1194</v>
      </c>
      <c r="E190" s="8" t="s">
        <v>1195</v>
      </c>
      <c r="F190" s="6" t="s">
        <v>627</v>
      </c>
      <c r="G190" s="8" t="s">
        <v>55</v>
      </c>
      <c r="H190" s="8" t="s">
        <v>66</v>
      </c>
      <c r="I190" s="8"/>
      <c r="J190" s="8"/>
      <c r="K190" s="8"/>
      <c r="L190" s="8"/>
      <c r="M190" s="23" t="n">
        <v>46150</v>
      </c>
      <c r="N190" s="23" t="n">
        <v>17100.2571675</v>
      </c>
      <c r="O190" s="23" t="n">
        <v>17913.58467525</v>
      </c>
      <c r="P190" s="24" t="n">
        <v>219.4309542875</v>
      </c>
      <c r="Q190" s="24" t="n">
        <v>845.6844321625</v>
      </c>
      <c r="R190" s="24" t="n">
        <v>219.4309542875</v>
      </c>
      <c r="S190" s="25" t="n">
        <v>0.0128320265676788</v>
      </c>
      <c r="T190" s="26" t="n">
        <v>1.20499382485231</v>
      </c>
      <c r="U190" s="23" t="n">
        <v>1</v>
      </c>
      <c r="V190" s="26" t="n">
        <v>-0.06</v>
      </c>
      <c r="W190" s="26" t="n">
        <v>-0.036417105638803</v>
      </c>
      <c r="X190" s="26" t="n">
        <v>-0.226831324413834</v>
      </c>
      <c r="Y190" s="26" t="n">
        <v>-0.289844001969204</v>
      </c>
      <c r="Z190" s="26" t="n">
        <v>0.00775274499026146</v>
      </c>
      <c r="AA190" s="26" t="n">
        <v>0.503136301413112</v>
      </c>
      <c r="AB190" s="26" t="n">
        <v>-0.350750585532583</v>
      </c>
      <c r="AC190" s="27" t="n">
        <v>0.257651484401059</v>
      </c>
      <c r="AD190" s="28" t="n">
        <f aca="false">Params!$B$6*Params!$B$7*$R190</f>
        <v>131.6585725725</v>
      </c>
      <c r="AE190" s="29" t="n">
        <f aca="false">MIN(Params!$B$9,AD190/Params!$B$4)</f>
        <v>0.06</v>
      </c>
      <c r="AF190" s="29" t="n">
        <f aca="false">MIN(Params!$B$9,AD190/Params!$B$5)</f>
        <v>0.06</v>
      </c>
      <c r="AG190" s="28" t="n">
        <f aca="false">IF($R190&gt;0,Params!$B$9*Params!$B$4/(Params!$B$6*$R190),"n/a")</f>
        <v>0.683586326674171</v>
      </c>
      <c r="AH190" s="28" t="n">
        <f aca="false">IF($R190&gt;0,Params!$B$9*Params!$B$5/(Params!$B$6*$R190),"n/a")</f>
        <v>1.36717265334834</v>
      </c>
      <c r="AI190" s="28" t="n">
        <f aca="false">IF($R190&gt;0,Params!$B$15*Params!$B$4/(Params!$B$6*$R190),"n/a")</f>
        <v>0.22786210889139</v>
      </c>
      <c r="AJ190" s="29" t="n">
        <f aca="false">MIN(Params!$B$9,AD190*Params!$B$8/Params!$B$4)</f>
        <v>0.06</v>
      </c>
      <c r="AK190" s="28" t="n">
        <f aca="false">IF($R190&gt;0,Params!$B$9*Params!$B$4/(Params!$B$6*$R190*Params!$B$8),"n/a")</f>
        <v>1.36717265334834</v>
      </c>
      <c r="AL190" s="27" t="str">
        <f aca="false">IFERROR(ciq($D190,"IQ_PE_EXCL"),"")</f>
        <v/>
      </c>
      <c r="AM190" s="27" t="str">
        <f aca="false">IFERROR(ciq($D190,"IQ_PE_EXCL_FWD_CIQ"),"")</f>
        <v/>
      </c>
      <c r="AN190" s="27" t="str">
        <f aca="false">IFERROR(ciq($D190,"IQ_PBV"),"")</f>
        <v/>
      </c>
      <c r="AO190" s="27" t="str">
        <f aca="false">IFERROR(ciq($D190,"IQ_TEV_EBITDA"),"")</f>
        <v/>
      </c>
      <c r="AP190" s="24" t="str">
        <f aca="false">IFERROR(ciq($D190,"IQ_RETURN_EQUITY"),"")</f>
        <v/>
      </c>
      <c r="AQ190" s="24" t="str">
        <f aca="false">IFERROR(ciq($D190,"IQ_RETURN_CAPITAL"),"")</f>
        <v/>
      </c>
      <c r="AR190" s="24" t="str">
        <f aca="false">IFERROR(ciq($D190,"IQ_TOTAL_REV_1YR_ANN_GROWTH"),"")</f>
        <v/>
      </c>
      <c r="AS190" s="24" t="str">
        <f aca="false">IFERROR(ciq($D190,"IQ_EPS_1YR_ANN_GROWTH"),"")</f>
        <v/>
      </c>
      <c r="AT190" s="24" t="str">
        <f aca="false">IFERROR(ciq($D190,"IQ_DIVIDEND_YIELD"),"")</f>
        <v/>
      </c>
      <c r="AU190" s="24" t="str">
        <f aca="false">IFERROR(ciq($D190,"IQ_NET_DEBT"),"")</f>
        <v/>
      </c>
    </row>
    <row r="191" customFormat="false" ht="15" hidden="false" customHeight="false" outlineLevel="0" collapsed="false">
      <c r="A191" s="8" t="s">
        <v>1196</v>
      </c>
      <c r="B191" s="8" t="s">
        <v>1197</v>
      </c>
      <c r="C191" s="8" t="s">
        <v>72</v>
      </c>
      <c r="D191" s="8" t="s">
        <v>1198</v>
      </c>
      <c r="E191" s="8" t="s">
        <v>1199</v>
      </c>
      <c r="F191" s="8"/>
      <c r="G191" s="8" t="s">
        <v>55</v>
      </c>
      <c r="H191" s="8" t="s">
        <v>66</v>
      </c>
      <c r="I191" s="8"/>
      <c r="J191" s="8"/>
      <c r="K191" s="8"/>
      <c r="L191" s="8" t="s">
        <v>514</v>
      </c>
      <c r="M191" s="23" t="n">
        <v>49700</v>
      </c>
      <c r="N191" s="23" t="n">
        <v>16931.300988</v>
      </c>
      <c r="O191" s="23" t="n">
        <v>18411.5123118</v>
      </c>
      <c r="P191" s="24" t="n">
        <v>1593.7735385125</v>
      </c>
      <c r="Q191" s="24" t="n">
        <v>3181.95990447083</v>
      </c>
      <c r="R191" s="24" t="n">
        <v>1593.7735385125</v>
      </c>
      <c r="S191" s="25" t="n">
        <v>0.0941317822913952</v>
      </c>
      <c r="T191" s="26" t="n">
        <v>1.70884598443174</v>
      </c>
      <c r="U191" s="23" t="n">
        <v>3</v>
      </c>
      <c r="V191" s="26" t="n">
        <v>-0.04</v>
      </c>
      <c r="W191" s="26" t="n">
        <v>-0.138737171170826</v>
      </c>
      <c r="X191" s="26" t="n">
        <v>0.454914909055622</v>
      </c>
      <c r="Y191" s="26" t="n">
        <v>0.728059853745356</v>
      </c>
      <c r="Z191" s="26" t="n">
        <v>1.39992840359606</v>
      </c>
      <c r="AA191" s="26" t="n">
        <v>1.26341835881743</v>
      </c>
      <c r="AB191" s="26" t="n">
        <v>-0.385729065442186</v>
      </c>
      <c r="AC191" s="27" t="n">
        <v>0.733235282782797</v>
      </c>
      <c r="AD191" s="28" t="n">
        <f aca="false">Params!$B$6*Params!$B$7*$R191</f>
        <v>956.2641231075</v>
      </c>
      <c r="AE191" s="29" t="n">
        <f aca="false">MIN(Params!$B$9,AD191/Params!$B$4)</f>
        <v>0.06</v>
      </c>
      <c r="AF191" s="29" t="n">
        <f aca="false">MIN(Params!$B$9,AD191/Params!$B$5)</f>
        <v>0.06</v>
      </c>
      <c r="AG191" s="28" t="n">
        <f aca="false">IF($R191&gt;0,Params!$B$9*Params!$B$4/(Params!$B$6*$R191),"n/a")</f>
        <v>0.0941162570310948</v>
      </c>
      <c r="AH191" s="28" t="n">
        <f aca="false">IF($R191&gt;0,Params!$B$9*Params!$B$5/(Params!$B$6*$R191),"n/a")</f>
        <v>0.18823251406219</v>
      </c>
      <c r="AI191" s="28" t="n">
        <f aca="false">IF($R191&gt;0,Params!$B$15*Params!$B$4/(Params!$B$6*$R191),"n/a")</f>
        <v>0.0313720856770316</v>
      </c>
      <c r="AJ191" s="29" t="n">
        <f aca="false">MIN(Params!$B$9,AD191*Params!$B$8/Params!$B$4)</f>
        <v>0.06</v>
      </c>
      <c r="AK191" s="28" t="n">
        <f aca="false">IF($R191&gt;0,Params!$B$9*Params!$B$4/(Params!$B$6*$R191*Params!$B$8),"n/a")</f>
        <v>0.18823251406219</v>
      </c>
      <c r="AL191" s="27" t="str">
        <f aca="false">IFERROR(ciq($D191,"IQ_PE_EXCL"),"")</f>
        <v/>
      </c>
      <c r="AM191" s="27" t="str">
        <f aca="false">IFERROR(ciq($D191,"IQ_PE_EXCL_FWD_CIQ"),"")</f>
        <v/>
      </c>
      <c r="AN191" s="27" t="str">
        <f aca="false">IFERROR(ciq($D191,"IQ_PBV"),"")</f>
        <v/>
      </c>
      <c r="AO191" s="27" t="str">
        <f aca="false">IFERROR(ciq($D191,"IQ_TEV_EBITDA"),"")</f>
        <v/>
      </c>
      <c r="AP191" s="24" t="str">
        <f aca="false">IFERROR(ciq($D191,"IQ_RETURN_EQUITY"),"")</f>
        <v/>
      </c>
      <c r="AQ191" s="24" t="str">
        <f aca="false">IFERROR(ciq($D191,"IQ_RETURN_CAPITAL"),"")</f>
        <v/>
      </c>
      <c r="AR191" s="24" t="str">
        <f aca="false">IFERROR(ciq($D191,"IQ_TOTAL_REV_1YR_ANN_GROWTH"),"")</f>
        <v/>
      </c>
      <c r="AS191" s="24" t="str">
        <f aca="false">IFERROR(ciq($D191,"IQ_EPS_1YR_ANN_GROWTH"),"")</f>
        <v/>
      </c>
      <c r="AT191" s="24" t="str">
        <f aca="false">IFERROR(ciq($D191,"IQ_DIVIDEND_YIELD"),"")</f>
        <v/>
      </c>
      <c r="AU191" s="24" t="str">
        <f aca="false">IFERROR(ciq($D191,"IQ_NET_DEBT"),"")</f>
        <v/>
      </c>
    </row>
    <row r="192" customFormat="false" ht="15" hidden="false" customHeight="false" outlineLevel="0" collapsed="false">
      <c r="A192" s="8" t="s">
        <v>1200</v>
      </c>
      <c r="B192" s="8" t="s">
        <v>1201</v>
      </c>
      <c r="C192" s="8" t="s">
        <v>72</v>
      </c>
      <c r="D192" s="8" t="s">
        <v>1202</v>
      </c>
      <c r="E192" s="8" t="s">
        <v>1203</v>
      </c>
      <c r="F192" s="8"/>
      <c r="G192" s="8" t="s">
        <v>55</v>
      </c>
      <c r="H192" s="8" t="s">
        <v>66</v>
      </c>
      <c r="I192" s="8"/>
      <c r="J192" s="8"/>
      <c r="K192" s="8"/>
      <c r="L192" s="8" t="s">
        <v>514</v>
      </c>
      <c r="M192" s="23" t="n">
        <v>129500</v>
      </c>
      <c r="N192" s="23" t="n">
        <v>14504</v>
      </c>
      <c r="O192" s="23" t="n">
        <v>14594.72</v>
      </c>
      <c r="P192" s="24" t="n">
        <v>479.0471042</v>
      </c>
      <c r="Q192" s="24" t="n">
        <v>552.145646966667</v>
      </c>
      <c r="R192" s="24" t="n">
        <v>479.0471042</v>
      </c>
      <c r="S192" s="25" t="n">
        <v>0.033028619980695</v>
      </c>
      <c r="T192" s="26" t="n">
        <v>1.26228781675931</v>
      </c>
      <c r="U192" s="23" t="n">
        <v>3</v>
      </c>
      <c r="V192" s="26" t="n">
        <v>-0.04</v>
      </c>
      <c r="W192" s="26" t="n">
        <v>-0.0473508680141404</v>
      </c>
      <c r="X192" s="26" t="n">
        <v>-0.100771625432088</v>
      </c>
      <c r="Y192" s="26" t="n">
        <v>0.233185627141539</v>
      </c>
      <c r="Z192" s="26" t="n">
        <v>1.3671603058497</v>
      </c>
      <c r="AA192" s="26" t="n">
        <v>1.99393605464531</v>
      </c>
      <c r="AB192" s="26" t="n">
        <v>-0.46934251284782</v>
      </c>
      <c r="AC192" s="27" t="n">
        <v>0.367575681860915</v>
      </c>
      <c r="AD192" s="28" t="n">
        <f aca="false">Params!$B$6*Params!$B$7*$R192</f>
        <v>287.42826252</v>
      </c>
      <c r="AE192" s="29" t="n">
        <f aca="false">MIN(Params!$B$9,AD192/Params!$B$4)</f>
        <v>0.06</v>
      </c>
      <c r="AF192" s="29" t="n">
        <f aca="false">MIN(Params!$B$9,AD192/Params!$B$5)</f>
        <v>0.06</v>
      </c>
      <c r="AG192" s="28" t="n">
        <f aca="false">IF($R192&gt;0,Params!$B$9*Params!$B$4/(Params!$B$6*$R192),"n/a")</f>
        <v>0.313121608887496</v>
      </c>
      <c r="AH192" s="28" t="n">
        <f aca="false">IF($R192&gt;0,Params!$B$9*Params!$B$5/(Params!$B$6*$R192),"n/a")</f>
        <v>0.626243217774992</v>
      </c>
      <c r="AI192" s="28" t="n">
        <f aca="false">IF($R192&gt;0,Params!$B$15*Params!$B$4/(Params!$B$6*$R192),"n/a")</f>
        <v>0.104373869629165</v>
      </c>
      <c r="AJ192" s="29" t="n">
        <f aca="false">MIN(Params!$B$9,AD192*Params!$B$8/Params!$B$4)</f>
        <v>0.06</v>
      </c>
      <c r="AK192" s="28" t="n">
        <f aca="false">IF($R192&gt;0,Params!$B$9*Params!$B$4/(Params!$B$6*$R192*Params!$B$8),"n/a")</f>
        <v>0.626243217774992</v>
      </c>
      <c r="AL192" s="27" t="str">
        <f aca="false">IFERROR(ciq($D192,"IQ_PE_EXCL"),"")</f>
        <v/>
      </c>
      <c r="AM192" s="27" t="str">
        <f aca="false">IFERROR(ciq($D192,"IQ_PE_EXCL_FWD_CIQ"),"")</f>
        <v/>
      </c>
      <c r="AN192" s="27" t="str">
        <f aca="false">IFERROR(ciq($D192,"IQ_PBV"),"")</f>
        <v/>
      </c>
      <c r="AO192" s="27" t="str">
        <f aca="false">IFERROR(ciq($D192,"IQ_TEV_EBITDA"),"")</f>
        <v/>
      </c>
      <c r="AP192" s="24" t="str">
        <f aca="false">IFERROR(ciq($D192,"IQ_RETURN_EQUITY"),"")</f>
        <v/>
      </c>
      <c r="AQ192" s="24" t="str">
        <f aca="false">IFERROR(ciq($D192,"IQ_RETURN_CAPITAL"),"")</f>
        <v/>
      </c>
      <c r="AR192" s="24" t="str">
        <f aca="false">IFERROR(ciq($D192,"IQ_TOTAL_REV_1YR_ANN_GROWTH"),"")</f>
        <v/>
      </c>
      <c r="AS192" s="24" t="str">
        <f aca="false">IFERROR(ciq($D192,"IQ_EPS_1YR_ANN_GROWTH"),"")</f>
        <v/>
      </c>
      <c r="AT192" s="24" t="str">
        <f aca="false">IFERROR(ciq($D192,"IQ_DIVIDEND_YIELD"),"")</f>
        <v/>
      </c>
      <c r="AU192" s="24" t="str">
        <f aca="false">IFERROR(ciq($D192,"IQ_NET_DEBT"),"")</f>
        <v/>
      </c>
    </row>
    <row r="193" customFormat="false" ht="15" hidden="false" customHeight="false" outlineLevel="0" collapsed="false">
      <c r="A193" s="8" t="s">
        <v>1204</v>
      </c>
      <c r="B193" s="6" t="s">
        <v>1205</v>
      </c>
      <c r="C193" s="8" t="s">
        <v>74</v>
      </c>
      <c r="D193" s="8" t="s">
        <v>1206</v>
      </c>
      <c r="E193" s="8" t="s">
        <v>1207</v>
      </c>
      <c r="F193" s="6" t="s">
        <v>1208</v>
      </c>
      <c r="G193" s="8" t="s">
        <v>55</v>
      </c>
      <c r="H193" s="8" t="s">
        <v>66</v>
      </c>
      <c r="I193" s="8"/>
      <c r="J193" s="8"/>
      <c r="K193" s="8"/>
      <c r="L193" s="8" t="s">
        <v>115</v>
      </c>
      <c r="M193" s="23" t="n">
        <v>74900</v>
      </c>
      <c r="N193" s="23" t="n">
        <v>14476.101262</v>
      </c>
      <c r="O193" s="23" t="n">
        <v>14990.2057928</v>
      </c>
      <c r="P193" s="24" t="n">
        <v>200.9763777</v>
      </c>
      <c r="Q193" s="24" t="n">
        <v>309.414936183333</v>
      </c>
      <c r="R193" s="24" t="n">
        <v>200.9763777</v>
      </c>
      <c r="S193" s="25" t="n">
        <v>0.0138833221778827</v>
      </c>
      <c r="T193" s="26" t="n">
        <v>1.22525086516039</v>
      </c>
      <c r="U193" s="23" t="n">
        <v>4</v>
      </c>
      <c r="V193" s="26" t="n">
        <v>-0.04</v>
      </c>
      <c r="W193" s="26" t="n">
        <v>0.0841606163139679</v>
      </c>
      <c r="X193" s="26" t="n">
        <v>-0.401898911001287</v>
      </c>
      <c r="Y193" s="26" t="n">
        <v>0.165633921737205</v>
      </c>
      <c r="Z193" s="26" t="n">
        <v>0.408591462576118</v>
      </c>
      <c r="AA193" s="26" t="n">
        <v>1.08120460137376</v>
      </c>
      <c r="AB193" s="26" t="n">
        <v>-0.605704570795968</v>
      </c>
      <c r="AC193" s="27" t="n">
        <v>0.455140591763614</v>
      </c>
      <c r="AD193" s="28" t="n">
        <f aca="false">Params!$B$6*Params!$B$7*$R193</f>
        <v>120.58582662</v>
      </c>
      <c r="AE193" s="29" t="n">
        <f aca="false">MIN(Params!$B$9,AD193/Params!$B$4)</f>
        <v>0.06</v>
      </c>
      <c r="AF193" s="29" t="n">
        <f aca="false">MIN(Params!$B$9,AD193/Params!$B$5)</f>
        <v>0.06</v>
      </c>
      <c r="AG193" s="28" t="n">
        <f aca="false">IF($R193&gt;0,Params!$B$9*Params!$B$4/(Params!$B$6*$R193),"n/a")</f>
        <v>0.746356371413495</v>
      </c>
      <c r="AH193" s="28" t="n">
        <f aca="false">IF($R193&gt;0,Params!$B$9*Params!$B$5/(Params!$B$6*$R193),"n/a")</f>
        <v>1.49271274282699</v>
      </c>
      <c r="AI193" s="28" t="n">
        <f aca="false">IF($R193&gt;0,Params!$B$15*Params!$B$4/(Params!$B$6*$R193),"n/a")</f>
        <v>0.248785457137832</v>
      </c>
      <c r="AJ193" s="29" t="n">
        <f aca="false">MIN(Params!$B$9,AD193*Params!$B$8/Params!$B$4)</f>
        <v>0.06</v>
      </c>
      <c r="AK193" s="28" t="n">
        <f aca="false">IF($R193&gt;0,Params!$B$9*Params!$B$4/(Params!$B$6*$R193*Params!$B$8),"n/a")</f>
        <v>1.49271274282699</v>
      </c>
      <c r="AL193" s="27" t="str">
        <f aca="false">IFERROR(ciq($D193,"IQ_PE_EXCL"),"")</f>
        <v/>
      </c>
      <c r="AM193" s="27" t="str">
        <f aca="false">IFERROR(ciq($D193,"IQ_PE_EXCL_FWD_CIQ"),"")</f>
        <v/>
      </c>
      <c r="AN193" s="27" t="str">
        <f aca="false">IFERROR(ciq($D193,"IQ_PBV"),"")</f>
        <v/>
      </c>
      <c r="AO193" s="27" t="str">
        <f aca="false">IFERROR(ciq($D193,"IQ_TEV_EBITDA"),"")</f>
        <v/>
      </c>
      <c r="AP193" s="24" t="str">
        <f aca="false">IFERROR(ciq($D193,"IQ_RETURN_EQUITY"),"")</f>
        <v/>
      </c>
      <c r="AQ193" s="24" t="str">
        <f aca="false">IFERROR(ciq($D193,"IQ_RETURN_CAPITAL"),"")</f>
        <v/>
      </c>
      <c r="AR193" s="24" t="str">
        <f aca="false">IFERROR(ciq($D193,"IQ_TOTAL_REV_1YR_ANN_GROWTH"),"")</f>
        <v/>
      </c>
      <c r="AS193" s="24" t="str">
        <f aca="false">IFERROR(ciq($D193,"IQ_EPS_1YR_ANN_GROWTH"),"")</f>
        <v/>
      </c>
      <c r="AT193" s="24" t="str">
        <f aca="false">IFERROR(ciq($D193,"IQ_DIVIDEND_YIELD"),"")</f>
        <v/>
      </c>
      <c r="AU193" s="24" t="str">
        <f aca="false">IFERROR(ciq($D193,"IQ_NET_DEBT"),"")</f>
        <v/>
      </c>
    </row>
    <row r="194" customFormat="false" ht="15" hidden="false" customHeight="false" outlineLevel="0" collapsed="false">
      <c r="A194" s="8" t="s">
        <v>1209</v>
      </c>
      <c r="B194" s="6" t="s">
        <v>1210</v>
      </c>
      <c r="C194" s="8" t="s">
        <v>73</v>
      </c>
      <c r="D194" s="8" t="s">
        <v>1211</v>
      </c>
      <c r="E194" s="8" t="s">
        <v>1212</v>
      </c>
      <c r="F194" s="6" t="s">
        <v>533</v>
      </c>
      <c r="G194" s="8" t="s">
        <v>55</v>
      </c>
      <c r="H194" s="8" t="s">
        <v>66</v>
      </c>
      <c r="I194" s="8"/>
      <c r="J194" s="8"/>
      <c r="K194" s="8"/>
      <c r="L194" s="8" t="s">
        <v>115</v>
      </c>
      <c r="M194" s="23" t="n">
        <v>16910</v>
      </c>
      <c r="N194" s="23" t="n">
        <v>14368.454056</v>
      </c>
      <c r="O194" s="23" t="n">
        <v>17519.1475888</v>
      </c>
      <c r="P194" s="24" t="n">
        <v>699.02573453</v>
      </c>
      <c r="Q194" s="24" t="n">
        <v>604.4584699375</v>
      </c>
      <c r="R194" s="24" t="n">
        <v>604.4584699375</v>
      </c>
      <c r="S194" s="25" t="n">
        <v>0.0486500309501355</v>
      </c>
      <c r="T194" s="26" t="n">
        <v>1.66229470718204</v>
      </c>
      <c r="U194" s="23" t="n">
        <v>8</v>
      </c>
      <c r="V194" s="26" t="n">
        <v>-0.04</v>
      </c>
      <c r="W194" s="26" t="n">
        <v>-0.0938197233269595</v>
      </c>
      <c r="X194" s="26" t="n">
        <v>-0.835650954462817</v>
      </c>
      <c r="Y194" s="26" t="n">
        <v>-0.828875792448982</v>
      </c>
      <c r="Z194" s="26" t="n">
        <v>-0.787597781322896</v>
      </c>
      <c r="AA194" s="26" t="n">
        <v>-0.539928174087816</v>
      </c>
      <c r="AB194" s="26" t="n">
        <v>-0.878184830367965</v>
      </c>
      <c r="AC194" s="27" t="n">
        <v>1.15861316284363</v>
      </c>
      <c r="AD194" s="28" t="n">
        <f aca="false">Params!$B$6*Params!$B$7*$R194</f>
        <v>362.6750819625</v>
      </c>
      <c r="AE194" s="29" t="n">
        <f aca="false">MIN(Params!$B$9,AD194/Params!$B$4)</f>
        <v>0.06</v>
      </c>
      <c r="AF194" s="29" t="n">
        <f aca="false">MIN(Params!$B$9,AD194/Params!$B$5)</f>
        <v>0.06</v>
      </c>
      <c r="AG194" s="28" t="n">
        <f aca="false">IF($R194&gt;0,Params!$B$9*Params!$B$4/(Params!$B$6*$R194),"n/a")</f>
        <v>0.248156006508619</v>
      </c>
      <c r="AH194" s="28" t="n">
        <f aca="false">IF($R194&gt;0,Params!$B$9*Params!$B$5/(Params!$B$6*$R194),"n/a")</f>
        <v>0.496312013017238</v>
      </c>
      <c r="AI194" s="28" t="n">
        <f aca="false">IF($R194&gt;0,Params!$B$15*Params!$B$4/(Params!$B$6*$R194),"n/a")</f>
        <v>0.0827186688362063</v>
      </c>
      <c r="AJ194" s="29" t="n">
        <f aca="false">MIN(Params!$B$9,AD194*Params!$B$8/Params!$B$4)</f>
        <v>0.06</v>
      </c>
      <c r="AK194" s="28" t="n">
        <f aca="false">IF($R194&gt;0,Params!$B$9*Params!$B$4/(Params!$B$6*$R194*Params!$B$8),"n/a")</f>
        <v>0.496312013017238</v>
      </c>
      <c r="AL194" s="27" t="str">
        <f aca="false">IFERROR(ciq($D194,"IQ_PE_EXCL"),"")</f>
        <v/>
      </c>
      <c r="AM194" s="27" t="str">
        <f aca="false">IFERROR(ciq($D194,"IQ_PE_EXCL_FWD_CIQ"),"")</f>
        <v/>
      </c>
      <c r="AN194" s="27" t="str">
        <f aca="false">IFERROR(ciq($D194,"IQ_PBV"),"")</f>
        <v/>
      </c>
      <c r="AO194" s="27" t="str">
        <f aca="false">IFERROR(ciq($D194,"IQ_TEV_EBITDA"),"")</f>
        <v/>
      </c>
      <c r="AP194" s="24" t="str">
        <f aca="false">IFERROR(ciq($D194,"IQ_RETURN_EQUITY"),"")</f>
        <v/>
      </c>
      <c r="AQ194" s="24" t="str">
        <f aca="false">IFERROR(ciq($D194,"IQ_RETURN_CAPITAL"),"")</f>
        <v/>
      </c>
      <c r="AR194" s="24" t="str">
        <f aca="false">IFERROR(ciq($D194,"IQ_TOTAL_REV_1YR_ANN_GROWTH"),"")</f>
        <v/>
      </c>
      <c r="AS194" s="24" t="str">
        <f aca="false">IFERROR(ciq($D194,"IQ_EPS_1YR_ANN_GROWTH"),"")</f>
        <v/>
      </c>
      <c r="AT194" s="24" t="str">
        <f aca="false">IFERROR(ciq($D194,"IQ_DIVIDEND_YIELD"),"")</f>
        <v/>
      </c>
      <c r="AU194" s="24" t="str">
        <f aca="false">IFERROR(ciq($D194,"IQ_NET_DEBT"),"")</f>
        <v/>
      </c>
    </row>
    <row r="195" customFormat="false" ht="15" hidden="false" customHeight="false" outlineLevel="0" collapsed="false">
      <c r="A195" s="8" t="s">
        <v>283</v>
      </c>
      <c r="B195" s="6" t="s">
        <v>284</v>
      </c>
      <c r="C195" s="8" t="s">
        <v>72</v>
      </c>
      <c r="D195" s="8" t="s">
        <v>1213</v>
      </c>
      <c r="E195" s="8" t="s">
        <v>1214</v>
      </c>
      <c r="F195" s="8"/>
      <c r="G195" s="8" t="s">
        <v>55</v>
      </c>
      <c r="H195" s="8" t="s">
        <v>66</v>
      </c>
      <c r="I195" s="8" t="s">
        <v>508</v>
      </c>
      <c r="J195" s="6" t="s">
        <v>109</v>
      </c>
      <c r="K195" s="6" t="s">
        <v>285</v>
      </c>
      <c r="L195" s="8" t="s">
        <v>286</v>
      </c>
      <c r="M195" s="23" t="n">
        <v>494000</v>
      </c>
      <c r="N195" s="23" t="n">
        <v>14360.50096</v>
      </c>
      <c r="O195" s="23" t="n">
        <v>14117.04105</v>
      </c>
      <c r="P195" s="24" t="n">
        <v>181.173613125</v>
      </c>
      <c r="Q195" s="24" t="n">
        <v>524.831942875</v>
      </c>
      <c r="R195" s="24" t="n">
        <v>181.173613125</v>
      </c>
      <c r="S195" s="25" t="n">
        <v>0.0126161067521004</v>
      </c>
      <c r="T195" s="26" t="n">
        <v>1.34087305177748</v>
      </c>
      <c r="U195" s="23" t="n">
        <v>2</v>
      </c>
      <c r="V195" s="26" t="n">
        <v>-0.04</v>
      </c>
      <c r="W195" s="26" t="n">
        <v>0.0454281418541866</v>
      </c>
      <c r="X195" s="26" t="n">
        <v>-0.231770030680181</v>
      </c>
      <c r="Y195" s="26" t="n">
        <v>2.00531210420161</v>
      </c>
      <c r="Z195" s="26" t="n">
        <v>3.26039005095925</v>
      </c>
      <c r="AA195" s="26" t="n">
        <v>5.93288699894405</v>
      </c>
      <c r="AB195" s="26" t="n">
        <v>-0.482235385174851</v>
      </c>
      <c r="AC195" s="27" t="n">
        <v>0.462916408067887</v>
      </c>
      <c r="AD195" s="28" t="n">
        <f aca="false">Params!$B$6*Params!$B$7*$R195</f>
        <v>108.704167875</v>
      </c>
      <c r="AE195" s="29" t="n">
        <f aca="false">MIN(Params!$B$9,AD195/Params!$B$4)</f>
        <v>0.06</v>
      </c>
      <c r="AF195" s="29" t="n">
        <f aca="false">MIN(Params!$B$9,AD195/Params!$B$5)</f>
        <v>0.06</v>
      </c>
      <c r="AG195" s="28" t="n">
        <f aca="false">IF($R195&gt;0,Params!$B$9*Params!$B$4/(Params!$B$6*$R195),"n/a")</f>
        <v>0.827935135877144</v>
      </c>
      <c r="AH195" s="28" t="n">
        <f aca="false">IF($R195&gt;0,Params!$B$9*Params!$B$5/(Params!$B$6*$R195),"n/a")</f>
        <v>1.65587027175429</v>
      </c>
      <c r="AI195" s="28" t="n">
        <f aca="false">IF($R195&gt;0,Params!$B$15*Params!$B$4/(Params!$B$6*$R195),"n/a")</f>
        <v>0.275978378625715</v>
      </c>
      <c r="AJ195" s="29" t="n">
        <f aca="false">MIN(Params!$B$9,AD195*Params!$B$8/Params!$B$4)</f>
        <v>0.06</v>
      </c>
      <c r="AK195" s="28" t="n">
        <f aca="false">IF($R195&gt;0,Params!$B$9*Params!$B$4/(Params!$B$6*$R195*Params!$B$8),"n/a")</f>
        <v>1.65587027175429</v>
      </c>
      <c r="AL195" s="27" t="str">
        <f aca="false">IFERROR(ciq($D195,"IQ_PE_EXCL"),"")</f>
        <v/>
      </c>
      <c r="AM195" s="27" t="str">
        <f aca="false">IFERROR(ciq($D195,"IQ_PE_EXCL_FWD_CIQ"),"")</f>
        <v/>
      </c>
      <c r="AN195" s="27" t="str">
        <f aca="false">IFERROR(ciq($D195,"IQ_PBV"),"")</f>
        <v/>
      </c>
      <c r="AO195" s="27" t="str">
        <f aca="false">IFERROR(ciq($D195,"IQ_TEV_EBITDA"),"")</f>
        <v/>
      </c>
      <c r="AP195" s="24" t="str">
        <f aca="false">IFERROR(ciq($D195,"IQ_RETURN_EQUITY"),"")</f>
        <v/>
      </c>
      <c r="AQ195" s="24" t="str">
        <f aca="false">IFERROR(ciq($D195,"IQ_RETURN_CAPITAL"),"")</f>
        <v/>
      </c>
      <c r="AR195" s="24" t="str">
        <f aca="false">IFERROR(ciq($D195,"IQ_TOTAL_REV_1YR_ANN_GROWTH"),"")</f>
        <v/>
      </c>
      <c r="AS195" s="24" t="str">
        <f aca="false">IFERROR(ciq($D195,"IQ_EPS_1YR_ANN_GROWTH"),"")</f>
        <v/>
      </c>
      <c r="AT195" s="24" t="str">
        <f aca="false">IFERROR(ciq($D195,"IQ_DIVIDEND_YIELD"),"")</f>
        <v/>
      </c>
      <c r="AU195" s="24" t="str">
        <f aca="false">IFERROR(ciq($D195,"IQ_NET_DEBT"),"")</f>
        <v/>
      </c>
    </row>
    <row r="196" customFormat="false" ht="15" hidden="false" customHeight="false" outlineLevel="0" collapsed="false">
      <c r="A196" s="8" t="s">
        <v>358</v>
      </c>
      <c r="B196" s="6" t="s">
        <v>359</v>
      </c>
      <c r="C196" s="8" t="s">
        <v>74</v>
      </c>
      <c r="D196" s="8" t="s">
        <v>1215</v>
      </c>
      <c r="E196" s="8" t="s">
        <v>1216</v>
      </c>
      <c r="F196" s="6" t="s">
        <v>721</v>
      </c>
      <c r="G196" s="8" t="s">
        <v>55</v>
      </c>
      <c r="H196" s="8" t="s">
        <v>66</v>
      </c>
      <c r="I196" s="8" t="s">
        <v>508</v>
      </c>
      <c r="J196" s="8"/>
      <c r="K196" s="8"/>
      <c r="L196" s="6" t="s">
        <v>360</v>
      </c>
      <c r="M196" s="23" t="n">
        <v>134200</v>
      </c>
      <c r="N196" s="23" t="n">
        <v>14332.56</v>
      </c>
      <c r="O196" s="23" t="n">
        <v>13713.12</v>
      </c>
      <c r="P196" s="24" t="n">
        <v>269.7435854</v>
      </c>
      <c r="Q196" s="24" t="n">
        <v>137.561175216667</v>
      </c>
      <c r="R196" s="24" t="n">
        <v>137.561175216667</v>
      </c>
      <c r="S196" s="25" t="n">
        <v>0.0188203353343715</v>
      </c>
      <c r="T196" s="26" t="n">
        <v>0.875396553530001</v>
      </c>
      <c r="U196" s="23" t="n">
        <v>1</v>
      </c>
      <c r="V196" s="26" t="n">
        <v>-0.06</v>
      </c>
      <c r="W196" s="26" t="n">
        <v>0.549924042803119</v>
      </c>
      <c r="X196" s="26" t="n">
        <v>0.939702763271134</v>
      </c>
      <c r="Y196" s="26" t="n">
        <v>0.883300976873813</v>
      </c>
      <c r="Z196" s="26" t="n">
        <v>1.0161969110811</v>
      </c>
      <c r="AA196" s="26" t="n">
        <v>1.1146310821962</v>
      </c>
      <c r="AB196" s="26" t="n">
        <v>-0.127914860360624</v>
      </c>
      <c r="AC196" s="27" t="n">
        <v>2.64938108155619</v>
      </c>
      <c r="AD196" s="28" t="n">
        <f aca="false">Params!$B$6*Params!$B$7*$R196</f>
        <v>82.53670513</v>
      </c>
      <c r="AE196" s="29" t="n">
        <f aca="false">MIN(Params!$B$9,AD196/Params!$B$4)</f>
        <v>0.06</v>
      </c>
      <c r="AF196" s="29" t="n">
        <f aca="false">MIN(Params!$B$9,AD196/Params!$B$5)</f>
        <v>0.06</v>
      </c>
      <c r="AG196" s="28" t="n">
        <f aca="false">IF($R196&gt;0,Params!$B$9*Params!$B$4/(Params!$B$6*$R196),"n/a")</f>
        <v>1.0904239496627</v>
      </c>
      <c r="AH196" s="28" t="n">
        <f aca="false">IF($R196&gt;0,Params!$B$9*Params!$B$5/(Params!$B$6*$R196),"n/a")</f>
        <v>2.18084789932539</v>
      </c>
      <c r="AI196" s="28" t="n">
        <f aca="false">IF($R196&gt;0,Params!$B$15*Params!$B$4/(Params!$B$6*$R196),"n/a")</f>
        <v>0.363474649887566</v>
      </c>
      <c r="AJ196" s="29" t="n">
        <f aca="false">MIN(Params!$B$9,AD196*Params!$B$8/Params!$B$4)</f>
        <v>0.06</v>
      </c>
      <c r="AK196" s="28" t="n">
        <f aca="false">IF($R196&gt;0,Params!$B$9*Params!$B$4/(Params!$B$6*$R196*Params!$B$8),"n/a")</f>
        <v>2.18084789932539</v>
      </c>
      <c r="AL196" s="27" t="str">
        <f aca="false">IFERROR(ciq($D196,"IQ_PE_EXCL"),"")</f>
        <v/>
      </c>
      <c r="AM196" s="27" t="str">
        <f aca="false">IFERROR(ciq($D196,"IQ_PE_EXCL_FWD_CIQ"),"")</f>
        <v/>
      </c>
      <c r="AN196" s="27" t="str">
        <f aca="false">IFERROR(ciq($D196,"IQ_PBV"),"")</f>
        <v/>
      </c>
      <c r="AO196" s="27" t="str">
        <f aca="false">IFERROR(ciq($D196,"IQ_TEV_EBITDA"),"")</f>
        <v/>
      </c>
      <c r="AP196" s="24" t="str">
        <f aca="false">IFERROR(ciq($D196,"IQ_RETURN_EQUITY"),"")</f>
        <v/>
      </c>
      <c r="AQ196" s="24" t="str">
        <f aca="false">IFERROR(ciq($D196,"IQ_RETURN_CAPITAL"),"")</f>
        <v/>
      </c>
      <c r="AR196" s="24" t="str">
        <f aca="false">IFERROR(ciq($D196,"IQ_TOTAL_REV_1YR_ANN_GROWTH"),"")</f>
        <v/>
      </c>
      <c r="AS196" s="24" t="str">
        <f aca="false">IFERROR(ciq($D196,"IQ_EPS_1YR_ANN_GROWTH"),"")</f>
        <v/>
      </c>
      <c r="AT196" s="24" t="str">
        <f aca="false">IFERROR(ciq($D196,"IQ_DIVIDEND_YIELD"),"")</f>
        <v/>
      </c>
      <c r="AU196" s="24" t="str">
        <f aca="false">IFERROR(ciq($D196,"IQ_NET_DEBT"),"")</f>
        <v/>
      </c>
    </row>
    <row r="197" customFormat="false" ht="15" hidden="false" customHeight="false" outlineLevel="0" collapsed="false">
      <c r="A197" s="8" t="s">
        <v>1217</v>
      </c>
      <c r="B197" s="8" t="s">
        <v>1218</v>
      </c>
      <c r="C197" s="8" t="s">
        <v>74</v>
      </c>
      <c r="D197" s="8" t="s">
        <v>1219</v>
      </c>
      <c r="E197" s="8" t="s">
        <v>1220</v>
      </c>
      <c r="F197" s="6" t="s">
        <v>1221</v>
      </c>
      <c r="G197" s="8" t="s">
        <v>55</v>
      </c>
      <c r="H197" s="8" t="s">
        <v>66</v>
      </c>
      <c r="I197" s="8"/>
      <c r="J197" s="8"/>
      <c r="K197" s="8"/>
      <c r="L197" s="8" t="s">
        <v>241</v>
      </c>
      <c r="M197" s="23" t="n">
        <v>38500</v>
      </c>
      <c r="N197" s="23" t="n">
        <v>13680.00942</v>
      </c>
      <c r="O197" s="23" t="n">
        <v>14734.4361201</v>
      </c>
      <c r="P197" s="24" t="n">
        <v>136.23889785</v>
      </c>
      <c r="Q197" s="24" t="n">
        <v>118.358229929167</v>
      </c>
      <c r="R197" s="24" t="n">
        <v>118.358229929167</v>
      </c>
      <c r="S197" s="25" t="n">
        <v>0.00995897690324836</v>
      </c>
      <c r="T197" s="26" t="n">
        <v>0.548491268227703</v>
      </c>
      <c r="U197" s="23" t="n">
        <v>0</v>
      </c>
      <c r="V197" s="26" t="n">
        <v>-0.06</v>
      </c>
      <c r="W197" s="26" t="n">
        <v>-0.16469396279927</v>
      </c>
      <c r="X197" s="26" t="n">
        <v>-0.280296916570097</v>
      </c>
      <c r="Y197" s="26" t="n">
        <v>-0.404995179559207</v>
      </c>
      <c r="Z197" s="26" t="n">
        <v>-0.469769734234695</v>
      </c>
      <c r="AA197" s="26" t="n">
        <v>-0.503308156700796</v>
      </c>
      <c r="AB197" s="26" t="n">
        <v>-0.547036877944147</v>
      </c>
      <c r="AC197" s="27" t="n">
        <v>1.14755552942042</v>
      </c>
      <c r="AD197" s="28" t="n">
        <f aca="false">Params!$B$6*Params!$B$7*$R197</f>
        <v>71.0149379575</v>
      </c>
      <c r="AE197" s="29" t="n">
        <f aca="false">MIN(Params!$B$9,AD197/Params!$B$4)</f>
        <v>0.06</v>
      </c>
      <c r="AF197" s="29" t="n">
        <f aca="false">MIN(Params!$B$9,AD197/Params!$B$5)</f>
        <v>0.06</v>
      </c>
      <c r="AG197" s="28" t="n">
        <f aca="false">IF($R197&gt;0,Params!$B$9*Params!$B$4/(Params!$B$6*$R197),"n/a")</f>
        <v>1.26733899357712</v>
      </c>
      <c r="AH197" s="28" t="n">
        <f aca="false">IF($R197&gt;0,Params!$B$9*Params!$B$5/(Params!$B$6*$R197),"n/a")</f>
        <v>2.53467798715425</v>
      </c>
      <c r="AI197" s="28" t="n">
        <f aca="false">IF($R197&gt;0,Params!$B$15*Params!$B$4/(Params!$B$6*$R197),"n/a")</f>
        <v>0.422446331192375</v>
      </c>
      <c r="AJ197" s="29" t="n">
        <f aca="false">MIN(Params!$B$9,AD197*Params!$B$8/Params!$B$4)</f>
        <v>0.06</v>
      </c>
      <c r="AK197" s="28" t="n">
        <f aca="false">IF($R197&gt;0,Params!$B$9*Params!$B$4/(Params!$B$6*$R197*Params!$B$8),"n/a")</f>
        <v>2.53467798715425</v>
      </c>
      <c r="AL197" s="27" t="str">
        <f aca="false">IFERROR(ciq($D197,"IQ_PE_EXCL"),"")</f>
        <v/>
      </c>
      <c r="AM197" s="27" t="str">
        <f aca="false">IFERROR(ciq($D197,"IQ_PE_EXCL_FWD_CIQ"),"")</f>
        <v/>
      </c>
      <c r="AN197" s="27" t="str">
        <f aca="false">IFERROR(ciq($D197,"IQ_PBV"),"")</f>
        <v/>
      </c>
      <c r="AO197" s="27" t="str">
        <f aca="false">IFERROR(ciq($D197,"IQ_TEV_EBITDA"),"")</f>
        <v/>
      </c>
      <c r="AP197" s="24" t="str">
        <f aca="false">IFERROR(ciq($D197,"IQ_RETURN_EQUITY"),"")</f>
        <v/>
      </c>
      <c r="AQ197" s="24" t="str">
        <f aca="false">IFERROR(ciq($D197,"IQ_RETURN_CAPITAL"),"")</f>
        <v/>
      </c>
      <c r="AR197" s="24" t="str">
        <f aca="false">IFERROR(ciq($D197,"IQ_TOTAL_REV_1YR_ANN_GROWTH"),"")</f>
        <v/>
      </c>
      <c r="AS197" s="24" t="str">
        <f aca="false">IFERROR(ciq($D197,"IQ_EPS_1YR_ANN_GROWTH"),"")</f>
        <v/>
      </c>
      <c r="AT197" s="24" t="str">
        <f aca="false">IFERROR(ciq($D197,"IQ_DIVIDEND_YIELD"),"")</f>
        <v/>
      </c>
      <c r="AU197" s="24" t="str">
        <f aca="false">IFERROR(ciq($D197,"IQ_NET_DEBT"),"")</f>
        <v/>
      </c>
    </row>
    <row r="198" customFormat="false" ht="15" hidden="false" customHeight="false" outlineLevel="0" collapsed="false">
      <c r="A198" s="8" t="s">
        <v>1222</v>
      </c>
      <c r="B198" s="6" t="s">
        <v>1223</v>
      </c>
      <c r="C198" s="8" t="s">
        <v>73</v>
      </c>
      <c r="D198" s="8" t="s">
        <v>1224</v>
      </c>
      <c r="E198" s="8" t="s">
        <v>1225</v>
      </c>
      <c r="F198" s="6" t="s">
        <v>627</v>
      </c>
      <c r="G198" s="8" t="s">
        <v>55</v>
      </c>
      <c r="H198" s="8" t="s">
        <v>66</v>
      </c>
      <c r="I198" s="8"/>
      <c r="J198" s="8"/>
      <c r="K198" s="8"/>
      <c r="L198" s="8" t="s">
        <v>115</v>
      </c>
      <c r="M198" s="23" t="n">
        <v>51900</v>
      </c>
      <c r="N198" s="23" t="n">
        <v>13663.591035</v>
      </c>
      <c r="O198" s="23" t="n">
        <v>16251.5120345</v>
      </c>
      <c r="P198" s="24" t="n">
        <v>324.87388475</v>
      </c>
      <c r="Q198" s="24" t="n">
        <v>614.668437358</v>
      </c>
      <c r="R198" s="24" t="n">
        <v>324.87388475</v>
      </c>
      <c r="S198" s="25" t="n">
        <v>0.0237766106961061</v>
      </c>
      <c r="T198" s="26" t="n">
        <v>1.3923356109156</v>
      </c>
      <c r="U198" s="23" t="n">
        <v>4</v>
      </c>
      <c r="V198" s="26" t="n">
        <v>-0.04</v>
      </c>
      <c r="W198" s="26" t="n">
        <v>-0.23903224328239</v>
      </c>
      <c r="X198" s="26" t="n">
        <v>-0.322501074813791</v>
      </c>
      <c r="Y198" s="26" t="n">
        <v>0.297339786026428</v>
      </c>
      <c r="Z198" s="26" t="n">
        <v>0.718586418245473</v>
      </c>
      <c r="AA198" s="26" t="n">
        <v>3.83229370830073</v>
      </c>
      <c r="AB198" s="26" t="n">
        <v>-0.566442539501616</v>
      </c>
      <c r="AC198" s="27" t="n">
        <v>0.735696657856916</v>
      </c>
      <c r="AD198" s="28" t="n">
        <f aca="false">Params!$B$6*Params!$B$7*$R198</f>
        <v>194.92433085</v>
      </c>
      <c r="AE198" s="29" t="n">
        <f aca="false">MIN(Params!$B$9,AD198/Params!$B$4)</f>
        <v>0.06</v>
      </c>
      <c r="AF198" s="29" t="n">
        <f aca="false">MIN(Params!$B$9,AD198/Params!$B$5)</f>
        <v>0.06</v>
      </c>
      <c r="AG198" s="28" t="n">
        <f aca="false">IF($R198&gt;0,Params!$B$9*Params!$B$4/(Params!$B$6*$R198),"n/a")</f>
        <v>0.461717629643975</v>
      </c>
      <c r="AH198" s="28" t="n">
        <f aca="false">IF($R198&gt;0,Params!$B$9*Params!$B$5/(Params!$B$6*$R198),"n/a")</f>
        <v>0.92343525928795</v>
      </c>
      <c r="AI198" s="28" t="n">
        <f aca="false">IF($R198&gt;0,Params!$B$15*Params!$B$4/(Params!$B$6*$R198),"n/a")</f>
        <v>0.153905876547992</v>
      </c>
      <c r="AJ198" s="29" t="n">
        <f aca="false">MIN(Params!$B$9,AD198*Params!$B$8/Params!$B$4)</f>
        <v>0.06</v>
      </c>
      <c r="AK198" s="28" t="n">
        <f aca="false">IF($R198&gt;0,Params!$B$9*Params!$B$4/(Params!$B$6*$R198*Params!$B$8),"n/a")</f>
        <v>0.92343525928795</v>
      </c>
      <c r="AL198" s="27" t="str">
        <f aca="false">IFERROR(ciq($D198,"IQ_PE_EXCL"),"")</f>
        <v/>
      </c>
      <c r="AM198" s="27" t="str">
        <f aca="false">IFERROR(ciq($D198,"IQ_PE_EXCL_FWD_CIQ"),"")</f>
        <v/>
      </c>
      <c r="AN198" s="27" t="str">
        <f aca="false">IFERROR(ciq($D198,"IQ_PBV"),"")</f>
        <v/>
      </c>
      <c r="AO198" s="27" t="str">
        <f aca="false">IFERROR(ciq($D198,"IQ_TEV_EBITDA"),"")</f>
        <v/>
      </c>
      <c r="AP198" s="24" t="str">
        <f aca="false">IFERROR(ciq($D198,"IQ_RETURN_EQUITY"),"")</f>
        <v/>
      </c>
      <c r="AQ198" s="24" t="str">
        <f aca="false">IFERROR(ciq($D198,"IQ_RETURN_CAPITAL"),"")</f>
        <v/>
      </c>
      <c r="AR198" s="24" t="str">
        <f aca="false">IFERROR(ciq($D198,"IQ_TOTAL_REV_1YR_ANN_GROWTH"),"")</f>
        <v/>
      </c>
      <c r="AS198" s="24" t="str">
        <f aca="false">IFERROR(ciq($D198,"IQ_EPS_1YR_ANN_GROWTH"),"")</f>
        <v/>
      </c>
      <c r="AT198" s="24" t="str">
        <f aca="false">IFERROR(ciq($D198,"IQ_DIVIDEND_YIELD"),"")</f>
        <v/>
      </c>
      <c r="AU198" s="24" t="str">
        <f aca="false">IFERROR(ciq($D198,"IQ_NET_DEBT"),"")</f>
        <v/>
      </c>
    </row>
    <row r="199" customFormat="false" ht="15" hidden="false" customHeight="false" outlineLevel="0" collapsed="false">
      <c r="A199" s="8" t="s">
        <v>1226</v>
      </c>
      <c r="B199" s="6" t="s">
        <v>1227</v>
      </c>
      <c r="C199" s="8" t="s">
        <v>73</v>
      </c>
      <c r="D199" s="8" t="s">
        <v>1228</v>
      </c>
      <c r="E199" s="8" t="s">
        <v>1229</v>
      </c>
      <c r="F199" s="6" t="s">
        <v>536</v>
      </c>
      <c r="G199" s="8" t="s">
        <v>55</v>
      </c>
      <c r="H199" s="8" t="s">
        <v>66</v>
      </c>
      <c r="I199" s="8"/>
      <c r="J199" s="8"/>
      <c r="K199" s="8"/>
      <c r="L199" s="8" t="s">
        <v>241</v>
      </c>
      <c r="M199" s="23" t="n">
        <v>17320</v>
      </c>
      <c r="N199" s="23" t="n">
        <v>13377.6183092</v>
      </c>
      <c r="O199" s="23" t="n">
        <v>15040.55204013</v>
      </c>
      <c r="P199" s="24" t="n">
        <v>236.30305945</v>
      </c>
      <c r="Q199" s="24" t="n">
        <v>227.010700511667</v>
      </c>
      <c r="R199" s="24" t="n">
        <v>227.010700511667</v>
      </c>
      <c r="S199" s="25" t="n">
        <v>0.0176640605217067</v>
      </c>
      <c r="T199" s="26" t="n">
        <v>1.19758734207502</v>
      </c>
      <c r="U199" s="23" t="n">
        <v>1</v>
      </c>
      <c r="V199" s="26" t="n">
        <v>-0.06</v>
      </c>
      <c r="W199" s="26" t="n">
        <v>-0.171419927148938</v>
      </c>
      <c r="X199" s="26" t="n">
        <v>-0.309986054439166</v>
      </c>
      <c r="Y199" s="26" t="n">
        <v>-0.464637553235454</v>
      </c>
      <c r="Z199" s="26" t="n">
        <v>-0.644263098880644</v>
      </c>
      <c r="AA199" s="26" t="n">
        <v>1.67677379631707</v>
      </c>
      <c r="AB199" s="26" t="n">
        <v>-0.644263098880644</v>
      </c>
      <c r="AC199" s="27" t="n">
        <v>0.74926842436206</v>
      </c>
      <c r="AD199" s="28" t="n">
        <f aca="false">Params!$B$6*Params!$B$7*$R199</f>
        <v>136.206420307</v>
      </c>
      <c r="AE199" s="29" t="n">
        <f aca="false">MIN(Params!$B$9,AD199/Params!$B$4)</f>
        <v>0.06</v>
      </c>
      <c r="AF199" s="29" t="n">
        <f aca="false">MIN(Params!$B$9,AD199/Params!$B$5)</f>
        <v>0.06</v>
      </c>
      <c r="AG199" s="28" t="n">
        <f aca="false">IF($R199&gt;0,Params!$B$9*Params!$B$4/(Params!$B$6*$R199),"n/a")</f>
        <v>0.660761804011486</v>
      </c>
      <c r="AH199" s="28" t="n">
        <f aca="false">IF($R199&gt;0,Params!$B$9*Params!$B$5/(Params!$B$6*$R199),"n/a")</f>
        <v>1.32152360802297</v>
      </c>
      <c r="AI199" s="28" t="n">
        <f aca="false">IF($R199&gt;0,Params!$B$15*Params!$B$4/(Params!$B$6*$R199),"n/a")</f>
        <v>0.220253934670495</v>
      </c>
      <c r="AJ199" s="29" t="n">
        <f aca="false">MIN(Params!$B$9,AD199*Params!$B$8/Params!$B$4)</f>
        <v>0.06</v>
      </c>
      <c r="AK199" s="28" t="n">
        <f aca="false">IF($R199&gt;0,Params!$B$9*Params!$B$4/(Params!$B$6*$R199*Params!$B$8),"n/a")</f>
        <v>1.32152360802297</v>
      </c>
      <c r="AL199" s="27" t="str">
        <f aca="false">IFERROR(ciq($D199,"IQ_PE_EXCL"),"")</f>
        <v/>
      </c>
      <c r="AM199" s="27" t="str">
        <f aca="false">IFERROR(ciq($D199,"IQ_PE_EXCL_FWD_CIQ"),"")</f>
        <v/>
      </c>
      <c r="AN199" s="27" t="str">
        <f aca="false">IFERROR(ciq($D199,"IQ_PBV"),"")</f>
        <v/>
      </c>
      <c r="AO199" s="27" t="str">
        <f aca="false">IFERROR(ciq($D199,"IQ_TEV_EBITDA"),"")</f>
        <v/>
      </c>
      <c r="AP199" s="24" t="str">
        <f aca="false">IFERROR(ciq($D199,"IQ_RETURN_EQUITY"),"")</f>
        <v/>
      </c>
      <c r="AQ199" s="24" t="str">
        <f aca="false">IFERROR(ciq($D199,"IQ_RETURN_CAPITAL"),"")</f>
        <v/>
      </c>
      <c r="AR199" s="24" t="str">
        <f aca="false">IFERROR(ciq($D199,"IQ_TOTAL_REV_1YR_ANN_GROWTH"),"")</f>
        <v/>
      </c>
      <c r="AS199" s="24" t="str">
        <f aca="false">IFERROR(ciq($D199,"IQ_EPS_1YR_ANN_GROWTH"),"")</f>
        <v/>
      </c>
      <c r="AT199" s="24" t="str">
        <f aca="false">IFERROR(ciq($D199,"IQ_DIVIDEND_YIELD"),"")</f>
        <v/>
      </c>
      <c r="AU199" s="24" t="str">
        <f aca="false">IFERROR(ciq($D199,"IQ_NET_DEBT"),"")</f>
        <v/>
      </c>
    </row>
    <row r="200" customFormat="false" ht="15" hidden="false" customHeight="false" outlineLevel="0" collapsed="false">
      <c r="A200" s="8" t="s">
        <v>1230</v>
      </c>
      <c r="B200" s="6" t="s">
        <v>1231</v>
      </c>
      <c r="C200" s="8" t="s">
        <v>73</v>
      </c>
      <c r="D200" s="8" t="s">
        <v>1232</v>
      </c>
      <c r="E200" s="8" t="s">
        <v>1233</v>
      </c>
      <c r="F200" s="8"/>
      <c r="G200" s="8" t="s">
        <v>55</v>
      </c>
      <c r="H200" s="8" t="s">
        <v>66</v>
      </c>
      <c r="I200" s="8"/>
      <c r="J200" s="8"/>
      <c r="K200" s="8"/>
      <c r="L200" s="8" t="s">
        <v>115</v>
      </c>
      <c r="M200" s="23" t="n">
        <v>43450</v>
      </c>
      <c r="N200" s="23" t="n">
        <v>13268.75231</v>
      </c>
      <c r="O200" s="23" t="n">
        <v>14775.801623</v>
      </c>
      <c r="P200" s="24" t="n">
        <v>128.520712675</v>
      </c>
      <c r="Q200" s="24" t="n">
        <v>126.84560905</v>
      </c>
      <c r="R200" s="24" t="n">
        <v>126.84560905</v>
      </c>
      <c r="S200" s="25" t="n">
        <v>0.00968596818090728</v>
      </c>
      <c r="T200" s="26" t="n">
        <v>1.34538137696771</v>
      </c>
      <c r="U200" s="23" t="n">
        <v>3</v>
      </c>
      <c r="V200" s="26" t="n">
        <v>-0.04</v>
      </c>
      <c r="W200" s="26" t="n">
        <v>-0.0301560362957075</v>
      </c>
      <c r="X200" s="26" t="n">
        <v>-0.146388093393194</v>
      </c>
      <c r="Y200" s="26" t="n">
        <v>-0.435082765907502</v>
      </c>
      <c r="Z200" s="26" t="n">
        <v>-0.023707857070175</v>
      </c>
      <c r="AA200" s="26" t="n">
        <v>0.453878813599783</v>
      </c>
      <c r="AB200" s="26" t="n">
        <v>-0.515704423707143</v>
      </c>
      <c r="AC200" s="27" t="n">
        <v>0.630787607994103</v>
      </c>
      <c r="AD200" s="28" t="n">
        <f aca="false">Params!$B$6*Params!$B$7*$R200</f>
        <v>76.10736543</v>
      </c>
      <c r="AE200" s="29" t="n">
        <f aca="false">MIN(Params!$B$9,AD200/Params!$B$4)</f>
        <v>0.06</v>
      </c>
      <c r="AF200" s="29" t="n">
        <f aca="false">MIN(Params!$B$9,AD200/Params!$B$5)</f>
        <v>0.06</v>
      </c>
      <c r="AG200" s="28" t="n">
        <f aca="false">IF($R200&gt;0,Params!$B$9*Params!$B$4/(Params!$B$6*$R200),"n/a")</f>
        <v>1.18253994855173</v>
      </c>
      <c r="AH200" s="28" t="n">
        <f aca="false">IF($R200&gt;0,Params!$B$9*Params!$B$5/(Params!$B$6*$R200),"n/a")</f>
        <v>2.36507989710346</v>
      </c>
      <c r="AI200" s="28" t="n">
        <f aca="false">IF($R200&gt;0,Params!$B$15*Params!$B$4/(Params!$B$6*$R200),"n/a")</f>
        <v>0.394179982850577</v>
      </c>
      <c r="AJ200" s="29" t="n">
        <f aca="false">MIN(Params!$B$9,AD200*Params!$B$8/Params!$B$4)</f>
        <v>0.06</v>
      </c>
      <c r="AK200" s="28" t="n">
        <f aca="false">IF($R200&gt;0,Params!$B$9*Params!$B$4/(Params!$B$6*$R200*Params!$B$8),"n/a")</f>
        <v>2.36507989710346</v>
      </c>
      <c r="AL200" s="27" t="str">
        <f aca="false">IFERROR(ciq($D200,"IQ_PE_EXCL"),"")</f>
        <v/>
      </c>
      <c r="AM200" s="27" t="str">
        <f aca="false">IFERROR(ciq($D200,"IQ_PE_EXCL_FWD_CIQ"),"")</f>
        <v/>
      </c>
      <c r="AN200" s="27" t="str">
        <f aca="false">IFERROR(ciq($D200,"IQ_PBV"),"")</f>
        <v/>
      </c>
      <c r="AO200" s="27" t="str">
        <f aca="false">IFERROR(ciq($D200,"IQ_TEV_EBITDA"),"")</f>
        <v/>
      </c>
      <c r="AP200" s="24" t="str">
        <f aca="false">IFERROR(ciq($D200,"IQ_RETURN_EQUITY"),"")</f>
        <v/>
      </c>
      <c r="AQ200" s="24" t="str">
        <f aca="false">IFERROR(ciq($D200,"IQ_RETURN_CAPITAL"),"")</f>
        <v/>
      </c>
      <c r="AR200" s="24" t="str">
        <f aca="false">IFERROR(ciq($D200,"IQ_TOTAL_REV_1YR_ANN_GROWTH"),"")</f>
        <v/>
      </c>
      <c r="AS200" s="24" t="str">
        <f aca="false">IFERROR(ciq($D200,"IQ_EPS_1YR_ANN_GROWTH"),"")</f>
        <v/>
      </c>
      <c r="AT200" s="24" t="str">
        <f aca="false">IFERROR(ciq($D200,"IQ_DIVIDEND_YIELD"),"")</f>
        <v/>
      </c>
      <c r="AU200" s="24" t="str">
        <f aca="false">IFERROR(ciq($D200,"IQ_NET_DEBT"),"")</f>
        <v/>
      </c>
    </row>
    <row r="201" customFormat="false" ht="15" hidden="false" customHeight="false" outlineLevel="0" collapsed="false">
      <c r="A201" s="8" t="s">
        <v>1234</v>
      </c>
      <c r="B201" s="6" t="s">
        <v>1235</v>
      </c>
      <c r="C201" s="8" t="s">
        <v>72</v>
      </c>
      <c r="D201" s="8" t="s">
        <v>1236</v>
      </c>
      <c r="E201" s="8" t="s">
        <v>1237</v>
      </c>
      <c r="F201" s="6" t="s">
        <v>619</v>
      </c>
      <c r="G201" s="8" t="s">
        <v>55</v>
      </c>
      <c r="H201" s="8" t="s">
        <v>66</v>
      </c>
      <c r="I201" s="8"/>
      <c r="J201" s="8"/>
      <c r="K201" s="8"/>
      <c r="L201" s="8" t="s">
        <v>514</v>
      </c>
      <c r="M201" s="23" t="n">
        <v>12250</v>
      </c>
      <c r="N201" s="23" t="n">
        <v>13138.777925</v>
      </c>
      <c r="O201" s="23" t="n">
        <v>12823.98353145</v>
      </c>
      <c r="P201" s="24" t="n">
        <v>386.4531810625</v>
      </c>
      <c r="Q201" s="24" t="n">
        <v>818.571960413333</v>
      </c>
      <c r="R201" s="24" t="n">
        <v>386.4531810625</v>
      </c>
      <c r="S201" s="25" t="n">
        <v>0.0294131755075311</v>
      </c>
      <c r="T201" s="26" t="n">
        <v>1.50325629510728</v>
      </c>
      <c r="U201" s="23" t="n">
        <v>3</v>
      </c>
      <c r="V201" s="26" t="n">
        <v>-0.04</v>
      </c>
      <c r="W201" s="26" t="n">
        <v>0.197575733148222</v>
      </c>
      <c r="X201" s="26" t="n">
        <v>-0.0939366135984873</v>
      </c>
      <c r="Y201" s="26" t="n">
        <v>0.708646011618784</v>
      </c>
      <c r="Z201" s="26" t="n">
        <v>0.627392533280379</v>
      </c>
      <c r="AA201" s="26" t="n">
        <v>1.02545579512881</v>
      </c>
      <c r="AB201" s="26" t="n">
        <v>-0.453165116579663</v>
      </c>
      <c r="AC201" s="27" t="n">
        <v>0.627021220191831</v>
      </c>
      <c r="AD201" s="28" t="n">
        <f aca="false">Params!$B$6*Params!$B$7*$R201</f>
        <v>231.8719086375</v>
      </c>
      <c r="AE201" s="29" t="n">
        <f aca="false">MIN(Params!$B$9,AD201/Params!$B$4)</f>
        <v>0.06</v>
      </c>
      <c r="AF201" s="29" t="n">
        <f aca="false">MIN(Params!$B$9,AD201/Params!$B$5)</f>
        <v>0.06</v>
      </c>
      <c r="AG201" s="28" t="n">
        <f aca="false">IF($R201&gt;0,Params!$B$9*Params!$B$4/(Params!$B$6*$R201),"n/a")</f>
        <v>0.388145336487063</v>
      </c>
      <c r="AH201" s="28" t="n">
        <f aca="false">IF($R201&gt;0,Params!$B$9*Params!$B$5/(Params!$B$6*$R201),"n/a")</f>
        <v>0.776290672974126</v>
      </c>
      <c r="AI201" s="28" t="n">
        <f aca="false">IF($R201&gt;0,Params!$B$15*Params!$B$4/(Params!$B$6*$R201),"n/a")</f>
        <v>0.129381778829021</v>
      </c>
      <c r="AJ201" s="29" t="n">
        <f aca="false">MIN(Params!$B$9,AD201*Params!$B$8/Params!$B$4)</f>
        <v>0.06</v>
      </c>
      <c r="AK201" s="28" t="n">
        <f aca="false">IF($R201&gt;0,Params!$B$9*Params!$B$4/(Params!$B$6*$R201*Params!$B$8),"n/a")</f>
        <v>0.776290672974126</v>
      </c>
      <c r="AL201" s="27" t="str">
        <f aca="false">IFERROR(ciq($D201,"IQ_PE_EXCL"),"")</f>
        <v/>
      </c>
      <c r="AM201" s="27" t="str">
        <f aca="false">IFERROR(ciq($D201,"IQ_PE_EXCL_FWD_CIQ"),"")</f>
        <v/>
      </c>
      <c r="AN201" s="27" t="str">
        <f aca="false">IFERROR(ciq($D201,"IQ_PBV"),"")</f>
        <v/>
      </c>
      <c r="AO201" s="27" t="str">
        <f aca="false">IFERROR(ciq($D201,"IQ_TEV_EBITDA"),"")</f>
        <v/>
      </c>
      <c r="AP201" s="24" t="str">
        <f aca="false">IFERROR(ciq($D201,"IQ_RETURN_EQUITY"),"")</f>
        <v/>
      </c>
      <c r="AQ201" s="24" t="str">
        <f aca="false">IFERROR(ciq($D201,"IQ_RETURN_CAPITAL"),"")</f>
        <v/>
      </c>
      <c r="AR201" s="24" t="str">
        <f aca="false">IFERROR(ciq($D201,"IQ_TOTAL_REV_1YR_ANN_GROWTH"),"")</f>
        <v/>
      </c>
      <c r="AS201" s="24" t="str">
        <f aca="false">IFERROR(ciq($D201,"IQ_EPS_1YR_ANN_GROWTH"),"")</f>
        <v/>
      </c>
      <c r="AT201" s="24" t="str">
        <f aca="false">IFERROR(ciq($D201,"IQ_DIVIDEND_YIELD"),"")</f>
        <v/>
      </c>
      <c r="AU201" s="24" t="str">
        <f aca="false">IFERROR(ciq($D201,"IQ_NET_DEBT"),"")</f>
        <v/>
      </c>
    </row>
    <row r="202" customFormat="false" ht="15" hidden="false" customHeight="false" outlineLevel="0" collapsed="false">
      <c r="A202" s="8" t="s">
        <v>1238</v>
      </c>
      <c r="B202" s="6" t="s">
        <v>1239</v>
      </c>
      <c r="C202" s="8" t="s">
        <v>73</v>
      </c>
      <c r="D202" s="8" t="s">
        <v>1240</v>
      </c>
      <c r="E202" s="8" t="s">
        <v>1241</v>
      </c>
      <c r="F202" s="8"/>
      <c r="G202" s="8" t="s">
        <v>55</v>
      </c>
      <c r="H202" s="8" t="s">
        <v>66</v>
      </c>
      <c r="I202" s="8"/>
      <c r="J202" s="8"/>
      <c r="K202" s="8"/>
      <c r="L202" s="8" t="s">
        <v>241</v>
      </c>
      <c r="M202" s="23" t="n">
        <v>48600</v>
      </c>
      <c r="N202" s="23" t="n">
        <v>13107.276144</v>
      </c>
      <c r="O202" s="23" t="n">
        <v>14769.9583956</v>
      </c>
      <c r="P202" s="24" t="n">
        <v>105.8799980125</v>
      </c>
      <c r="Q202" s="24" t="n">
        <v>209.5994564875</v>
      </c>
      <c r="R202" s="24" t="n">
        <v>105.8799980125</v>
      </c>
      <c r="S202" s="25" t="n">
        <v>0.00807795585057295</v>
      </c>
      <c r="T202" s="26" t="n">
        <v>0.96709527995357</v>
      </c>
      <c r="U202" s="23" t="n">
        <v>1</v>
      </c>
      <c r="V202" s="26" t="n">
        <v>-0.06</v>
      </c>
      <c r="W202" s="26" t="n">
        <v>-0.131674348926438</v>
      </c>
      <c r="X202" s="26" t="n">
        <v>-0.352409143014911</v>
      </c>
      <c r="Y202" s="26" t="n">
        <v>-0.380468310009475</v>
      </c>
      <c r="Z202" s="26" t="n">
        <v>-0.178328713607066</v>
      </c>
      <c r="AA202" s="26" t="n">
        <v>0.625365592474541</v>
      </c>
      <c r="AB202" s="26" t="n">
        <v>-0.57574645522329</v>
      </c>
      <c r="AC202" s="27" t="n">
        <v>0.508754560971088</v>
      </c>
      <c r="AD202" s="28" t="n">
        <f aca="false">Params!$B$6*Params!$B$7*$R202</f>
        <v>63.5279988075</v>
      </c>
      <c r="AE202" s="29" t="n">
        <f aca="false">MIN(Params!$B$9,AD202/Params!$B$4)</f>
        <v>0.06</v>
      </c>
      <c r="AF202" s="29" t="n">
        <f aca="false">MIN(Params!$B$9,AD202/Params!$B$5)</f>
        <v>0.06</v>
      </c>
      <c r="AG202" s="28" t="n">
        <f aca="false">IF($R202&gt;0,Params!$B$9*Params!$B$4/(Params!$B$6*$R202),"n/a")</f>
        <v>1.41669817544095</v>
      </c>
      <c r="AH202" s="28" t="n">
        <f aca="false">IF($R202&gt;0,Params!$B$9*Params!$B$5/(Params!$B$6*$R202),"n/a")</f>
        <v>2.8333963508819</v>
      </c>
      <c r="AI202" s="28" t="n">
        <f aca="false">IF($R202&gt;0,Params!$B$15*Params!$B$4/(Params!$B$6*$R202),"n/a")</f>
        <v>0.472232725146983</v>
      </c>
      <c r="AJ202" s="29" t="n">
        <f aca="false">MIN(Params!$B$9,AD202*Params!$B$8/Params!$B$4)</f>
        <v>0.06</v>
      </c>
      <c r="AK202" s="28" t="n">
        <f aca="false">IF($R202&gt;0,Params!$B$9*Params!$B$4/(Params!$B$6*$R202*Params!$B$8),"n/a")</f>
        <v>2.8333963508819</v>
      </c>
      <c r="AL202" s="27" t="str">
        <f aca="false">IFERROR(ciq($D202,"IQ_PE_EXCL"),"")</f>
        <v/>
      </c>
      <c r="AM202" s="27" t="str">
        <f aca="false">IFERROR(ciq($D202,"IQ_PE_EXCL_FWD_CIQ"),"")</f>
        <v/>
      </c>
      <c r="AN202" s="27" t="str">
        <f aca="false">IFERROR(ciq($D202,"IQ_PBV"),"")</f>
        <v/>
      </c>
      <c r="AO202" s="27" t="str">
        <f aca="false">IFERROR(ciq($D202,"IQ_TEV_EBITDA"),"")</f>
        <v/>
      </c>
      <c r="AP202" s="24" t="str">
        <f aca="false">IFERROR(ciq($D202,"IQ_RETURN_EQUITY"),"")</f>
        <v/>
      </c>
      <c r="AQ202" s="24" t="str">
        <f aca="false">IFERROR(ciq($D202,"IQ_RETURN_CAPITAL"),"")</f>
        <v/>
      </c>
      <c r="AR202" s="24" t="str">
        <f aca="false">IFERROR(ciq($D202,"IQ_TOTAL_REV_1YR_ANN_GROWTH"),"")</f>
        <v/>
      </c>
      <c r="AS202" s="24" t="str">
        <f aca="false">IFERROR(ciq($D202,"IQ_EPS_1YR_ANN_GROWTH"),"")</f>
        <v/>
      </c>
      <c r="AT202" s="24" t="str">
        <f aca="false">IFERROR(ciq($D202,"IQ_DIVIDEND_YIELD"),"")</f>
        <v/>
      </c>
      <c r="AU202" s="24" t="str">
        <f aca="false">IFERROR(ciq($D202,"IQ_NET_DEBT"),"")</f>
        <v/>
      </c>
    </row>
    <row r="203" customFormat="false" ht="15" hidden="false" customHeight="false" outlineLevel="0" collapsed="false">
      <c r="A203" s="8" t="s">
        <v>1242</v>
      </c>
      <c r="B203" s="6" t="s">
        <v>1243</v>
      </c>
      <c r="C203" s="8" t="s">
        <v>73</v>
      </c>
      <c r="D203" s="8" t="s">
        <v>1244</v>
      </c>
      <c r="E203" s="8" t="s">
        <v>1245</v>
      </c>
      <c r="F203" s="6" t="s">
        <v>523</v>
      </c>
      <c r="G203" s="8" t="s">
        <v>55</v>
      </c>
      <c r="H203" s="8" t="s">
        <v>66</v>
      </c>
      <c r="I203" s="8"/>
      <c r="J203" s="8"/>
      <c r="K203" s="8"/>
      <c r="L203" s="8" t="s">
        <v>241</v>
      </c>
      <c r="M203" s="23" t="n">
        <v>82600</v>
      </c>
      <c r="N203" s="23" t="n">
        <v>12971.617988</v>
      </c>
      <c r="O203" s="23" t="n">
        <v>14088.9674067</v>
      </c>
      <c r="P203" s="24" t="n">
        <v>147.467032264</v>
      </c>
      <c r="Q203" s="24" t="n">
        <v>168.054447763</v>
      </c>
      <c r="R203" s="24" t="n">
        <v>147.467032264</v>
      </c>
      <c r="S203" s="25" t="n">
        <v>0.0113684378001589</v>
      </c>
      <c r="T203" s="26" t="n">
        <v>0.985407349719575</v>
      </c>
      <c r="U203" s="23" t="n">
        <v>1</v>
      </c>
      <c r="V203" s="26" t="n">
        <v>-0.06</v>
      </c>
      <c r="W203" s="26" t="n">
        <v>-0.0328687793808963</v>
      </c>
      <c r="X203" s="26" t="n">
        <v>-0.271136739247563</v>
      </c>
      <c r="Y203" s="26" t="n">
        <v>-0.220894206765814</v>
      </c>
      <c r="Z203" s="26" t="n">
        <v>0.300324140637903</v>
      </c>
      <c r="AA203" s="26" t="n">
        <v>0.145155532801888</v>
      </c>
      <c r="AB203" s="26" t="n">
        <v>-0.548238896861554</v>
      </c>
      <c r="AC203" s="27" t="n">
        <v>0.40529936819505</v>
      </c>
      <c r="AD203" s="28" t="n">
        <f aca="false">Params!$B$6*Params!$B$7*$R203</f>
        <v>88.4802193584</v>
      </c>
      <c r="AE203" s="29" t="n">
        <f aca="false">MIN(Params!$B$9,AD203/Params!$B$4)</f>
        <v>0.06</v>
      </c>
      <c r="AF203" s="29" t="n">
        <f aca="false">MIN(Params!$B$9,AD203/Params!$B$5)</f>
        <v>0.06</v>
      </c>
      <c r="AG203" s="28" t="n">
        <f aca="false">IF($R203&gt;0,Params!$B$9*Params!$B$4/(Params!$B$6*$R203),"n/a")</f>
        <v>1.01717650173813</v>
      </c>
      <c r="AH203" s="28" t="n">
        <f aca="false">IF($R203&gt;0,Params!$B$9*Params!$B$5/(Params!$B$6*$R203),"n/a")</f>
        <v>2.03435300347627</v>
      </c>
      <c r="AI203" s="28" t="n">
        <f aca="false">IF($R203&gt;0,Params!$B$15*Params!$B$4/(Params!$B$6*$R203),"n/a")</f>
        <v>0.339058833912711</v>
      </c>
      <c r="AJ203" s="29" t="n">
        <f aca="false">MIN(Params!$B$9,AD203*Params!$B$8/Params!$B$4)</f>
        <v>0.06</v>
      </c>
      <c r="AK203" s="28" t="n">
        <f aca="false">IF($R203&gt;0,Params!$B$9*Params!$B$4/(Params!$B$6*$R203*Params!$B$8),"n/a")</f>
        <v>2.03435300347627</v>
      </c>
      <c r="AL203" s="27" t="str">
        <f aca="false">IFERROR(ciq($D203,"IQ_PE_EXCL"),"")</f>
        <v/>
      </c>
      <c r="AM203" s="27" t="str">
        <f aca="false">IFERROR(ciq($D203,"IQ_PE_EXCL_FWD_CIQ"),"")</f>
        <v/>
      </c>
      <c r="AN203" s="27" t="str">
        <f aca="false">IFERROR(ciq($D203,"IQ_PBV"),"")</f>
        <v/>
      </c>
      <c r="AO203" s="27" t="str">
        <f aca="false">IFERROR(ciq($D203,"IQ_TEV_EBITDA"),"")</f>
        <v/>
      </c>
      <c r="AP203" s="24" t="str">
        <f aca="false">IFERROR(ciq($D203,"IQ_RETURN_EQUITY"),"")</f>
        <v/>
      </c>
      <c r="AQ203" s="24" t="str">
        <f aca="false">IFERROR(ciq($D203,"IQ_RETURN_CAPITAL"),"")</f>
        <v/>
      </c>
      <c r="AR203" s="24" t="str">
        <f aca="false">IFERROR(ciq($D203,"IQ_TOTAL_REV_1YR_ANN_GROWTH"),"")</f>
        <v/>
      </c>
      <c r="AS203" s="24" t="str">
        <f aca="false">IFERROR(ciq($D203,"IQ_EPS_1YR_ANN_GROWTH"),"")</f>
        <v/>
      </c>
      <c r="AT203" s="24" t="str">
        <f aca="false">IFERROR(ciq($D203,"IQ_DIVIDEND_YIELD"),"")</f>
        <v/>
      </c>
      <c r="AU203" s="24" t="str">
        <f aca="false">IFERROR(ciq($D203,"IQ_NET_DEBT"),"")</f>
        <v/>
      </c>
    </row>
    <row r="204" customFormat="false" ht="15" hidden="false" customHeight="false" outlineLevel="0" collapsed="false">
      <c r="A204" s="8" t="s">
        <v>361</v>
      </c>
      <c r="B204" s="6" t="s">
        <v>362</v>
      </c>
      <c r="C204" s="8" t="s">
        <v>74</v>
      </c>
      <c r="D204" s="8" t="s">
        <v>1246</v>
      </c>
      <c r="E204" s="8" t="s">
        <v>1247</v>
      </c>
      <c r="F204" s="6" t="s">
        <v>565</v>
      </c>
      <c r="G204" s="8" t="s">
        <v>55</v>
      </c>
      <c r="H204" s="8" t="s">
        <v>66</v>
      </c>
      <c r="I204" s="8" t="s">
        <v>508</v>
      </c>
      <c r="J204" s="8"/>
      <c r="K204" s="8"/>
      <c r="L204" s="6" t="s">
        <v>351</v>
      </c>
      <c r="M204" s="23" t="n">
        <v>28250</v>
      </c>
      <c r="N204" s="23" t="n">
        <v>12751.9022525</v>
      </c>
      <c r="O204" s="23" t="n">
        <v>13960.511749175</v>
      </c>
      <c r="P204" s="24" t="n">
        <v>136.8912452625</v>
      </c>
      <c r="Q204" s="24" t="n">
        <v>155.529760116667</v>
      </c>
      <c r="R204" s="24" t="n">
        <v>136.8912452625</v>
      </c>
      <c r="S204" s="25" t="n">
        <v>0.0107349666388529</v>
      </c>
      <c r="T204" s="26" t="n">
        <v>0.923280746255861</v>
      </c>
      <c r="U204" s="23" t="n">
        <v>0</v>
      </c>
      <c r="V204" s="26" t="n">
        <v>-0.06</v>
      </c>
      <c r="W204" s="26" t="n">
        <v>-0.118787292579587</v>
      </c>
      <c r="X204" s="26" t="n">
        <v>-0.408051792359232</v>
      </c>
      <c r="Y204" s="26" t="n">
        <v>0.277788254898351</v>
      </c>
      <c r="Z204" s="26" t="n">
        <v>0.602431508052803</v>
      </c>
      <c r="AA204" s="26" t="n">
        <v>0.918579146369763</v>
      </c>
      <c r="AB204" s="26" t="n">
        <v>-0.559486450106805</v>
      </c>
      <c r="AC204" s="27" t="n">
        <v>0.468135214268901</v>
      </c>
      <c r="AD204" s="28" t="n">
        <f aca="false">Params!$B$6*Params!$B$7*$R204</f>
        <v>82.1347471575</v>
      </c>
      <c r="AE204" s="29" t="n">
        <f aca="false">MIN(Params!$B$9,AD204/Params!$B$4)</f>
        <v>0.06</v>
      </c>
      <c r="AF204" s="29" t="n">
        <f aca="false">MIN(Params!$B$9,AD204/Params!$B$5)</f>
        <v>0.06</v>
      </c>
      <c r="AG204" s="28" t="n">
        <f aca="false">IF($R204&gt;0,Params!$B$9*Params!$B$4/(Params!$B$6*$R204),"n/a")</f>
        <v>1.09576035861434</v>
      </c>
      <c r="AH204" s="28" t="n">
        <f aca="false">IF($R204&gt;0,Params!$B$9*Params!$B$5/(Params!$B$6*$R204),"n/a")</f>
        <v>2.19152071722867</v>
      </c>
      <c r="AI204" s="28" t="n">
        <f aca="false">IF($R204&gt;0,Params!$B$15*Params!$B$4/(Params!$B$6*$R204),"n/a")</f>
        <v>0.365253452871445</v>
      </c>
      <c r="AJ204" s="29" t="n">
        <f aca="false">MIN(Params!$B$9,AD204*Params!$B$8/Params!$B$4)</f>
        <v>0.06</v>
      </c>
      <c r="AK204" s="28" t="n">
        <f aca="false">IF($R204&gt;0,Params!$B$9*Params!$B$4/(Params!$B$6*$R204*Params!$B$8),"n/a")</f>
        <v>2.19152071722867</v>
      </c>
      <c r="AL204" s="27" t="str">
        <f aca="false">IFERROR(ciq($D204,"IQ_PE_EXCL"),"")</f>
        <v/>
      </c>
      <c r="AM204" s="27" t="str">
        <f aca="false">IFERROR(ciq($D204,"IQ_PE_EXCL_FWD_CIQ"),"")</f>
        <v/>
      </c>
      <c r="AN204" s="27" t="str">
        <f aca="false">IFERROR(ciq($D204,"IQ_PBV"),"")</f>
        <v/>
      </c>
      <c r="AO204" s="27" t="str">
        <f aca="false">IFERROR(ciq($D204,"IQ_TEV_EBITDA"),"")</f>
        <v/>
      </c>
      <c r="AP204" s="24" t="str">
        <f aca="false">IFERROR(ciq($D204,"IQ_RETURN_EQUITY"),"")</f>
        <v/>
      </c>
      <c r="AQ204" s="24" t="str">
        <f aca="false">IFERROR(ciq($D204,"IQ_RETURN_CAPITAL"),"")</f>
        <v/>
      </c>
      <c r="AR204" s="24" t="str">
        <f aca="false">IFERROR(ciq($D204,"IQ_TOTAL_REV_1YR_ANN_GROWTH"),"")</f>
        <v/>
      </c>
      <c r="AS204" s="24" t="str">
        <f aca="false">IFERROR(ciq($D204,"IQ_EPS_1YR_ANN_GROWTH"),"")</f>
        <v/>
      </c>
      <c r="AT204" s="24" t="str">
        <f aca="false">IFERROR(ciq($D204,"IQ_DIVIDEND_YIELD"),"")</f>
        <v/>
      </c>
      <c r="AU204" s="24" t="str">
        <f aca="false">IFERROR(ciq($D204,"IQ_NET_DEBT"),"")</f>
        <v/>
      </c>
    </row>
    <row r="205" customFormat="false" ht="15" hidden="false" customHeight="false" outlineLevel="0" collapsed="false">
      <c r="A205" s="8" t="s">
        <v>1248</v>
      </c>
      <c r="B205" s="6" t="s">
        <v>1249</v>
      </c>
      <c r="C205" s="8" t="s">
        <v>73</v>
      </c>
      <c r="D205" s="8" t="s">
        <v>1250</v>
      </c>
      <c r="E205" s="8" t="s">
        <v>1251</v>
      </c>
      <c r="F205" s="8"/>
      <c r="G205" s="8" t="s">
        <v>55</v>
      </c>
      <c r="H205" s="8" t="s">
        <v>66</v>
      </c>
      <c r="I205" s="8"/>
      <c r="J205" s="8"/>
      <c r="K205" s="8"/>
      <c r="L205" s="8"/>
      <c r="M205" s="23" t="n">
        <v>99900</v>
      </c>
      <c r="N205" s="23" t="n">
        <v>12663.082242</v>
      </c>
      <c r="O205" s="23" t="n">
        <v>14272.903508</v>
      </c>
      <c r="P205" s="24" t="n">
        <v>128.545929</v>
      </c>
      <c r="Q205" s="24" t="n">
        <v>198.406798208333</v>
      </c>
      <c r="R205" s="24" t="n">
        <v>128.545929</v>
      </c>
      <c r="S205" s="25" t="n">
        <v>0.0101512354214717</v>
      </c>
      <c r="T205" s="26" t="n">
        <v>1.08570058486035</v>
      </c>
      <c r="U205" s="23" t="n">
        <v>1</v>
      </c>
      <c r="V205" s="26" t="n">
        <v>-0.06</v>
      </c>
      <c r="W205" s="26" t="n">
        <v>-0.141595180884636</v>
      </c>
      <c r="X205" s="26" t="n">
        <v>-0.19861230504644</v>
      </c>
      <c r="Y205" s="26" t="n">
        <v>0.29110096976335</v>
      </c>
      <c r="Z205" s="26" t="n">
        <v>2.17222615811196</v>
      </c>
      <c r="AA205" s="26" t="n">
        <v>2.9338074933854</v>
      </c>
      <c r="AB205" s="26" t="n">
        <v>-0.480121590024379</v>
      </c>
      <c r="AC205" s="27" t="n">
        <v>0.721826124649745</v>
      </c>
      <c r="AD205" s="28" t="n">
        <f aca="false">Params!$B$6*Params!$B$7*$R205</f>
        <v>77.1275574</v>
      </c>
      <c r="AE205" s="29" t="n">
        <f aca="false">MIN(Params!$B$9,AD205/Params!$B$4)</f>
        <v>0.06</v>
      </c>
      <c r="AF205" s="29" t="n">
        <f aca="false">MIN(Params!$B$9,AD205/Params!$B$5)</f>
        <v>0.06</v>
      </c>
      <c r="AG205" s="28" t="n">
        <f aca="false">IF($R205&gt;0,Params!$B$9*Params!$B$4/(Params!$B$6*$R205),"n/a")</f>
        <v>1.16689809756636</v>
      </c>
      <c r="AH205" s="28" t="n">
        <f aca="false">IF($R205&gt;0,Params!$B$9*Params!$B$5/(Params!$B$6*$R205),"n/a")</f>
        <v>2.33379619513271</v>
      </c>
      <c r="AI205" s="28" t="n">
        <f aca="false">IF($R205&gt;0,Params!$B$15*Params!$B$4/(Params!$B$6*$R205),"n/a")</f>
        <v>0.388966032522119</v>
      </c>
      <c r="AJ205" s="29" t="n">
        <f aca="false">MIN(Params!$B$9,AD205*Params!$B$8/Params!$B$4)</f>
        <v>0.06</v>
      </c>
      <c r="AK205" s="28" t="n">
        <f aca="false">IF($R205&gt;0,Params!$B$9*Params!$B$4/(Params!$B$6*$R205*Params!$B$8),"n/a")</f>
        <v>2.33379619513271</v>
      </c>
      <c r="AL205" s="27" t="str">
        <f aca="false">IFERROR(ciq($D205,"IQ_PE_EXCL"),"")</f>
        <v/>
      </c>
      <c r="AM205" s="27" t="str">
        <f aca="false">IFERROR(ciq($D205,"IQ_PE_EXCL_FWD_CIQ"),"")</f>
        <v/>
      </c>
      <c r="AN205" s="27" t="str">
        <f aca="false">IFERROR(ciq($D205,"IQ_PBV"),"")</f>
        <v/>
      </c>
      <c r="AO205" s="27" t="str">
        <f aca="false">IFERROR(ciq($D205,"IQ_TEV_EBITDA"),"")</f>
        <v/>
      </c>
      <c r="AP205" s="24" t="str">
        <f aca="false">IFERROR(ciq($D205,"IQ_RETURN_EQUITY"),"")</f>
        <v/>
      </c>
      <c r="AQ205" s="24" t="str">
        <f aca="false">IFERROR(ciq($D205,"IQ_RETURN_CAPITAL"),"")</f>
        <v/>
      </c>
      <c r="AR205" s="24" t="str">
        <f aca="false">IFERROR(ciq($D205,"IQ_TOTAL_REV_1YR_ANN_GROWTH"),"")</f>
        <v/>
      </c>
      <c r="AS205" s="24" t="str">
        <f aca="false">IFERROR(ciq($D205,"IQ_EPS_1YR_ANN_GROWTH"),"")</f>
        <v/>
      </c>
      <c r="AT205" s="24" t="str">
        <f aca="false">IFERROR(ciq($D205,"IQ_DIVIDEND_YIELD"),"")</f>
        <v/>
      </c>
      <c r="AU205" s="24" t="str">
        <f aca="false">IFERROR(ciq($D205,"IQ_NET_DEBT"),"")</f>
        <v/>
      </c>
    </row>
    <row r="206" customFormat="false" ht="15" hidden="false" customHeight="false" outlineLevel="0" collapsed="false">
      <c r="A206" s="8" t="s">
        <v>287</v>
      </c>
      <c r="B206" s="6" t="s">
        <v>288</v>
      </c>
      <c r="C206" s="8" t="s">
        <v>73</v>
      </c>
      <c r="D206" s="8" t="s">
        <v>1252</v>
      </c>
      <c r="E206" s="8" t="s">
        <v>1253</v>
      </c>
      <c r="F206" s="6" t="s">
        <v>627</v>
      </c>
      <c r="G206" s="8" t="s">
        <v>55</v>
      </c>
      <c r="H206" s="8" t="s">
        <v>66</v>
      </c>
      <c r="I206" s="8" t="s">
        <v>508</v>
      </c>
      <c r="J206" s="6" t="s">
        <v>289</v>
      </c>
      <c r="K206" s="8" t="s">
        <v>290</v>
      </c>
      <c r="L206" s="6" t="s">
        <v>291</v>
      </c>
      <c r="M206" s="23" t="n">
        <v>24300</v>
      </c>
      <c r="N206" s="23" t="n">
        <v>12481.275825</v>
      </c>
      <c r="O206" s="23" t="n">
        <v>12212.902713125</v>
      </c>
      <c r="P206" s="24" t="n">
        <v>142.39353815</v>
      </c>
      <c r="Q206" s="24" t="n">
        <v>209.8854455</v>
      </c>
      <c r="R206" s="24" t="n">
        <v>142.39353815</v>
      </c>
      <c r="S206" s="25" t="n">
        <v>0.0114085723404001</v>
      </c>
      <c r="T206" s="26" t="n">
        <v>1.23558988226375</v>
      </c>
      <c r="U206" s="23" t="n">
        <v>1</v>
      </c>
      <c r="V206" s="26" t="n">
        <v>-0.06</v>
      </c>
      <c r="W206" s="26" t="n">
        <v>0.114605129797305</v>
      </c>
      <c r="X206" s="26" t="n">
        <v>-0.394693549938341</v>
      </c>
      <c r="Y206" s="26" t="n">
        <v>0.0945473944578725</v>
      </c>
      <c r="Z206" s="26" t="n">
        <v>0.347428643517756</v>
      </c>
      <c r="AA206" s="26" t="n">
        <v>0.563275940599529</v>
      </c>
      <c r="AB206" s="26" t="n">
        <v>-0.564292429738542</v>
      </c>
      <c r="AC206" s="27" t="n">
        <v>0.666923650167454</v>
      </c>
      <c r="AD206" s="28" t="n">
        <f aca="false">Params!$B$6*Params!$B$7*$R206</f>
        <v>85.43612289</v>
      </c>
      <c r="AE206" s="29" t="n">
        <f aca="false">MIN(Params!$B$9,AD206/Params!$B$4)</f>
        <v>0.06</v>
      </c>
      <c r="AF206" s="29" t="n">
        <f aca="false">MIN(Params!$B$9,AD206/Params!$B$5)</f>
        <v>0.06</v>
      </c>
      <c r="AG206" s="28" t="n">
        <f aca="false">IF($R206&gt;0,Params!$B$9*Params!$B$4/(Params!$B$6*$R206),"n/a")</f>
        <v>1.05341858871424</v>
      </c>
      <c r="AH206" s="28" t="n">
        <f aca="false">IF($R206&gt;0,Params!$B$9*Params!$B$5/(Params!$B$6*$R206),"n/a")</f>
        <v>2.10683717742848</v>
      </c>
      <c r="AI206" s="28" t="n">
        <f aca="false">IF($R206&gt;0,Params!$B$15*Params!$B$4/(Params!$B$6*$R206),"n/a")</f>
        <v>0.351139529571413</v>
      </c>
      <c r="AJ206" s="29" t="n">
        <f aca="false">MIN(Params!$B$9,AD206*Params!$B$8/Params!$B$4)</f>
        <v>0.06</v>
      </c>
      <c r="AK206" s="28" t="n">
        <f aca="false">IF($R206&gt;0,Params!$B$9*Params!$B$4/(Params!$B$6*$R206*Params!$B$8),"n/a")</f>
        <v>2.10683717742848</v>
      </c>
      <c r="AL206" s="27" t="str">
        <f aca="false">IFERROR(ciq($D206,"IQ_PE_EXCL"),"")</f>
        <v/>
      </c>
      <c r="AM206" s="27" t="str">
        <f aca="false">IFERROR(ciq($D206,"IQ_PE_EXCL_FWD_CIQ"),"")</f>
        <v/>
      </c>
      <c r="AN206" s="27" t="str">
        <f aca="false">IFERROR(ciq($D206,"IQ_PBV"),"")</f>
        <v/>
      </c>
      <c r="AO206" s="27" t="str">
        <f aca="false">IFERROR(ciq($D206,"IQ_TEV_EBITDA"),"")</f>
        <v/>
      </c>
      <c r="AP206" s="24" t="str">
        <f aca="false">IFERROR(ciq($D206,"IQ_RETURN_EQUITY"),"")</f>
        <v/>
      </c>
      <c r="AQ206" s="24" t="str">
        <f aca="false">IFERROR(ciq($D206,"IQ_RETURN_CAPITAL"),"")</f>
        <v/>
      </c>
      <c r="AR206" s="24" t="str">
        <f aca="false">IFERROR(ciq($D206,"IQ_TOTAL_REV_1YR_ANN_GROWTH"),"")</f>
        <v/>
      </c>
      <c r="AS206" s="24" t="str">
        <f aca="false">IFERROR(ciq($D206,"IQ_EPS_1YR_ANN_GROWTH"),"")</f>
        <v/>
      </c>
      <c r="AT206" s="24" t="str">
        <f aca="false">IFERROR(ciq($D206,"IQ_DIVIDEND_YIELD"),"")</f>
        <v/>
      </c>
      <c r="AU206" s="24" t="str">
        <f aca="false">IFERROR(ciq($D206,"IQ_NET_DEBT"),"")</f>
        <v/>
      </c>
    </row>
    <row r="207" customFormat="false" ht="15" hidden="false" customHeight="false" outlineLevel="0" collapsed="false">
      <c r="A207" s="8" t="s">
        <v>1254</v>
      </c>
      <c r="B207" s="6" t="s">
        <v>1255</v>
      </c>
      <c r="C207" s="8" t="s">
        <v>72</v>
      </c>
      <c r="D207" s="8" t="s">
        <v>1256</v>
      </c>
      <c r="E207" s="8" t="s">
        <v>1257</v>
      </c>
      <c r="F207" s="6" t="s">
        <v>1100</v>
      </c>
      <c r="G207" s="8" t="s">
        <v>55</v>
      </c>
      <c r="H207" s="8" t="s">
        <v>66</v>
      </c>
      <c r="I207" s="8"/>
      <c r="J207" s="8"/>
      <c r="K207" s="8"/>
      <c r="L207" s="8" t="s">
        <v>514</v>
      </c>
      <c r="M207" s="23" t="n">
        <v>62400</v>
      </c>
      <c r="N207" s="23" t="n">
        <v>12354.364464</v>
      </c>
      <c r="O207" s="23" t="n">
        <v>13231.4451463</v>
      </c>
      <c r="P207" s="24" t="n">
        <v>115.66549675</v>
      </c>
      <c r="Q207" s="24" t="n">
        <v>214.551620566667</v>
      </c>
      <c r="R207" s="24" t="n">
        <v>115.66549675</v>
      </c>
      <c r="S207" s="25" t="n">
        <v>0.00936231864350801</v>
      </c>
      <c r="T207" s="26" t="n">
        <v>1.39752536716312</v>
      </c>
      <c r="U207" s="23" t="n">
        <v>2</v>
      </c>
      <c r="V207" s="26" t="n">
        <v>-0.04</v>
      </c>
      <c r="W207" s="26" t="n">
        <v>-0.117331467856767</v>
      </c>
      <c r="X207" s="26" t="n">
        <v>-0.0601162796078772</v>
      </c>
      <c r="Y207" s="26" t="n">
        <v>0.400347597204814</v>
      </c>
      <c r="Z207" s="26" t="n">
        <v>0.57327839674774</v>
      </c>
      <c r="AA207" s="26" t="n">
        <v>0.902366810670313</v>
      </c>
      <c r="AB207" s="26" t="n">
        <v>-0.468878142878128</v>
      </c>
      <c r="AC207" s="27" t="n">
        <v>0.763000517229622</v>
      </c>
      <c r="AD207" s="28" t="n">
        <f aca="false">Params!$B$6*Params!$B$7*$R207</f>
        <v>69.39929805</v>
      </c>
      <c r="AE207" s="29" t="n">
        <f aca="false">MIN(Params!$B$9,AD207/Params!$B$4)</f>
        <v>0.06</v>
      </c>
      <c r="AF207" s="29" t="n">
        <f aca="false">MIN(Params!$B$9,AD207/Params!$B$5)</f>
        <v>0.06</v>
      </c>
      <c r="AG207" s="28" t="n">
        <f aca="false">IF($R207&gt;0,Params!$B$9*Params!$B$4/(Params!$B$6*$R207),"n/a")</f>
        <v>1.29684308817011</v>
      </c>
      <c r="AH207" s="28" t="n">
        <f aca="false">IF($R207&gt;0,Params!$B$9*Params!$B$5/(Params!$B$6*$R207),"n/a")</f>
        <v>2.59368617634022</v>
      </c>
      <c r="AI207" s="28" t="n">
        <f aca="false">IF($R207&gt;0,Params!$B$15*Params!$B$4/(Params!$B$6*$R207),"n/a")</f>
        <v>0.432281029390037</v>
      </c>
      <c r="AJ207" s="29" t="n">
        <f aca="false">MIN(Params!$B$9,AD207*Params!$B$8/Params!$B$4)</f>
        <v>0.06</v>
      </c>
      <c r="AK207" s="28" t="n">
        <f aca="false">IF($R207&gt;0,Params!$B$9*Params!$B$4/(Params!$B$6*$R207*Params!$B$8),"n/a")</f>
        <v>2.59368617634022</v>
      </c>
      <c r="AL207" s="27" t="str">
        <f aca="false">IFERROR(ciq($D207,"IQ_PE_EXCL"),"")</f>
        <v/>
      </c>
      <c r="AM207" s="27" t="str">
        <f aca="false">IFERROR(ciq($D207,"IQ_PE_EXCL_FWD_CIQ"),"")</f>
        <v/>
      </c>
      <c r="AN207" s="27" t="str">
        <f aca="false">IFERROR(ciq($D207,"IQ_PBV"),"")</f>
        <v/>
      </c>
      <c r="AO207" s="27" t="str">
        <f aca="false">IFERROR(ciq($D207,"IQ_TEV_EBITDA"),"")</f>
        <v/>
      </c>
      <c r="AP207" s="24" t="str">
        <f aca="false">IFERROR(ciq($D207,"IQ_RETURN_EQUITY"),"")</f>
        <v/>
      </c>
      <c r="AQ207" s="24" t="str">
        <f aca="false">IFERROR(ciq($D207,"IQ_RETURN_CAPITAL"),"")</f>
        <v/>
      </c>
      <c r="AR207" s="24" t="str">
        <f aca="false">IFERROR(ciq($D207,"IQ_TOTAL_REV_1YR_ANN_GROWTH"),"")</f>
        <v/>
      </c>
      <c r="AS207" s="24" t="str">
        <f aca="false">IFERROR(ciq($D207,"IQ_EPS_1YR_ANN_GROWTH"),"")</f>
        <v/>
      </c>
      <c r="AT207" s="24" t="str">
        <f aca="false">IFERROR(ciq($D207,"IQ_DIVIDEND_YIELD"),"")</f>
        <v/>
      </c>
      <c r="AU207" s="24" t="str">
        <f aca="false">IFERROR(ciq($D207,"IQ_NET_DEBT"),"")</f>
        <v/>
      </c>
    </row>
    <row r="208" customFormat="false" ht="15" hidden="false" customHeight="false" outlineLevel="0" collapsed="false">
      <c r="A208" s="8" t="s">
        <v>1258</v>
      </c>
      <c r="B208" s="8" t="s">
        <v>1259</v>
      </c>
      <c r="C208" s="8" t="s">
        <v>73</v>
      </c>
      <c r="D208" s="8" t="s">
        <v>1260</v>
      </c>
      <c r="E208" s="8" t="s">
        <v>1261</v>
      </c>
      <c r="F208" s="6" t="s">
        <v>507</v>
      </c>
      <c r="G208" s="8" t="s">
        <v>55</v>
      </c>
      <c r="H208" s="8" t="s">
        <v>66</v>
      </c>
      <c r="I208" s="8"/>
      <c r="J208" s="8"/>
      <c r="K208" s="8"/>
      <c r="L208" s="8" t="s">
        <v>241</v>
      </c>
      <c r="M208" s="23" t="n">
        <v>46400</v>
      </c>
      <c r="N208" s="23" t="n">
        <v>12331.005088</v>
      </c>
      <c r="O208" s="23" t="n">
        <v>13097.7065897</v>
      </c>
      <c r="P208" s="24" t="n">
        <v>172.4149108875</v>
      </c>
      <c r="Q208" s="24" t="n">
        <v>179.057310308333</v>
      </c>
      <c r="R208" s="24" t="n">
        <v>172.4149108875</v>
      </c>
      <c r="S208" s="25" t="n">
        <v>0.0139822268871892</v>
      </c>
      <c r="T208" s="26" t="n">
        <v>1.03963666076509</v>
      </c>
      <c r="U208" s="23" t="n">
        <v>1</v>
      </c>
      <c r="V208" s="26" t="n">
        <v>-0.06</v>
      </c>
      <c r="W208" s="26" t="n">
        <v>-0.112773052533704</v>
      </c>
      <c r="X208" s="26" t="n">
        <v>-0.40219933209082</v>
      </c>
      <c r="Y208" s="26" t="n">
        <v>-0.482302399861641</v>
      </c>
      <c r="Z208" s="26" t="n">
        <v>0.420371946330791</v>
      </c>
      <c r="AA208" s="26" t="n">
        <v>0.825596606153401</v>
      </c>
      <c r="AB208" s="26" t="n">
        <v>-0.587656366673202</v>
      </c>
      <c r="AC208" s="27" t="n">
        <v>0.467246332953317</v>
      </c>
      <c r="AD208" s="28" t="n">
        <f aca="false">Params!$B$6*Params!$B$7*$R208</f>
        <v>103.4489465325</v>
      </c>
      <c r="AE208" s="29" t="n">
        <f aca="false">MIN(Params!$B$9,AD208/Params!$B$4)</f>
        <v>0.06</v>
      </c>
      <c r="AF208" s="29" t="n">
        <f aca="false">MIN(Params!$B$9,AD208/Params!$B$5)</f>
        <v>0.06</v>
      </c>
      <c r="AG208" s="28" t="n">
        <f aca="false">IF($R208&gt;0,Params!$B$9*Params!$B$4/(Params!$B$6*$R208),"n/a")</f>
        <v>0.869994359698242</v>
      </c>
      <c r="AH208" s="28" t="n">
        <f aca="false">IF($R208&gt;0,Params!$B$9*Params!$B$5/(Params!$B$6*$R208),"n/a")</f>
        <v>1.73998871939648</v>
      </c>
      <c r="AI208" s="28" t="n">
        <f aca="false">IF($R208&gt;0,Params!$B$15*Params!$B$4/(Params!$B$6*$R208),"n/a")</f>
        <v>0.289998119899414</v>
      </c>
      <c r="AJ208" s="29" t="n">
        <f aca="false">MIN(Params!$B$9,AD208*Params!$B$8/Params!$B$4)</f>
        <v>0.06</v>
      </c>
      <c r="AK208" s="28" t="n">
        <f aca="false">IF($R208&gt;0,Params!$B$9*Params!$B$4/(Params!$B$6*$R208*Params!$B$8),"n/a")</f>
        <v>1.73998871939648</v>
      </c>
      <c r="AL208" s="27" t="str">
        <f aca="false">IFERROR(ciq($D208,"IQ_PE_EXCL"),"")</f>
        <v/>
      </c>
      <c r="AM208" s="27" t="str">
        <f aca="false">IFERROR(ciq($D208,"IQ_PE_EXCL_FWD_CIQ"),"")</f>
        <v/>
      </c>
      <c r="AN208" s="27" t="str">
        <f aca="false">IFERROR(ciq($D208,"IQ_PBV"),"")</f>
        <v/>
      </c>
      <c r="AO208" s="27" t="str">
        <f aca="false">IFERROR(ciq($D208,"IQ_TEV_EBITDA"),"")</f>
        <v/>
      </c>
      <c r="AP208" s="24" t="str">
        <f aca="false">IFERROR(ciq($D208,"IQ_RETURN_EQUITY"),"")</f>
        <v/>
      </c>
      <c r="AQ208" s="24" t="str">
        <f aca="false">IFERROR(ciq($D208,"IQ_RETURN_CAPITAL"),"")</f>
        <v/>
      </c>
      <c r="AR208" s="24" t="str">
        <f aca="false">IFERROR(ciq($D208,"IQ_TOTAL_REV_1YR_ANN_GROWTH"),"")</f>
        <v/>
      </c>
      <c r="AS208" s="24" t="str">
        <f aca="false">IFERROR(ciq($D208,"IQ_EPS_1YR_ANN_GROWTH"),"")</f>
        <v/>
      </c>
      <c r="AT208" s="24" t="str">
        <f aca="false">IFERROR(ciq($D208,"IQ_DIVIDEND_YIELD"),"")</f>
        <v/>
      </c>
      <c r="AU208" s="24" t="str">
        <f aca="false">IFERROR(ciq($D208,"IQ_NET_DEBT"),"")</f>
        <v/>
      </c>
    </row>
    <row r="209" customFormat="false" ht="15" hidden="false" customHeight="false" outlineLevel="0" collapsed="false">
      <c r="A209" s="8" t="s">
        <v>1262</v>
      </c>
      <c r="B209" s="6" t="s">
        <v>1263</v>
      </c>
      <c r="C209" s="8" t="s">
        <v>72</v>
      </c>
      <c r="D209" s="8" t="s">
        <v>1264</v>
      </c>
      <c r="E209" s="8" t="s">
        <v>1265</v>
      </c>
      <c r="F209" s="6" t="s">
        <v>523</v>
      </c>
      <c r="G209" s="8" t="s">
        <v>55</v>
      </c>
      <c r="H209" s="8" t="s">
        <v>66</v>
      </c>
      <c r="I209" s="8"/>
      <c r="J209" s="8"/>
      <c r="K209" s="8"/>
      <c r="L209" s="8" t="s">
        <v>115</v>
      </c>
      <c r="M209" s="23" t="n">
        <v>51400</v>
      </c>
      <c r="N209" s="23" t="n">
        <v>12327.06668</v>
      </c>
      <c r="O209" s="23" t="n">
        <v>14222.892791</v>
      </c>
      <c r="P209" s="24" t="n">
        <v>219.094517025</v>
      </c>
      <c r="Q209" s="24" t="n">
        <v>280.069304516667</v>
      </c>
      <c r="R209" s="24" t="n">
        <v>219.094517025</v>
      </c>
      <c r="S209" s="25" t="n">
        <v>0.0177734511147302</v>
      </c>
      <c r="T209" s="26" t="n">
        <v>1.21009819072108</v>
      </c>
      <c r="U209" s="23" t="n">
        <v>2</v>
      </c>
      <c r="V209" s="26" t="n">
        <v>-0.04</v>
      </c>
      <c r="W209" s="26" t="n">
        <v>-0.0722401574598114</v>
      </c>
      <c r="X209" s="26" t="n">
        <v>-0.5727259798534</v>
      </c>
      <c r="Y209" s="26" t="n">
        <v>-0.033649400616168</v>
      </c>
      <c r="Z209" s="26" t="n">
        <v>0.0642155508759752</v>
      </c>
      <c r="AA209" s="26" t="n">
        <v>3.34735271771307</v>
      </c>
      <c r="AB209" s="26" t="n">
        <v>-0.637787087994293</v>
      </c>
      <c r="AC209" s="27" t="n">
        <v>0.66310615674518</v>
      </c>
      <c r="AD209" s="28" t="n">
        <f aca="false">Params!$B$6*Params!$B$7*$R209</f>
        <v>131.456710215</v>
      </c>
      <c r="AE209" s="29" t="n">
        <f aca="false">MIN(Params!$B$9,AD209/Params!$B$4)</f>
        <v>0.06</v>
      </c>
      <c r="AF209" s="29" t="n">
        <f aca="false">MIN(Params!$B$9,AD209/Params!$B$5)</f>
        <v>0.06</v>
      </c>
      <c r="AG209" s="28" t="n">
        <f aca="false">IF($R209&gt;0,Params!$B$9*Params!$B$4/(Params!$B$6*$R209),"n/a")</f>
        <v>0.684636028490316</v>
      </c>
      <c r="AH209" s="28" t="n">
        <f aca="false">IF($R209&gt;0,Params!$B$9*Params!$B$5/(Params!$B$6*$R209),"n/a")</f>
        <v>1.36927205698063</v>
      </c>
      <c r="AI209" s="28" t="n">
        <f aca="false">IF($R209&gt;0,Params!$B$15*Params!$B$4/(Params!$B$6*$R209),"n/a")</f>
        <v>0.228212009496772</v>
      </c>
      <c r="AJ209" s="29" t="n">
        <f aca="false">MIN(Params!$B$9,AD209*Params!$B$8/Params!$B$4)</f>
        <v>0.06</v>
      </c>
      <c r="AK209" s="28" t="n">
        <f aca="false">IF($R209&gt;0,Params!$B$9*Params!$B$4/(Params!$B$6*$R209*Params!$B$8),"n/a")</f>
        <v>1.36927205698063</v>
      </c>
      <c r="AL209" s="27" t="str">
        <f aca="false">IFERROR(ciq($D209,"IQ_PE_EXCL"),"")</f>
        <v/>
      </c>
      <c r="AM209" s="27" t="str">
        <f aca="false">IFERROR(ciq($D209,"IQ_PE_EXCL_FWD_CIQ"),"")</f>
        <v/>
      </c>
      <c r="AN209" s="27" t="str">
        <f aca="false">IFERROR(ciq($D209,"IQ_PBV"),"")</f>
        <v/>
      </c>
      <c r="AO209" s="27" t="str">
        <f aca="false">IFERROR(ciq($D209,"IQ_TEV_EBITDA"),"")</f>
        <v/>
      </c>
      <c r="AP209" s="24" t="str">
        <f aca="false">IFERROR(ciq($D209,"IQ_RETURN_EQUITY"),"")</f>
        <v/>
      </c>
      <c r="AQ209" s="24" t="str">
        <f aca="false">IFERROR(ciq($D209,"IQ_RETURN_CAPITAL"),"")</f>
        <v/>
      </c>
      <c r="AR209" s="24" t="str">
        <f aca="false">IFERROR(ciq($D209,"IQ_TOTAL_REV_1YR_ANN_GROWTH"),"")</f>
        <v/>
      </c>
      <c r="AS209" s="24" t="str">
        <f aca="false">IFERROR(ciq($D209,"IQ_EPS_1YR_ANN_GROWTH"),"")</f>
        <v/>
      </c>
      <c r="AT209" s="24" t="str">
        <f aca="false">IFERROR(ciq($D209,"IQ_DIVIDEND_YIELD"),"")</f>
        <v/>
      </c>
      <c r="AU209" s="24" t="str">
        <f aca="false">IFERROR(ciq($D209,"IQ_NET_DEBT"),"")</f>
        <v/>
      </c>
    </row>
    <row r="210" customFormat="false" ht="15" hidden="false" customHeight="false" outlineLevel="0" collapsed="false">
      <c r="A210" s="8" t="s">
        <v>1266</v>
      </c>
      <c r="B210" s="6" t="s">
        <v>1267</v>
      </c>
      <c r="C210" s="8" t="s">
        <v>73</v>
      </c>
      <c r="D210" s="8" t="s">
        <v>1268</v>
      </c>
      <c r="E210" s="8" t="s">
        <v>1269</v>
      </c>
      <c r="F210" s="6" t="s">
        <v>523</v>
      </c>
      <c r="G210" s="8" t="s">
        <v>55</v>
      </c>
      <c r="H210" s="8" t="s">
        <v>66</v>
      </c>
      <c r="I210" s="8"/>
      <c r="J210" s="8"/>
      <c r="K210" s="8"/>
      <c r="L210" s="8" t="s">
        <v>115</v>
      </c>
      <c r="M210" s="23" t="n">
        <v>15600</v>
      </c>
      <c r="N210" s="23" t="n">
        <v>11455.634112</v>
      </c>
      <c r="O210" s="23" t="n">
        <v>13302.492341485</v>
      </c>
      <c r="P210" s="24" t="n">
        <v>311.88246478</v>
      </c>
      <c r="Q210" s="24" t="n">
        <v>615.770438055</v>
      </c>
      <c r="R210" s="24" t="n">
        <v>311.88246478</v>
      </c>
      <c r="S210" s="25" t="n">
        <v>0.0272252466978931</v>
      </c>
      <c r="T210" s="26" t="n">
        <v>1.41011328088039</v>
      </c>
      <c r="U210" s="23" t="n">
        <v>2</v>
      </c>
      <c r="V210" s="26" t="n">
        <v>-0.04</v>
      </c>
      <c r="W210" s="26" t="n">
        <v>-0.178824694185472</v>
      </c>
      <c r="X210" s="26" t="n">
        <v>-0.670212720290737</v>
      </c>
      <c r="Y210" s="26" t="n">
        <v>-0.675051612456609</v>
      </c>
      <c r="Z210" s="26" t="n">
        <v>0.688196006803924</v>
      </c>
      <c r="AA210" s="26" t="n">
        <v>13.8221823441671</v>
      </c>
      <c r="AB210" s="26" t="n">
        <v>-0.706788627726512</v>
      </c>
      <c r="AC210" s="27" t="n">
        <v>0.361775514637084</v>
      </c>
      <c r="AD210" s="28" t="n">
        <f aca="false">Params!$B$6*Params!$B$7*$R210</f>
        <v>187.129478868</v>
      </c>
      <c r="AE210" s="29" t="n">
        <f aca="false">MIN(Params!$B$9,AD210/Params!$B$4)</f>
        <v>0.06</v>
      </c>
      <c r="AF210" s="29" t="n">
        <f aca="false">MIN(Params!$B$9,AD210/Params!$B$5)</f>
        <v>0.06</v>
      </c>
      <c r="AG210" s="28" t="n">
        <f aca="false">IF($R210&gt;0,Params!$B$9*Params!$B$4/(Params!$B$6*$R210),"n/a")</f>
        <v>0.480950412219581</v>
      </c>
      <c r="AH210" s="28" t="n">
        <f aca="false">IF($R210&gt;0,Params!$B$9*Params!$B$5/(Params!$B$6*$R210),"n/a")</f>
        <v>0.961900824439162</v>
      </c>
      <c r="AI210" s="28" t="n">
        <f aca="false">IF($R210&gt;0,Params!$B$15*Params!$B$4/(Params!$B$6*$R210),"n/a")</f>
        <v>0.160316804073194</v>
      </c>
      <c r="AJ210" s="29" t="n">
        <f aca="false">MIN(Params!$B$9,AD210*Params!$B$8/Params!$B$4)</f>
        <v>0.06</v>
      </c>
      <c r="AK210" s="28" t="n">
        <f aca="false">IF($R210&gt;0,Params!$B$9*Params!$B$4/(Params!$B$6*$R210*Params!$B$8),"n/a")</f>
        <v>0.961900824439162</v>
      </c>
      <c r="AL210" s="27" t="str">
        <f aca="false">IFERROR(ciq($D210,"IQ_PE_EXCL"),"")</f>
        <v/>
      </c>
      <c r="AM210" s="27" t="str">
        <f aca="false">IFERROR(ciq($D210,"IQ_PE_EXCL_FWD_CIQ"),"")</f>
        <v/>
      </c>
      <c r="AN210" s="27" t="str">
        <f aca="false">IFERROR(ciq($D210,"IQ_PBV"),"")</f>
        <v/>
      </c>
      <c r="AO210" s="27" t="str">
        <f aca="false">IFERROR(ciq($D210,"IQ_TEV_EBITDA"),"")</f>
        <v/>
      </c>
      <c r="AP210" s="24" t="str">
        <f aca="false">IFERROR(ciq($D210,"IQ_RETURN_EQUITY"),"")</f>
        <v/>
      </c>
      <c r="AQ210" s="24" t="str">
        <f aca="false">IFERROR(ciq($D210,"IQ_RETURN_CAPITAL"),"")</f>
        <v/>
      </c>
      <c r="AR210" s="24" t="str">
        <f aca="false">IFERROR(ciq($D210,"IQ_TOTAL_REV_1YR_ANN_GROWTH"),"")</f>
        <v/>
      </c>
      <c r="AS210" s="24" t="str">
        <f aca="false">IFERROR(ciq($D210,"IQ_EPS_1YR_ANN_GROWTH"),"")</f>
        <v/>
      </c>
      <c r="AT210" s="24" t="str">
        <f aca="false">IFERROR(ciq($D210,"IQ_DIVIDEND_YIELD"),"")</f>
        <v/>
      </c>
      <c r="AU210" s="24" t="str">
        <f aca="false">IFERROR(ciq($D210,"IQ_NET_DEBT"),"")</f>
        <v/>
      </c>
    </row>
    <row r="211" customFormat="false" ht="15" hidden="false" customHeight="false" outlineLevel="0" collapsed="false">
      <c r="A211" s="8" t="s">
        <v>1270</v>
      </c>
      <c r="B211" s="6" t="s">
        <v>1271</v>
      </c>
      <c r="C211" s="8" t="s">
        <v>72</v>
      </c>
      <c r="D211" s="8" t="s">
        <v>1272</v>
      </c>
      <c r="E211" s="8" t="s">
        <v>1273</v>
      </c>
      <c r="F211" s="6" t="s">
        <v>523</v>
      </c>
      <c r="G211" s="8" t="s">
        <v>55</v>
      </c>
      <c r="H211" s="8" t="s">
        <v>66</v>
      </c>
      <c r="I211" s="8"/>
      <c r="J211" s="8"/>
      <c r="K211" s="8"/>
      <c r="L211" s="8" t="s">
        <v>514</v>
      </c>
      <c r="M211" s="23" t="n">
        <v>105000</v>
      </c>
      <c r="N211" s="23" t="n">
        <v>10914.75</v>
      </c>
      <c r="O211" s="23" t="n">
        <v>10176.705</v>
      </c>
      <c r="P211" s="24" t="n">
        <v>933.086182825</v>
      </c>
      <c r="Q211" s="24" t="n">
        <v>993.127412416667</v>
      </c>
      <c r="R211" s="24" t="n">
        <v>933.086182825</v>
      </c>
      <c r="S211" s="25" t="n">
        <v>0.085488552905472</v>
      </c>
      <c r="T211" s="26" t="n">
        <v>1.46101366063986</v>
      </c>
      <c r="U211" s="23" t="n">
        <v>4</v>
      </c>
      <c r="V211" s="26" t="n">
        <v>-0.04</v>
      </c>
      <c r="W211" s="26" t="n">
        <v>0.299347631244391</v>
      </c>
      <c r="X211" s="26" t="n">
        <v>-0.113940403293651</v>
      </c>
      <c r="Y211" s="26" t="n">
        <v>1.11903860336184</v>
      </c>
      <c r="Z211" s="26" t="n">
        <v>2.58985377658102</v>
      </c>
      <c r="AA211" s="26" t="n">
        <v>3.0472203753884</v>
      </c>
      <c r="AB211" s="26" t="n">
        <v>-0.447620910033008</v>
      </c>
      <c r="AC211" s="27" t="n">
        <v>1.02712443108003</v>
      </c>
      <c r="AD211" s="28" t="n">
        <f aca="false">Params!$B$6*Params!$B$7*$R211</f>
        <v>559.851709695</v>
      </c>
      <c r="AE211" s="29" t="n">
        <f aca="false">MIN(Params!$B$9,AD211/Params!$B$4)</f>
        <v>0.06</v>
      </c>
      <c r="AF211" s="29" t="n">
        <f aca="false">MIN(Params!$B$9,AD211/Params!$B$5)</f>
        <v>0.06</v>
      </c>
      <c r="AG211" s="28" t="n">
        <f aca="false">IF($R211&gt;0,Params!$B$9*Params!$B$4/(Params!$B$6*$R211),"n/a")</f>
        <v>0.160756854791121</v>
      </c>
      <c r="AH211" s="28" t="n">
        <f aca="false">IF($R211&gt;0,Params!$B$9*Params!$B$5/(Params!$B$6*$R211),"n/a")</f>
        <v>0.321513709582242</v>
      </c>
      <c r="AI211" s="28" t="n">
        <f aca="false">IF($R211&gt;0,Params!$B$15*Params!$B$4/(Params!$B$6*$R211),"n/a")</f>
        <v>0.053585618263707</v>
      </c>
      <c r="AJ211" s="29" t="n">
        <f aca="false">MIN(Params!$B$9,AD211*Params!$B$8/Params!$B$4)</f>
        <v>0.06</v>
      </c>
      <c r="AK211" s="28" t="n">
        <f aca="false">IF($R211&gt;0,Params!$B$9*Params!$B$4/(Params!$B$6*$R211*Params!$B$8),"n/a")</f>
        <v>0.321513709582242</v>
      </c>
      <c r="AL211" s="27" t="str">
        <f aca="false">IFERROR(ciq($D211,"IQ_PE_EXCL"),"")</f>
        <v/>
      </c>
      <c r="AM211" s="27" t="str">
        <f aca="false">IFERROR(ciq($D211,"IQ_PE_EXCL_FWD_CIQ"),"")</f>
        <v/>
      </c>
      <c r="AN211" s="27" t="str">
        <f aca="false">IFERROR(ciq($D211,"IQ_PBV"),"")</f>
        <v/>
      </c>
      <c r="AO211" s="27" t="str">
        <f aca="false">IFERROR(ciq($D211,"IQ_TEV_EBITDA"),"")</f>
        <v/>
      </c>
      <c r="AP211" s="24" t="str">
        <f aca="false">IFERROR(ciq($D211,"IQ_RETURN_EQUITY"),"")</f>
        <v/>
      </c>
      <c r="AQ211" s="24" t="str">
        <f aca="false">IFERROR(ciq($D211,"IQ_RETURN_CAPITAL"),"")</f>
        <v/>
      </c>
      <c r="AR211" s="24" t="str">
        <f aca="false">IFERROR(ciq($D211,"IQ_TOTAL_REV_1YR_ANN_GROWTH"),"")</f>
        <v/>
      </c>
      <c r="AS211" s="24" t="str">
        <f aca="false">IFERROR(ciq($D211,"IQ_EPS_1YR_ANN_GROWTH"),"")</f>
        <v/>
      </c>
      <c r="AT211" s="24" t="str">
        <f aca="false">IFERROR(ciq($D211,"IQ_DIVIDEND_YIELD"),"")</f>
        <v/>
      </c>
      <c r="AU211" s="24" t="str">
        <f aca="false">IFERROR(ciq($D211,"IQ_NET_DEBT"),"")</f>
        <v/>
      </c>
    </row>
    <row r="212" customFormat="false" ht="15" hidden="false" customHeight="false" outlineLevel="0" collapsed="false">
      <c r="A212" s="8" t="s">
        <v>1274</v>
      </c>
      <c r="B212" s="6" t="s">
        <v>1275</v>
      </c>
      <c r="C212" s="8" t="s">
        <v>72</v>
      </c>
      <c r="D212" s="8" t="s">
        <v>1276</v>
      </c>
      <c r="E212" s="8" t="s">
        <v>1277</v>
      </c>
      <c r="F212" s="6" t="s">
        <v>843</v>
      </c>
      <c r="G212" s="8" t="s">
        <v>55</v>
      </c>
      <c r="H212" s="8" t="s">
        <v>66</v>
      </c>
      <c r="I212" s="8"/>
      <c r="J212" s="8"/>
      <c r="K212" s="8"/>
      <c r="L212" s="8" t="s">
        <v>514</v>
      </c>
      <c r="M212" s="23" t="n">
        <v>12440</v>
      </c>
      <c r="N212" s="23" t="n">
        <v>9754.7533504</v>
      </c>
      <c r="O212" s="23" t="n">
        <v>10946.6524736</v>
      </c>
      <c r="P212" s="24" t="n">
        <v>961.985487975</v>
      </c>
      <c r="Q212" s="24" t="n">
        <v>1554.88347241583</v>
      </c>
      <c r="R212" s="24" t="n">
        <v>961.985487975</v>
      </c>
      <c r="S212" s="25" t="n">
        <v>0.098617100137704</v>
      </c>
      <c r="T212" s="26" t="n">
        <v>1.44678517809636</v>
      </c>
      <c r="U212" s="23" t="n">
        <v>5</v>
      </c>
      <c r="V212" s="26" t="n">
        <v>-0.04</v>
      </c>
      <c r="W212" s="26" t="n">
        <v>-0.195082993946173</v>
      </c>
      <c r="X212" s="26" t="n">
        <v>0.214416587293</v>
      </c>
      <c r="Y212" s="26" t="n">
        <v>1.28950763737721</v>
      </c>
      <c r="Z212" s="26" t="n">
        <v>2.34106043689354</v>
      </c>
      <c r="AA212" s="26" t="n">
        <v>3.29173431339497</v>
      </c>
      <c r="AB212" s="26" t="n">
        <v>-0.310697852017228</v>
      </c>
      <c r="AC212" s="27" t="n">
        <v>0.569995120098912</v>
      </c>
      <c r="AD212" s="28" t="n">
        <f aca="false">Params!$B$6*Params!$B$7*$R212</f>
        <v>577.191292785</v>
      </c>
      <c r="AE212" s="29" t="n">
        <f aca="false">MIN(Params!$B$9,AD212/Params!$B$4)</f>
        <v>0.06</v>
      </c>
      <c r="AF212" s="29" t="n">
        <f aca="false">MIN(Params!$B$9,AD212/Params!$B$5)</f>
        <v>0.06</v>
      </c>
      <c r="AG212" s="28" t="n">
        <f aca="false">IF($R212&gt;0,Params!$B$9*Params!$B$4/(Params!$B$6*$R212),"n/a")</f>
        <v>0.155927508132948</v>
      </c>
      <c r="AH212" s="28" t="n">
        <f aca="false">IF($R212&gt;0,Params!$B$9*Params!$B$5/(Params!$B$6*$R212),"n/a")</f>
        <v>0.311855016265897</v>
      </c>
      <c r="AI212" s="28" t="n">
        <f aca="false">IF($R212&gt;0,Params!$B$15*Params!$B$4/(Params!$B$6*$R212),"n/a")</f>
        <v>0.0519758360443161</v>
      </c>
      <c r="AJ212" s="29" t="n">
        <f aca="false">MIN(Params!$B$9,AD212*Params!$B$8/Params!$B$4)</f>
        <v>0.06</v>
      </c>
      <c r="AK212" s="28" t="n">
        <f aca="false">IF($R212&gt;0,Params!$B$9*Params!$B$4/(Params!$B$6*$R212*Params!$B$8),"n/a")</f>
        <v>0.311855016265897</v>
      </c>
      <c r="AL212" s="27" t="str">
        <f aca="false">IFERROR(ciq($D212,"IQ_PE_EXCL"),"")</f>
        <v/>
      </c>
      <c r="AM212" s="27" t="str">
        <f aca="false">IFERROR(ciq($D212,"IQ_PE_EXCL_FWD_CIQ"),"")</f>
        <v/>
      </c>
      <c r="AN212" s="27" t="str">
        <f aca="false">IFERROR(ciq($D212,"IQ_PBV"),"")</f>
        <v/>
      </c>
      <c r="AO212" s="27" t="str">
        <f aca="false">IFERROR(ciq($D212,"IQ_TEV_EBITDA"),"")</f>
        <v/>
      </c>
      <c r="AP212" s="24" t="str">
        <f aca="false">IFERROR(ciq($D212,"IQ_RETURN_EQUITY"),"")</f>
        <v/>
      </c>
      <c r="AQ212" s="24" t="str">
        <f aca="false">IFERROR(ciq($D212,"IQ_RETURN_CAPITAL"),"")</f>
        <v/>
      </c>
      <c r="AR212" s="24" t="str">
        <f aca="false">IFERROR(ciq($D212,"IQ_TOTAL_REV_1YR_ANN_GROWTH"),"")</f>
        <v/>
      </c>
      <c r="AS212" s="24" t="str">
        <f aca="false">IFERROR(ciq($D212,"IQ_EPS_1YR_ANN_GROWTH"),"")</f>
        <v/>
      </c>
      <c r="AT212" s="24" t="str">
        <f aca="false">IFERROR(ciq($D212,"IQ_DIVIDEND_YIELD"),"")</f>
        <v/>
      </c>
      <c r="AU212" s="24" t="str">
        <f aca="false">IFERROR(ciq($D212,"IQ_NET_DEBT"),"")</f>
        <v/>
      </c>
    </row>
    <row r="213" customFormat="false" ht="15" hidden="false" customHeight="false" outlineLevel="0" collapsed="false">
      <c r="A213" s="8" t="s">
        <v>1278</v>
      </c>
      <c r="B213" s="6" t="s">
        <v>1279</v>
      </c>
      <c r="C213" s="8" t="s">
        <v>73</v>
      </c>
      <c r="D213" s="8" t="s">
        <v>1280</v>
      </c>
      <c r="E213" s="8" t="s">
        <v>1281</v>
      </c>
      <c r="F213" s="6" t="s">
        <v>627</v>
      </c>
      <c r="G213" s="8" t="s">
        <v>55</v>
      </c>
      <c r="H213" s="8" t="s">
        <v>66</v>
      </c>
      <c r="I213" s="8"/>
      <c r="J213" s="8"/>
      <c r="K213" s="8"/>
      <c r="L213" s="8" t="s">
        <v>115</v>
      </c>
      <c r="M213" s="23" t="n">
        <v>11750</v>
      </c>
      <c r="N213" s="23" t="n">
        <v>9640.328625</v>
      </c>
      <c r="O213" s="23" t="n">
        <v>8894.12616675</v>
      </c>
      <c r="P213" s="24" t="n">
        <v>208.65149427</v>
      </c>
      <c r="Q213" s="24" t="n">
        <v>129.265000010833</v>
      </c>
      <c r="R213" s="24" t="n">
        <v>129.265000010833</v>
      </c>
      <c r="S213" s="25" t="n">
        <v>0.0216436080538696</v>
      </c>
      <c r="T213" s="26" t="n">
        <v>1.05159710265153</v>
      </c>
      <c r="U213" s="23" t="n">
        <v>2</v>
      </c>
      <c r="V213" s="26" t="n">
        <v>-0.04</v>
      </c>
      <c r="W213" s="26" t="n">
        <v>0.225102114696906</v>
      </c>
      <c r="X213" s="26" t="n">
        <v>-0.192451802295817</v>
      </c>
      <c r="Y213" s="26" t="n">
        <v>-0.429792039741449</v>
      </c>
      <c r="Z213" s="26" t="n">
        <v>-0.188778262158714</v>
      </c>
      <c r="AA213" s="26" t="n">
        <v>0.0556271856545456</v>
      </c>
      <c r="AB213" s="26" t="n">
        <v>-0.504198566426359</v>
      </c>
      <c r="AC213" s="27" t="n">
        <v>1.2989544738699</v>
      </c>
      <c r="AD213" s="28" t="n">
        <f aca="false">Params!$B$6*Params!$B$7*$R213</f>
        <v>77.5590000065</v>
      </c>
      <c r="AE213" s="29" t="n">
        <f aca="false">MIN(Params!$B$9,AD213/Params!$B$4)</f>
        <v>0.06</v>
      </c>
      <c r="AF213" s="29" t="n">
        <f aca="false">MIN(Params!$B$9,AD213/Params!$B$5)</f>
        <v>0.06</v>
      </c>
      <c r="AG213" s="28" t="n">
        <f aca="false">IF($R213&gt;0,Params!$B$9*Params!$B$4/(Params!$B$6*$R213),"n/a")</f>
        <v>1.16040691592797</v>
      </c>
      <c r="AH213" s="28" t="n">
        <f aca="false">IF($R213&gt;0,Params!$B$9*Params!$B$5/(Params!$B$6*$R213),"n/a")</f>
        <v>2.32081383185594</v>
      </c>
      <c r="AI213" s="28" t="n">
        <f aca="false">IF($R213&gt;0,Params!$B$15*Params!$B$4/(Params!$B$6*$R213),"n/a")</f>
        <v>0.386802305309323</v>
      </c>
      <c r="AJ213" s="29" t="n">
        <f aca="false">MIN(Params!$B$9,AD213*Params!$B$8/Params!$B$4)</f>
        <v>0.06</v>
      </c>
      <c r="AK213" s="28" t="n">
        <f aca="false">IF($R213&gt;0,Params!$B$9*Params!$B$4/(Params!$B$6*$R213*Params!$B$8),"n/a")</f>
        <v>2.32081383185594</v>
      </c>
      <c r="AL213" s="27" t="str">
        <f aca="false">IFERROR(ciq($D213,"IQ_PE_EXCL"),"")</f>
        <v/>
      </c>
      <c r="AM213" s="27" t="str">
        <f aca="false">IFERROR(ciq($D213,"IQ_PE_EXCL_FWD_CIQ"),"")</f>
        <v/>
      </c>
      <c r="AN213" s="27" t="str">
        <f aca="false">IFERROR(ciq($D213,"IQ_PBV"),"")</f>
        <v/>
      </c>
      <c r="AO213" s="27" t="str">
        <f aca="false">IFERROR(ciq($D213,"IQ_TEV_EBITDA"),"")</f>
        <v/>
      </c>
      <c r="AP213" s="24" t="str">
        <f aca="false">IFERROR(ciq($D213,"IQ_RETURN_EQUITY"),"")</f>
        <v/>
      </c>
      <c r="AQ213" s="24" t="str">
        <f aca="false">IFERROR(ciq($D213,"IQ_RETURN_CAPITAL"),"")</f>
        <v/>
      </c>
      <c r="AR213" s="24" t="str">
        <f aca="false">IFERROR(ciq($D213,"IQ_TOTAL_REV_1YR_ANN_GROWTH"),"")</f>
        <v/>
      </c>
      <c r="AS213" s="24" t="str">
        <f aca="false">IFERROR(ciq($D213,"IQ_EPS_1YR_ANN_GROWTH"),"")</f>
        <v/>
      </c>
      <c r="AT213" s="24" t="str">
        <f aca="false">IFERROR(ciq($D213,"IQ_DIVIDEND_YIELD"),"")</f>
        <v/>
      </c>
      <c r="AU213" s="24" t="str">
        <f aca="false">IFERROR(ciq($D213,"IQ_NET_DEBT"),"")</f>
        <v/>
      </c>
    </row>
    <row r="214" customFormat="false" ht="15" hidden="false" customHeight="false" outlineLevel="0" collapsed="false">
      <c r="A214" s="8" t="s">
        <v>1282</v>
      </c>
      <c r="B214" s="6" t="s">
        <v>1283</v>
      </c>
      <c r="C214" s="8" t="s">
        <v>73</v>
      </c>
      <c r="D214" s="8" t="s">
        <v>1284</v>
      </c>
      <c r="E214" s="8" t="s">
        <v>1285</v>
      </c>
      <c r="F214" s="8"/>
      <c r="G214" s="8" t="s">
        <v>55</v>
      </c>
      <c r="H214" s="8" t="s">
        <v>66</v>
      </c>
      <c r="I214" s="8"/>
      <c r="J214" s="8"/>
      <c r="K214" s="8"/>
      <c r="L214" s="8" t="s">
        <v>115</v>
      </c>
      <c r="M214" s="23" t="n">
        <v>18580</v>
      </c>
      <c r="N214" s="23" t="n">
        <v>9578.2430596</v>
      </c>
      <c r="O214" s="23" t="n">
        <v>12026.67499779</v>
      </c>
      <c r="P214" s="24" t="n">
        <v>239.57703232</v>
      </c>
      <c r="Q214" s="24" t="n">
        <v>350.931498510833</v>
      </c>
      <c r="R214" s="24" t="n">
        <v>239.57703232</v>
      </c>
      <c r="S214" s="25" t="n">
        <v>0.0250126281854874</v>
      </c>
      <c r="T214" s="26" t="n">
        <v>1.54563063160508</v>
      </c>
      <c r="U214" s="23" t="n">
        <v>3</v>
      </c>
      <c r="V214" s="26" t="n">
        <v>-0.04</v>
      </c>
      <c r="W214" s="26" t="n">
        <v>-0.0348725525273372</v>
      </c>
      <c r="X214" s="26" t="n">
        <v>-0.338816374900182</v>
      </c>
      <c r="Y214" s="26" t="n">
        <v>-0.63496291059255</v>
      </c>
      <c r="Z214" s="26" t="n">
        <v>0.264998834547995</v>
      </c>
      <c r="AA214" s="26" t="n">
        <v>0.608179994932562</v>
      </c>
      <c r="AB214" s="26" t="n">
        <v>-0.650079477178441</v>
      </c>
      <c r="AC214" s="27" t="n">
        <v>0.486171876396793</v>
      </c>
      <c r="AD214" s="28" t="n">
        <f aca="false">Params!$B$6*Params!$B$7*$R214</f>
        <v>143.746219392</v>
      </c>
      <c r="AE214" s="29" t="n">
        <f aca="false">MIN(Params!$B$9,AD214/Params!$B$4)</f>
        <v>0.06</v>
      </c>
      <c r="AF214" s="29" t="n">
        <f aca="false">MIN(Params!$B$9,AD214/Params!$B$5)</f>
        <v>0.06</v>
      </c>
      <c r="AG214" s="28" t="n">
        <f aca="false">IF($R214&gt;0,Params!$B$9*Params!$B$4/(Params!$B$6*$R214),"n/a")</f>
        <v>0.62610342296772</v>
      </c>
      <c r="AH214" s="28" t="n">
        <f aca="false">IF($R214&gt;0,Params!$B$9*Params!$B$5/(Params!$B$6*$R214),"n/a")</f>
        <v>1.25220684593544</v>
      </c>
      <c r="AI214" s="28" t="n">
        <f aca="false">IF($R214&gt;0,Params!$B$15*Params!$B$4/(Params!$B$6*$R214),"n/a")</f>
        <v>0.20870114098924</v>
      </c>
      <c r="AJ214" s="29" t="n">
        <f aca="false">MIN(Params!$B$9,AD214*Params!$B$8/Params!$B$4)</f>
        <v>0.06</v>
      </c>
      <c r="AK214" s="28" t="n">
        <f aca="false">IF($R214&gt;0,Params!$B$9*Params!$B$4/(Params!$B$6*$R214*Params!$B$8),"n/a")</f>
        <v>1.25220684593544</v>
      </c>
      <c r="AL214" s="27" t="str">
        <f aca="false">IFERROR(ciq($D214,"IQ_PE_EXCL"),"")</f>
        <v/>
      </c>
      <c r="AM214" s="27" t="str">
        <f aca="false">IFERROR(ciq($D214,"IQ_PE_EXCL_FWD_CIQ"),"")</f>
        <v/>
      </c>
      <c r="AN214" s="27" t="str">
        <f aca="false">IFERROR(ciq($D214,"IQ_PBV"),"")</f>
        <v/>
      </c>
      <c r="AO214" s="27" t="str">
        <f aca="false">IFERROR(ciq($D214,"IQ_TEV_EBITDA"),"")</f>
        <v/>
      </c>
      <c r="AP214" s="24" t="str">
        <f aca="false">IFERROR(ciq($D214,"IQ_RETURN_EQUITY"),"")</f>
        <v/>
      </c>
      <c r="AQ214" s="24" t="str">
        <f aca="false">IFERROR(ciq($D214,"IQ_RETURN_CAPITAL"),"")</f>
        <v/>
      </c>
      <c r="AR214" s="24" t="str">
        <f aca="false">IFERROR(ciq($D214,"IQ_TOTAL_REV_1YR_ANN_GROWTH"),"")</f>
        <v/>
      </c>
      <c r="AS214" s="24" t="str">
        <f aca="false">IFERROR(ciq($D214,"IQ_EPS_1YR_ANN_GROWTH"),"")</f>
        <v/>
      </c>
      <c r="AT214" s="24" t="str">
        <f aca="false">IFERROR(ciq($D214,"IQ_DIVIDEND_YIELD"),"")</f>
        <v/>
      </c>
      <c r="AU214" s="24" t="str">
        <f aca="false">IFERROR(ciq($D214,"IQ_NET_DEBT"),"")</f>
        <v/>
      </c>
    </row>
    <row r="215" customFormat="false" ht="15" hidden="false" customHeight="false" outlineLevel="0" collapsed="false">
      <c r="A215" s="8" t="s">
        <v>1286</v>
      </c>
      <c r="B215" s="8" t="s">
        <v>1287</v>
      </c>
      <c r="C215" s="8" t="s">
        <v>73</v>
      </c>
      <c r="D215" s="8" t="s">
        <v>1288</v>
      </c>
      <c r="E215" s="8" t="s">
        <v>1289</v>
      </c>
      <c r="F215" s="6" t="s">
        <v>513</v>
      </c>
      <c r="G215" s="8" t="s">
        <v>55</v>
      </c>
      <c r="H215" s="8" t="s">
        <v>66</v>
      </c>
      <c r="I215" s="8"/>
      <c r="J215" s="8"/>
      <c r="K215" s="8"/>
      <c r="L215" s="8"/>
      <c r="M215" s="23" t="n">
        <v>5620</v>
      </c>
      <c r="N215" s="23" t="n">
        <v>9242.6690286</v>
      </c>
      <c r="O215" s="23" t="n">
        <v>9442.8994475025</v>
      </c>
      <c r="P215" s="24" t="n">
        <v>105.465147588</v>
      </c>
      <c r="Q215" s="24" t="n">
        <v>133.874810457</v>
      </c>
      <c r="R215" s="24" t="n">
        <v>105.465147588</v>
      </c>
      <c r="S215" s="25" t="n">
        <v>0.0114106809690637</v>
      </c>
      <c r="T215" s="26" t="n">
        <v>1.02807057437625</v>
      </c>
      <c r="U215" s="23" t="n">
        <v>1</v>
      </c>
      <c r="V215" s="26" t="n">
        <v>-0.06</v>
      </c>
      <c r="W215" s="26" t="n">
        <v>0.0723577061948126</v>
      </c>
      <c r="X215" s="26" t="n">
        <v>-0.206387991778624</v>
      </c>
      <c r="Y215" s="26" t="n">
        <v>-0.207372121020498</v>
      </c>
      <c r="Z215" s="26" t="n">
        <v>0.228166729008155</v>
      </c>
      <c r="AA215" s="26" t="n">
        <v>0.694390013881596</v>
      </c>
      <c r="AB215" s="26" t="n">
        <v>-0.489646644468652</v>
      </c>
      <c r="AC215" s="27" t="n">
        <v>0.258647169813898</v>
      </c>
      <c r="AD215" s="28" t="n">
        <f aca="false">Params!$B$6*Params!$B$7*$R215</f>
        <v>63.2790885528</v>
      </c>
      <c r="AE215" s="29" t="n">
        <f aca="false">MIN(Params!$B$9,AD215/Params!$B$4)</f>
        <v>0.06</v>
      </c>
      <c r="AF215" s="29" t="n">
        <f aca="false">MIN(Params!$B$9,AD215/Params!$B$5)</f>
        <v>0.06</v>
      </c>
      <c r="AG215" s="28" t="n">
        <f aca="false">IF($R215&gt;0,Params!$B$9*Params!$B$4/(Params!$B$6*$R215),"n/a")</f>
        <v>1.42227080159197</v>
      </c>
      <c r="AH215" s="28" t="n">
        <f aca="false">IF($R215&gt;0,Params!$B$9*Params!$B$5/(Params!$B$6*$R215),"n/a")</f>
        <v>2.84454160318394</v>
      </c>
      <c r="AI215" s="28" t="n">
        <f aca="false">IF($R215&gt;0,Params!$B$15*Params!$B$4/(Params!$B$6*$R215),"n/a")</f>
        <v>0.474090267197323</v>
      </c>
      <c r="AJ215" s="29" t="n">
        <f aca="false">MIN(Params!$B$9,AD215*Params!$B$8/Params!$B$4)</f>
        <v>0.06</v>
      </c>
      <c r="AK215" s="28" t="n">
        <f aca="false">IF($R215&gt;0,Params!$B$9*Params!$B$4/(Params!$B$6*$R215*Params!$B$8),"n/a")</f>
        <v>2.84454160318394</v>
      </c>
      <c r="AL215" s="27" t="str">
        <f aca="false">IFERROR(ciq($D215,"IQ_PE_EXCL"),"")</f>
        <v/>
      </c>
      <c r="AM215" s="27" t="str">
        <f aca="false">IFERROR(ciq($D215,"IQ_PE_EXCL_FWD_CIQ"),"")</f>
        <v/>
      </c>
      <c r="AN215" s="27" t="str">
        <f aca="false">IFERROR(ciq($D215,"IQ_PBV"),"")</f>
        <v/>
      </c>
      <c r="AO215" s="27" t="str">
        <f aca="false">IFERROR(ciq($D215,"IQ_TEV_EBITDA"),"")</f>
        <v/>
      </c>
      <c r="AP215" s="24" t="str">
        <f aca="false">IFERROR(ciq($D215,"IQ_RETURN_EQUITY"),"")</f>
        <v/>
      </c>
      <c r="AQ215" s="24" t="str">
        <f aca="false">IFERROR(ciq($D215,"IQ_RETURN_CAPITAL"),"")</f>
        <v/>
      </c>
      <c r="AR215" s="24" t="str">
        <f aca="false">IFERROR(ciq($D215,"IQ_TOTAL_REV_1YR_ANN_GROWTH"),"")</f>
        <v/>
      </c>
      <c r="AS215" s="24" t="str">
        <f aca="false">IFERROR(ciq($D215,"IQ_EPS_1YR_ANN_GROWTH"),"")</f>
        <v/>
      </c>
      <c r="AT215" s="24" t="str">
        <f aca="false">IFERROR(ciq($D215,"IQ_DIVIDEND_YIELD"),"")</f>
        <v/>
      </c>
      <c r="AU215" s="24" t="str">
        <f aca="false">IFERROR(ciq($D215,"IQ_NET_DEBT"),"")</f>
        <v/>
      </c>
    </row>
    <row r="216" customFormat="false" ht="15" hidden="false" customHeight="false" outlineLevel="0" collapsed="false">
      <c r="A216" s="8" t="s">
        <v>363</v>
      </c>
      <c r="B216" s="6" t="s">
        <v>364</v>
      </c>
      <c r="C216" s="8" t="s">
        <v>73</v>
      </c>
      <c r="D216" s="8" t="s">
        <v>1290</v>
      </c>
      <c r="E216" s="8" t="s">
        <v>1291</v>
      </c>
      <c r="F216" s="8"/>
      <c r="G216" s="8" t="s">
        <v>55</v>
      </c>
      <c r="H216" s="8" t="s">
        <v>66</v>
      </c>
      <c r="I216" s="8" t="s">
        <v>508</v>
      </c>
      <c r="J216" s="8"/>
      <c r="K216" s="8"/>
      <c r="L216" s="6" t="s">
        <v>172</v>
      </c>
      <c r="M216" s="23" t="n">
        <v>37650</v>
      </c>
      <c r="N216" s="23" t="n">
        <v>8923.52439</v>
      </c>
      <c r="O216" s="23" t="n">
        <v>8055.40057025</v>
      </c>
      <c r="P216" s="24" t="n">
        <v>241.5811658375</v>
      </c>
      <c r="Q216" s="24" t="n">
        <v>187.089264266667</v>
      </c>
      <c r="R216" s="24" t="n">
        <v>187.089264266667</v>
      </c>
      <c r="S216" s="25" t="n">
        <v>0.027072393740328</v>
      </c>
      <c r="T216" s="26" t="n">
        <v>1.291183871741</v>
      </c>
      <c r="U216" s="23" t="n">
        <v>3</v>
      </c>
      <c r="V216" s="26" t="n">
        <v>-0.04</v>
      </c>
      <c r="W216" s="26" t="n">
        <v>0.34205234820143</v>
      </c>
      <c r="X216" s="26" t="n">
        <v>-0.254159491055661</v>
      </c>
      <c r="Y216" s="26" t="n">
        <v>0.26810838019264</v>
      </c>
      <c r="Z216" s="26" t="n">
        <v>0.321122534135982</v>
      </c>
      <c r="AA216" s="26" t="n">
        <v>1.81640055710216</v>
      </c>
      <c r="AB216" s="26" t="n">
        <v>-0.401236029248258</v>
      </c>
      <c r="AC216" s="27" t="n">
        <v>1.04209078669447</v>
      </c>
      <c r="AD216" s="28" t="n">
        <f aca="false">Params!$B$6*Params!$B$7*$R216</f>
        <v>112.25355856</v>
      </c>
      <c r="AE216" s="29" t="n">
        <f aca="false">MIN(Params!$B$9,AD216/Params!$B$4)</f>
        <v>0.06</v>
      </c>
      <c r="AF216" s="29" t="n">
        <f aca="false">MIN(Params!$B$9,AD216/Params!$B$5)</f>
        <v>0.06</v>
      </c>
      <c r="AG216" s="28" t="n">
        <f aca="false">IF($R216&gt;0,Params!$B$9*Params!$B$4/(Params!$B$6*$R216),"n/a")</f>
        <v>0.801756319839915</v>
      </c>
      <c r="AH216" s="28" t="n">
        <f aca="false">IF($R216&gt;0,Params!$B$9*Params!$B$5/(Params!$B$6*$R216),"n/a")</f>
        <v>1.60351263967983</v>
      </c>
      <c r="AI216" s="28" t="n">
        <f aca="false">IF($R216&gt;0,Params!$B$15*Params!$B$4/(Params!$B$6*$R216),"n/a")</f>
        <v>0.267252106613305</v>
      </c>
      <c r="AJ216" s="29" t="n">
        <f aca="false">MIN(Params!$B$9,AD216*Params!$B$8/Params!$B$4)</f>
        <v>0.06</v>
      </c>
      <c r="AK216" s="28" t="n">
        <f aca="false">IF($R216&gt;0,Params!$B$9*Params!$B$4/(Params!$B$6*$R216*Params!$B$8),"n/a")</f>
        <v>1.60351263967983</v>
      </c>
      <c r="AL216" s="27" t="str">
        <f aca="false">IFERROR(ciq($D216,"IQ_PE_EXCL"),"")</f>
        <v/>
      </c>
      <c r="AM216" s="27" t="str">
        <f aca="false">IFERROR(ciq($D216,"IQ_PE_EXCL_FWD_CIQ"),"")</f>
        <v/>
      </c>
      <c r="AN216" s="27" t="str">
        <f aca="false">IFERROR(ciq($D216,"IQ_PBV"),"")</f>
        <v/>
      </c>
      <c r="AO216" s="27" t="str">
        <f aca="false">IFERROR(ciq($D216,"IQ_TEV_EBITDA"),"")</f>
        <v/>
      </c>
      <c r="AP216" s="24" t="str">
        <f aca="false">IFERROR(ciq($D216,"IQ_RETURN_EQUITY"),"")</f>
        <v/>
      </c>
      <c r="AQ216" s="24" t="str">
        <f aca="false">IFERROR(ciq($D216,"IQ_RETURN_CAPITAL"),"")</f>
        <v/>
      </c>
      <c r="AR216" s="24" t="str">
        <f aca="false">IFERROR(ciq($D216,"IQ_TOTAL_REV_1YR_ANN_GROWTH"),"")</f>
        <v/>
      </c>
      <c r="AS216" s="24" t="str">
        <f aca="false">IFERROR(ciq($D216,"IQ_EPS_1YR_ANN_GROWTH"),"")</f>
        <v/>
      </c>
      <c r="AT216" s="24" t="str">
        <f aca="false">IFERROR(ciq($D216,"IQ_DIVIDEND_YIELD"),"")</f>
        <v/>
      </c>
      <c r="AU216" s="24" t="str">
        <f aca="false">IFERROR(ciq($D216,"IQ_NET_DEBT"),"")</f>
        <v/>
      </c>
    </row>
    <row r="217" customFormat="false" ht="15" hidden="false" customHeight="false" outlineLevel="0" collapsed="false">
      <c r="A217" s="8" t="s">
        <v>1292</v>
      </c>
      <c r="B217" s="8" t="s">
        <v>1293</v>
      </c>
      <c r="C217" s="8" t="s">
        <v>72</v>
      </c>
      <c r="D217" s="8" t="s">
        <v>1294</v>
      </c>
      <c r="E217" s="8" t="s">
        <v>1295</v>
      </c>
      <c r="F217" s="8" t="s">
        <v>587</v>
      </c>
      <c r="G217" s="8" t="s">
        <v>55</v>
      </c>
      <c r="H217" s="8" t="s">
        <v>66</v>
      </c>
      <c r="I217" s="8"/>
      <c r="J217" s="8"/>
      <c r="K217" s="8"/>
      <c r="L217" s="8" t="s">
        <v>115</v>
      </c>
      <c r="M217" s="23" t="n">
        <v>12900</v>
      </c>
      <c r="N217" s="23" t="n">
        <v>8059.678641</v>
      </c>
      <c r="O217" s="23" t="n">
        <v>8457.351932085</v>
      </c>
      <c r="P217" s="24" t="n">
        <v>165.5593594975</v>
      </c>
      <c r="Q217" s="24" t="n">
        <v>326.868504875833</v>
      </c>
      <c r="R217" s="24" t="n">
        <v>165.5593594975</v>
      </c>
      <c r="S217" s="25" t="n">
        <v>0.020541682475439</v>
      </c>
      <c r="T217" s="26" t="n">
        <v>1.26036768505283</v>
      </c>
      <c r="U217" s="23" t="n">
        <v>2</v>
      </c>
      <c r="V217" s="26" t="n">
        <v>-0.04</v>
      </c>
      <c r="W217" s="26" t="n">
        <v>-0.066576581476642</v>
      </c>
      <c r="X217" s="26" t="n">
        <v>-0.112481772308973</v>
      </c>
      <c r="Y217" s="26" t="n">
        <v>-0.291605787462429</v>
      </c>
      <c r="Z217" s="26" t="n">
        <v>-0.362886909392365</v>
      </c>
      <c r="AA217" s="26" t="n">
        <v>-0.37519469836432</v>
      </c>
      <c r="AB217" s="26" t="n">
        <v>-0.57414773884166</v>
      </c>
      <c r="AC217" s="27" t="n">
        <v>0.393689829533742</v>
      </c>
      <c r="AD217" s="28" t="n">
        <f aca="false">Params!$B$6*Params!$B$7*$R217</f>
        <v>99.3356156985</v>
      </c>
      <c r="AE217" s="29" t="n">
        <f aca="false">MIN(Params!$B$9,AD217/Params!$B$4)</f>
        <v>0.06</v>
      </c>
      <c r="AF217" s="29" t="n">
        <f aca="false">MIN(Params!$B$9,AD217/Params!$B$5)</f>
        <v>0.06</v>
      </c>
      <c r="AG217" s="28" t="n">
        <f aca="false">IF($R217&gt;0,Params!$B$9*Params!$B$4/(Params!$B$6*$R217),"n/a")</f>
        <v>0.906019451000987</v>
      </c>
      <c r="AH217" s="28" t="n">
        <f aca="false">IF($R217&gt;0,Params!$B$9*Params!$B$5/(Params!$B$6*$R217),"n/a")</f>
        <v>1.81203890200197</v>
      </c>
      <c r="AI217" s="28" t="n">
        <f aca="false">IF($R217&gt;0,Params!$B$15*Params!$B$4/(Params!$B$6*$R217),"n/a")</f>
        <v>0.302006483666996</v>
      </c>
      <c r="AJ217" s="29" t="n">
        <f aca="false">MIN(Params!$B$9,AD217*Params!$B$8/Params!$B$4)</f>
        <v>0.06</v>
      </c>
      <c r="AK217" s="28" t="n">
        <f aca="false">IF($R217&gt;0,Params!$B$9*Params!$B$4/(Params!$B$6*$R217*Params!$B$8),"n/a")</f>
        <v>1.81203890200197</v>
      </c>
      <c r="AL217" s="27" t="str">
        <f aca="false">IFERROR(ciq($D217,"IQ_PE_EXCL"),"")</f>
        <v/>
      </c>
      <c r="AM217" s="27" t="str">
        <f aca="false">IFERROR(ciq($D217,"IQ_PE_EXCL_FWD_CIQ"),"")</f>
        <v/>
      </c>
      <c r="AN217" s="27" t="str">
        <f aca="false">IFERROR(ciq($D217,"IQ_PBV"),"")</f>
        <v/>
      </c>
      <c r="AO217" s="27" t="str">
        <f aca="false">IFERROR(ciq($D217,"IQ_TEV_EBITDA"),"")</f>
        <v/>
      </c>
      <c r="AP217" s="24" t="str">
        <f aca="false">IFERROR(ciq($D217,"IQ_RETURN_EQUITY"),"")</f>
        <v/>
      </c>
      <c r="AQ217" s="24" t="str">
        <f aca="false">IFERROR(ciq($D217,"IQ_RETURN_CAPITAL"),"")</f>
        <v/>
      </c>
      <c r="AR217" s="24" t="str">
        <f aca="false">IFERROR(ciq($D217,"IQ_TOTAL_REV_1YR_ANN_GROWTH"),"")</f>
        <v/>
      </c>
      <c r="AS217" s="24" t="str">
        <f aca="false">IFERROR(ciq($D217,"IQ_EPS_1YR_ANN_GROWTH"),"")</f>
        <v/>
      </c>
      <c r="AT217" s="24" t="str">
        <f aca="false">IFERROR(ciq($D217,"IQ_DIVIDEND_YIELD"),"")</f>
        <v/>
      </c>
      <c r="AU217" s="24" t="str">
        <f aca="false">IFERROR(ciq($D217,"IQ_NET_DEBT"),"")</f>
        <v/>
      </c>
    </row>
    <row r="218" customFormat="false" ht="15" hidden="false" customHeight="false" outlineLevel="0" collapsed="false">
      <c r="A218" s="8" t="s">
        <v>365</v>
      </c>
      <c r="B218" s="6" t="s">
        <v>366</v>
      </c>
      <c r="C218" s="8" t="s">
        <v>73</v>
      </c>
      <c r="D218" s="8" t="s">
        <v>1296</v>
      </c>
      <c r="E218" s="8" t="s">
        <v>1297</v>
      </c>
      <c r="F218" s="8"/>
      <c r="G218" s="8" t="s">
        <v>55</v>
      </c>
      <c r="H218" s="8" t="s">
        <v>66</v>
      </c>
      <c r="I218" s="8" t="s">
        <v>508</v>
      </c>
      <c r="J218" s="8"/>
      <c r="K218" s="8"/>
      <c r="L218" s="6" t="s">
        <v>367</v>
      </c>
      <c r="M218" s="23" t="n">
        <v>15820</v>
      </c>
      <c r="N218" s="23" t="n">
        <v>7822.1368274</v>
      </c>
      <c r="O218" s="23" t="n">
        <v>8389.98912163846</v>
      </c>
      <c r="P218" s="24" t="n">
        <v>2467.79002320769</v>
      </c>
      <c r="Q218" s="24" t="n">
        <v>2467.79002320769</v>
      </c>
      <c r="R218" s="24" t="n">
        <v>2467.79002320769</v>
      </c>
      <c r="S218" s="25" t="n">
        <v>0.315487964179215</v>
      </c>
      <c r="T218" s="26" t="n">
        <v>3.00402195090823</v>
      </c>
      <c r="U218" s="23" t="n">
        <v>3</v>
      </c>
      <c r="V218" s="26" t="n">
        <v>-0.04</v>
      </c>
      <c r="W218" s="26"/>
      <c r="X218" s="26"/>
      <c r="Y218" s="26"/>
      <c r="Z218" s="26"/>
      <c r="AA218" s="26"/>
      <c r="AB218" s="26" t="n">
        <v>-0.17992918</v>
      </c>
      <c r="AC218" s="27" t="n">
        <v>1</v>
      </c>
      <c r="AD218" s="28" t="n">
        <f aca="false">Params!$B$6*Params!$B$7*$R218</f>
        <v>1480.67401392462</v>
      </c>
      <c r="AE218" s="29" t="n">
        <f aca="false">MIN(Params!$B$9,AD218/Params!$B$4)</f>
        <v>0.06</v>
      </c>
      <c r="AF218" s="29" t="n">
        <f aca="false">MIN(Params!$B$9,AD218/Params!$B$5)</f>
        <v>0.06</v>
      </c>
      <c r="AG218" s="28" t="n">
        <f aca="false">IF($R218&gt;0,Params!$B$9*Params!$B$4/(Params!$B$6*$R218),"n/a")</f>
        <v>0.0607831292733028</v>
      </c>
      <c r="AH218" s="28" t="n">
        <f aca="false">IF($R218&gt;0,Params!$B$9*Params!$B$5/(Params!$B$6*$R218),"n/a")</f>
        <v>0.121566258546606</v>
      </c>
      <c r="AI218" s="28" t="n">
        <f aca="false">IF($R218&gt;0,Params!$B$15*Params!$B$4/(Params!$B$6*$R218),"n/a")</f>
        <v>0.0202610430911009</v>
      </c>
      <c r="AJ218" s="29" t="n">
        <f aca="false">MIN(Params!$B$9,AD218*Params!$B$8/Params!$B$4)</f>
        <v>0.06</v>
      </c>
      <c r="AK218" s="28" t="n">
        <f aca="false">IF($R218&gt;0,Params!$B$9*Params!$B$4/(Params!$B$6*$R218*Params!$B$8),"n/a")</f>
        <v>0.121566258546606</v>
      </c>
      <c r="AL218" s="27" t="str">
        <f aca="false">IFERROR(ciq($D218,"IQ_PE_EXCL"),"")</f>
        <v/>
      </c>
      <c r="AM218" s="27" t="str">
        <f aca="false">IFERROR(ciq($D218,"IQ_PE_EXCL_FWD_CIQ"),"")</f>
        <v/>
      </c>
      <c r="AN218" s="27" t="str">
        <f aca="false">IFERROR(ciq($D218,"IQ_PBV"),"")</f>
        <v/>
      </c>
      <c r="AO218" s="27" t="str">
        <f aca="false">IFERROR(ciq($D218,"IQ_TEV_EBITDA"),"")</f>
        <v/>
      </c>
      <c r="AP218" s="24" t="str">
        <f aca="false">IFERROR(ciq($D218,"IQ_RETURN_EQUITY"),"")</f>
        <v/>
      </c>
      <c r="AQ218" s="24" t="str">
        <f aca="false">IFERROR(ciq($D218,"IQ_RETURN_CAPITAL"),"")</f>
        <v/>
      </c>
      <c r="AR218" s="24" t="str">
        <f aca="false">IFERROR(ciq($D218,"IQ_TOTAL_REV_1YR_ANN_GROWTH"),"")</f>
        <v/>
      </c>
      <c r="AS218" s="24" t="str">
        <f aca="false">IFERROR(ciq($D218,"IQ_EPS_1YR_ANN_GROWTH"),"")</f>
        <v/>
      </c>
      <c r="AT218" s="24" t="str">
        <f aca="false">IFERROR(ciq($D218,"IQ_DIVIDEND_YIELD"),"")</f>
        <v/>
      </c>
      <c r="AU218" s="24" t="str">
        <f aca="false">IFERROR(ciq($D218,"IQ_NET_DEBT"),"")</f>
        <v/>
      </c>
    </row>
    <row r="219" customFormat="false" ht="15" hidden="false" customHeight="false" outlineLevel="0" collapsed="false">
      <c r="A219" s="8" t="s">
        <v>1298</v>
      </c>
      <c r="B219" s="6" t="s">
        <v>1299</v>
      </c>
      <c r="C219" s="8" t="s">
        <v>73</v>
      </c>
      <c r="D219" s="8" t="s">
        <v>1300</v>
      </c>
      <c r="E219" s="8" t="s">
        <v>1301</v>
      </c>
      <c r="F219" s="6" t="s">
        <v>657</v>
      </c>
      <c r="G219" s="8" t="s">
        <v>55</v>
      </c>
      <c r="H219" s="8" t="s">
        <v>66</v>
      </c>
      <c r="I219" s="8"/>
      <c r="J219" s="8"/>
      <c r="K219" s="8"/>
      <c r="L219" s="8" t="s">
        <v>115</v>
      </c>
      <c r="M219" s="23" t="n">
        <v>32700</v>
      </c>
      <c r="N219" s="23" t="n">
        <v>7587.880329</v>
      </c>
      <c r="O219" s="23" t="n">
        <v>7309.426005</v>
      </c>
      <c r="P219" s="24" t="n">
        <v>250.1897054375</v>
      </c>
      <c r="Q219" s="24" t="n">
        <v>140.943613710833</v>
      </c>
      <c r="R219" s="24" t="n">
        <v>140.943613710833</v>
      </c>
      <c r="S219" s="25" t="n">
        <v>0.0329722787642425</v>
      </c>
      <c r="T219" s="26" t="n">
        <v>1.24425125502333</v>
      </c>
      <c r="U219" s="23" t="n">
        <v>4</v>
      </c>
      <c r="V219" s="26" t="n">
        <v>-0.04</v>
      </c>
      <c r="W219" s="26" t="n">
        <v>0.394720640313155</v>
      </c>
      <c r="X219" s="26" t="n">
        <v>-0.273989254329571</v>
      </c>
      <c r="Y219" s="26" t="n">
        <v>-0.513342943360566</v>
      </c>
      <c r="Z219" s="26" t="n">
        <v>0.0796059611129154</v>
      </c>
      <c r="AA219" s="26" t="n">
        <v>1.07192456297927</v>
      </c>
      <c r="AB219" s="26" t="n">
        <v>-0.545137810412717</v>
      </c>
      <c r="AC219" s="27" t="n">
        <v>1.67297898281823</v>
      </c>
      <c r="AD219" s="28" t="n">
        <f aca="false">Params!$B$6*Params!$B$7*$R219</f>
        <v>84.5661682265</v>
      </c>
      <c r="AE219" s="29" t="n">
        <f aca="false">MIN(Params!$B$9,AD219/Params!$B$4)</f>
        <v>0.06</v>
      </c>
      <c r="AF219" s="29" t="n">
        <f aca="false">MIN(Params!$B$9,AD219/Params!$B$5)</f>
        <v>0.06</v>
      </c>
      <c r="AG219" s="28" t="n">
        <f aca="false">IF($R219&gt;0,Params!$B$9*Params!$B$4/(Params!$B$6*$R219),"n/a")</f>
        <v>1.06425538590026</v>
      </c>
      <c r="AH219" s="28" t="n">
        <f aca="false">IF($R219&gt;0,Params!$B$9*Params!$B$5/(Params!$B$6*$R219),"n/a")</f>
        <v>2.12851077180052</v>
      </c>
      <c r="AI219" s="28" t="n">
        <f aca="false">IF($R219&gt;0,Params!$B$15*Params!$B$4/(Params!$B$6*$R219),"n/a")</f>
        <v>0.354751795300087</v>
      </c>
      <c r="AJ219" s="29" t="n">
        <f aca="false">MIN(Params!$B$9,AD219*Params!$B$8/Params!$B$4)</f>
        <v>0.06</v>
      </c>
      <c r="AK219" s="28" t="n">
        <f aca="false">IF($R219&gt;0,Params!$B$9*Params!$B$4/(Params!$B$6*$R219*Params!$B$8),"n/a")</f>
        <v>2.12851077180052</v>
      </c>
      <c r="AL219" s="27" t="str">
        <f aca="false">IFERROR(ciq($D219,"IQ_PE_EXCL"),"")</f>
        <v/>
      </c>
      <c r="AM219" s="27" t="str">
        <f aca="false">IFERROR(ciq($D219,"IQ_PE_EXCL_FWD_CIQ"),"")</f>
        <v/>
      </c>
      <c r="AN219" s="27" t="str">
        <f aca="false">IFERROR(ciq($D219,"IQ_PBV"),"")</f>
        <v/>
      </c>
      <c r="AO219" s="27" t="str">
        <f aca="false">IFERROR(ciq($D219,"IQ_TEV_EBITDA"),"")</f>
        <v/>
      </c>
      <c r="AP219" s="24" t="str">
        <f aca="false">IFERROR(ciq($D219,"IQ_RETURN_EQUITY"),"")</f>
        <v/>
      </c>
      <c r="AQ219" s="24" t="str">
        <f aca="false">IFERROR(ciq($D219,"IQ_RETURN_CAPITAL"),"")</f>
        <v/>
      </c>
      <c r="AR219" s="24" t="str">
        <f aca="false">IFERROR(ciq($D219,"IQ_TOTAL_REV_1YR_ANN_GROWTH"),"")</f>
        <v/>
      </c>
      <c r="AS219" s="24" t="str">
        <f aca="false">IFERROR(ciq($D219,"IQ_EPS_1YR_ANN_GROWTH"),"")</f>
        <v/>
      </c>
      <c r="AT219" s="24" t="str">
        <f aca="false">IFERROR(ciq($D219,"IQ_DIVIDEND_YIELD"),"")</f>
        <v/>
      </c>
      <c r="AU219" s="24" t="str">
        <f aca="false">IFERROR(ciq($D219,"IQ_NET_DEBT"),"")</f>
        <v/>
      </c>
    </row>
    <row r="220" customFormat="false" ht="15" hidden="false" customHeight="false" outlineLevel="0" collapsed="false">
      <c r="A220" s="8" t="s">
        <v>368</v>
      </c>
      <c r="B220" s="6" t="s">
        <v>369</v>
      </c>
      <c r="C220" s="8" t="s">
        <v>73</v>
      </c>
      <c r="D220" s="8" t="s">
        <v>1302</v>
      </c>
      <c r="E220" s="8" t="s">
        <v>1303</v>
      </c>
      <c r="F220" s="8"/>
      <c r="G220" s="8" t="s">
        <v>55</v>
      </c>
      <c r="H220" s="8" t="s">
        <v>66</v>
      </c>
      <c r="I220" s="8" t="s">
        <v>508</v>
      </c>
      <c r="J220" s="8"/>
      <c r="K220" s="8"/>
      <c r="L220" s="6" t="s">
        <v>370</v>
      </c>
      <c r="M220" s="23" t="n">
        <v>26400</v>
      </c>
      <c r="N220" s="23" t="n">
        <v>7406.635104</v>
      </c>
      <c r="O220" s="23" t="n">
        <v>9005.794956</v>
      </c>
      <c r="P220" s="24" t="n">
        <v>132.6418977125</v>
      </c>
      <c r="Q220" s="24" t="n">
        <v>151.638589323333</v>
      </c>
      <c r="R220" s="24" t="n">
        <v>132.6418977125</v>
      </c>
      <c r="S220" s="25" t="n">
        <v>0.0179085233510243</v>
      </c>
      <c r="T220" s="26" t="n">
        <v>1.27812742215095</v>
      </c>
      <c r="U220" s="23" t="n">
        <v>4</v>
      </c>
      <c r="V220" s="26" t="n">
        <v>-0.04</v>
      </c>
      <c r="W220" s="26" t="n">
        <v>-0.175057257939048</v>
      </c>
      <c r="X220" s="26" t="n">
        <v>-0.437787046532682</v>
      </c>
      <c r="Y220" s="26" t="n">
        <v>-0.683477507360429</v>
      </c>
      <c r="Z220" s="26" t="n">
        <v>-0.6710824351851</v>
      </c>
      <c r="AA220" s="26"/>
      <c r="AB220" s="26" t="n">
        <v>-0.776273842166044</v>
      </c>
      <c r="AC220" s="27" t="n">
        <v>0.283334880508935</v>
      </c>
      <c r="AD220" s="28" t="n">
        <f aca="false">Params!$B$6*Params!$B$7*$R220</f>
        <v>79.5851386275</v>
      </c>
      <c r="AE220" s="29" t="n">
        <f aca="false">MIN(Params!$B$9,AD220/Params!$B$4)</f>
        <v>0.06</v>
      </c>
      <c r="AF220" s="29" t="n">
        <f aca="false">MIN(Params!$B$9,AD220/Params!$B$5)</f>
        <v>0.06</v>
      </c>
      <c r="AG220" s="28" t="n">
        <f aca="false">IF($R220&gt;0,Params!$B$9*Params!$B$4/(Params!$B$6*$R220),"n/a")</f>
        <v>1.1308643994609</v>
      </c>
      <c r="AH220" s="28" t="n">
        <f aca="false">IF($R220&gt;0,Params!$B$9*Params!$B$5/(Params!$B$6*$R220),"n/a")</f>
        <v>2.26172879892179</v>
      </c>
      <c r="AI220" s="28" t="n">
        <f aca="false">IF($R220&gt;0,Params!$B$15*Params!$B$4/(Params!$B$6*$R220),"n/a")</f>
        <v>0.376954799820299</v>
      </c>
      <c r="AJ220" s="29" t="n">
        <f aca="false">MIN(Params!$B$9,AD220*Params!$B$8/Params!$B$4)</f>
        <v>0.06</v>
      </c>
      <c r="AK220" s="28" t="n">
        <f aca="false">IF($R220&gt;0,Params!$B$9*Params!$B$4/(Params!$B$6*$R220*Params!$B$8),"n/a")</f>
        <v>2.26172879892179</v>
      </c>
      <c r="AL220" s="27" t="str">
        <f aca="false">IFERROR(ciq($D220,"IQ_PE_EXCL"),"")</f>
        <v/>
      </c>
      <c r="AM220" s="27" t="str">
        <f aca="false">IFERROR(ciq($D220,"IQ_PE_EXCL_FWD_CIQ"),"")</f>
        <v/>
      </c>
      <c r="AN220" s="27" t="str">
        <f aca="false">IFERROR(ciq($D220,"IQ_PBV"),"")</f>
        <v/>
      </c>
      <c r="AO220" s="27" t="str">
        <f aca="false">IFERROR(ciq($D220,"IQ_TEV_EBITDA"),"")</f>
        <v/>
      </c>
      <c r="AP220" s="24" t="str">
        <f aca="false">IFERROR(ciq($D220,"IQ_RETURN_EQUITY"),"")</f>
        <v/>
      </c>
      <c r="AQ220" s="24" t="str">
        <f aca="false">IFERROR(ciq($D220,"IQ_RETURN_CAPITAL"),"")</f>
        <v/>
      </c>
      <c r="AR220" s="24" t="str">
        <f aca="false">IFERROR(ciq($D220,"IQ_TOTAL_REV_1YR_ANN_GROWTH"),"")</f>
        <v/>
      </c>
      <c r="AS220" s="24" t="str">
        <f aca="false">IFERROR(ciq($D220,"IQ_EPS_1YR_ANN_GROWTH"),"")</f>
        <v/>
      </c>
      <c r="AT220" s="24" t="str">
        <f aca="false">IFERROR(ciq($D220,"IQ_DIVIDEND_YIELD"),"")</f>
        <v/>
      </c>
      <c r="AU220" s="24" t="str">
        <f aca="false">IFERROR(ciq($D220,"IQ_NET_DEBT"),"")</f>
        <v/>
      </c>
    </row>
    <row r="221" customFormat="false" ht="15" hidden="false" customHeight="false" outlineLevel="0" collapsed="false">
      <c r="A221" s="8" t="s">
        <v>1304</v>
      </c>
      <c r="B221" s="6" t="s">
        <v>1305</v>
      </c>
      <c r="C221" s="8" t="s">
        <v>73</v>
      </c>
      <c r="D221" s="8" t="s">
        <v>1306</v>
      </c>
      <c r="E221" s="8" t="s">
        <v>1307</v>
      </c>
      <c r="F221" s="8"/>
      <c r="G221" s="8" t="s">
        <v>55</v>
      </c>
      <c r="H221" s="8" t="s">
        <v>66</v>
      </c>
      <c r="I221" s="8"/>
      <c r="J221" s="8"/>
      <c r="K221" s="8"/>
      <c r="L221" s="8" t="s">
        <v>115</v>
      </c>
      <c r="M221" s="23" t="n">
        <v>13870</v>
      </c>
      <c r="N221" s="23" t="n">
        <v>7367.8241686</v>
      </c>
      <c r="O221" s="23" t="n">
        <v>8329.3066304</v>
      </c>
      <c r="P221" s="24" t="n">
        <v>198.4541529275</v>
      </c>
      <c r="Q221" s="24" t="n">
        <v>309.827920711667</v>
      </c>
      <c r="R221" s="24" t="n">
        <v>198.4541529275</v>
      </c>
      <c r="S221" s="25" t="n">
        <v>0.0269352455197379</v>
      </c>
      <c r="T221" s="26" t="n">
        <v>1.13643085473478</v>
      </c>
      <c r="U221" s="23" t="n">
        <v>2</v>
      </c>
      <c r="V221" s="26" t="n">
        <v>-0.04</v>
      </c>
      <c r="W221" s="26" t="n">
        <v>-0.0533719383251894</v>
      </c>
      <c r="X221" s="26" t="n">
        <v>-0.68268053296621</v>
      </c>
      <c r="Y221" s="26" t="n">
        <v>-0.390420679158094</v>
      </c>
      <c r="Z221" s="26" t="n">
        <v>0.113898089533709</v>
      </c>
      <c r="AA221" s="26" t="n">
        <v>1.25892570309942</v>
      </c>
      <c r="AB221" s="26" t="n">
        <v>-0.794231819655838</v>
      </c>
      <c r="AC221" s="27" t="n">
        <v>0.168680740231039</v>
      </c>
      <c r="AD221" s="28" t="n">
        <f aca="false">Params!$B$6*Params!$B$7*$R221</f>
        <v>119.0724917565</v>
      </c>
      <c r="AE221" s="29" t="n">
        <f aca="false">MIN(Params!$B$9,AD221/Params!$B$4)</f>
        <v>0.06</v>
      </c>
      <c r="AF221" s="29" t="n">
        <f aca="false">MIN(Params!$B$9,AD221/Params!$B$5)</f>
        <v>0.06</v>
      </c>
      <c r="AG221" s="28" t="n">
        <f aca="false">IF($R221&gt;0,Params!$B$9*Params!$B$4/(Params!$B$6*$R221),"n/a")</f>
        <v>0.755842081343586</v>
      </c>
      <c r="AH221" s="28" t="n">
        <f aca="false">IF($R221&gt;0,Params!$B$9*Params!$B$5/(Params!$B$6*$R221),"n/a")</f>
        <v>1.51168416268717</v>
      </c>
      <c r="AI221" s="28" t="n">
        <f aca="false">IF($R221&gt;0,Params!$B$15*Params!$B$4/(Params!$B$6*$R221),"n/a")</f>
        <v>0.251947360447862</v>
      </c>
      <c r="AJ221" s="29" t="n">
        <f aca="false">MIN(Params!$B$9,AD221*Params!$B$8/Params!$B$4)</f>
        <v>0.06</v>
      </c>
      <c r="AK221" s="28" t="n">
        <f aca="false">IF($R221&gt;0,Params!$B$9*Params!$B$4/(Params!$B$6*$R221*Params!$B$8),"n/a")</f>
        <v>1.51168416268717</v>
      </c>
      <c r="AL221" s="27" t="str">
        <f aca="false">IFERROR(ciq($D221,"IQ_PE_EXCL"),"")</f>
        <v/>
      </c>
      <c r="AM221" s="27" t="str">
        <f aca="false">IFERROR(ciq($D221,"IQ_PE_EXCL_FWD_CIQ"),"")</f>
        <v/>
      </c>
      <c r="AN221" s="27" t="str">
        <f aca="false">IFERROR(ciq($D221,"IQ_PBV"),"")</f>
        <v/>
      </c>
      <c r="AO221" s="27" t="str">
        <f aca="false">IFERROR(ciq($D221,"IQ_TEV_EBITDA"),"")</f>
        <v/>
      </c>
      <c r="AP221" s="24" t="str">
        <f aca="false">IFERROR(ciq($D221,"IQ_RETURN_EQUITY"),"")</f>
        <v/>
      </c>
      <c r="AQ221" s="24" t="str">
        <f aca="false">IFERROR(ciq($D221,"IQ_RETURN_CAPITAL"),"")</f>
        <v/>
      </c>
      <c r="AR221" s="24" t="str">
        <f aca="false">IFERROR(ciq($D221,"IQ_TOTAL_REV_1YR_ANN_GROWTH"),"")</f>
        <v/>
      </c>
      <c r="AS221" s="24" t="str">
        <f aca="false">IFERROR(ciq($D221,"IQ_EPS_1YR_ANN_GROWTH"),"")</f>
        <v/>
      </c>
      <c r="AT221" s="24" t="str">
        <f aca="false">IFERROR(ciq($D221,"IQ_DIVIDEND_YIELD"),"")</f>
        <v/>
      </c>
      <c r="AU221" s="24" t="str">
        <f aca="false">IFERROR(ciq($D221,"IQ_NET_DEBT"),"")</f>
        <v/>
      </c>
    </row>
    <row r="222" customFormat="false" ht="15" hidden="false" customHeight="false" outlineLevel="0" collapsed="false">
      <c r="A222" s="8" t="s">
        <v>1308</v>
      </c>
      <c r="B222" s="6" t="s">
        <v>1309</v>
      </c>
      <c r="C222" s="8" t="s">
        <v>73</v>
      </c>
      <c r="D222" s="8" t="s">
        <v>1310</v>
      </c>
      <c r="E222" s="8" t="s">
        <v>1311</v>
      </c>
      <c r="F222" s="6" t="s">
        <v>584</v>
      </c>
      <c r="G222" s="8" t="s">
        <v>55</v>
      </c>
      <c r="H222" s="8" t="s">
        <v>66</v>
      </c>
      <c r="I222" s="8"/>
      <c r="J222" s="8"/>
      <c r="K222" s="8"/>
      <c r="L222" s="8" t="s">
        <v>514</v>
      </c>
      <c r="M222" s="23" t="n">
        <v>41850</v>
      </c>
      <c r="N222" s="23" t="n">
        <v>6883.8684165</v>
      </c>
      <c r="O222" s="23" t="n">
        <v>8218.69738185</v>
      </c>
      <c r="P222" s="24" t="n">
        <v>380.4797703</v>
      </c>
      <c r="Q222" s="24" t="n">
        <v>301.083401084167</v>
      </c>
      <c r="R222" s="24" t="n">
        <v>301.083401084167</v>
      </c>
      <c r="S222" s="25" t="n">
        <v>0.0552712148576264</v>
      </c>
      <c r="T222" s="26" t="n">
        <v>1.4187923434613</v>
      </c>
      <c r="U222" s="23" t="n">
        <v>4</v>
      </c>
      <c r="V222" s="26" t="n">
        <v>-0.04</v>
      </c>
      <c r="W222" s="26" t="n">
        <v>-0.162815412719375</v>
      </c>
      <c r="X222" s="26" t="n">
        <v>1.12089543769926</v>
      </c>
      <c r="Y222" s="26" t="n">
        <v>0.169506223542721</v>
      </c>
      <c r="Z222" s="26" t="n">
        <v>0.354852322812789</v>
      </c>
      <c r="AA222" s="26" t="n">
        <v>0.297974375637834</v>
      </c>
      <c r="AB222" s="26" t="n">
        <v>-0.24446947126841</v>
      </c>
      <c r="AC222" s="27" t="n">
        <v>2.13016323148855</v>
      </c>
      <c r="AD222" s="28" t="n">
        <f aca="false">Params!$B$6*Params!$B$7*$R222</f>
        <v>180.6500406505</v>
      </c>
      <c r="AE222" s="29" t="n">
        <f aca="false">MIN(Params!$B$9,AD222/Params!$B$4)</f>
        <v>0.06</v>
      </c>
      <c r="AF222" s="29" t="n">
        <f aca="false">MIN(Params!$B$9,AD222/Params!$B$5)</f>
        <v>0.06</v>
      </c>
      <c r="AG222" s="28" t="n">
        <f aca="false">IF($R222&gt;0,Params!$B$9*Params!$B$4/(Params!$B$6*$R222),"n/a")</f>
        <v>0.498200828939315</v>
      </c>
      <c r="AH222" s="28" t="n">
        <f aca="false">IF($R222&gt;0,Params!$B$9*Params!$B$5/(Params!$B$6*$R222),"n/a")</f>
        <v>0.996401657878629</v>
      </c>
      <c r="AI222" s="28" t="n">
        <f aca="false">IF($R222&gt;0,Params!$B$15*Params!$B$4/(Params!$B$6*$R222),"n/a")</f>
        <v>0.166066942979772</v>
      </c>
      <c r="AJ222" s="29" t="n">
        <f aca="false">MIN(Params!$B$9,AD222*Params!$B$8/Params!$B$4)</f>
        <v>0.06</v>
      </c>
      <c r="AK222" s="28" t="n">
        <f aca="false">IF($R222&gt;0,Params!$B$9*Params!$B$4/(Params!$B$6*$R222*Params!$B$8),"n/a")</f>
        <v>0.996401657878629</v>
      </c>
      <c r="AL222" s="27" t="str">
        <f aca="false">IFERROR(ciq($D222,"IQ_PE_EXCL"),"")</f>
        <v/>
      </c>
      <c r="AM222" s="27" t="str">
        <f aca="false">IFERROR(ciq($D222,"IQ_PE_EXCL_FWD_CIQ"),"")</f>
        <v/>
      </c>
      <c r="AN222" s="27" t="str">
        <f aca="false">IFERROR(ciq($D222,"IQ_PBV"),"")</f>
        <v/>
      </c>
      <c r="AO222" s="27" t="str">
        <f aca="false">IFERROR(ciq($D222,"IQ_TEV_EBITDA"),"")</f>
        <v/>
      </c>
      <c r="AP222" s="24" t="str">
        <f aca="false">IFERROR(ciq($D222,"IQ_RETURN_EQUITY"),"")</f>
        <v/>
      </c>
      <c r="AQ222" s="24" t="str">
        <f aca="false">IFERROR(ciq($D222,"IQ_RETURN_CAPITAL"),"")</f>
        <v/>
      </c>
      <c r="AR222" s="24" t="str">
        <f aca="false">IFERROR(ciq($D222,"IQ_TOTAL_REV_1YR_ANN_GROWTH"),"")</f>
        <v/>
      </c>
      <c r="AS222" s="24" t="str">
        <f aca="false">IFERROR(ciq($D222,"IQ_EPS_1YR_ANN_GROWTH"),"")</f>
        <v/>
      </c>
      <c r="AT222" s="24" t="str">
        <f aca="false">IFERROR(ciq($D222,"IQ_DIVIDEND_YIELD"),"")</f>
        <v/>
      </c>
      <c r="AU222" s="24" t="str">
        <f aca="false">IFERROR(ciq($D222,"IQ_NET_DEBT"),"")</f>
        <v/>
      </c>
    </row>
    <row r="223" customFormat="false" ht="15" hidden="false" customHeight="false" outlineLevel="0" collapsed="false">
      <c r="A223" s="8" t="s">
        <v>1312</v>
      </c>
      <c r="B223" s="6" t="s">
        <v>1313</v>
      </c>
      <c r="C223" s="8" t="s">
        <v>73</v>
      </c>
      <c r="D223" s="8" t="s">
        <v>1314</v>
      </c>
      <c r="E223" s="8" t="s">
        <v>1315</v>
      </c>
      <c r="F223" s="6" t="s">
        <v>627</v>
      </c>
      <c r="G223" s="8" t="s">
        <v>55</v>
      </c>
      <c r="H223" s="8" t="s">
        <v>66</v>
      </c>
      <c r="I223" s="8"/>
      <c r="J223" s="8"/>
      <c r="K223" s="8"/>
      <c r="L223" s="8" t="s">
        <v>241</v>
      </c>
      <c r="M223" s="23" t="n">
        <v>70100</v>
      </c>
      <c r="N223" s="23" t="n">
        <v>6834.75</v>
      </c>
      <c r="O223" s="23" t="n">
        <v>7833.6375</v>
      </c>
      <c r="P223" s="24" t="n">
        <v>145.8510265</v>
      </c>
      <c r="Q223" s="24" t="n">
        <v>212.027556916667</v>
      </c>
      <c r="R223" s="24" t="n">
        <v>145.8510265</v>
      </c>
      <c r="S223" s="25" t="n">
        <v>0.0213396285891949</v>
      </c>
      <c r="T223" s="26" t="n">
        <v>1.0210484332542</v>
      </c>
      <c r="U223" s="23" t="n">
        <v>1</v>
      </c>
      <c r="V223" s="26" t="n">
        <v>-0.06</v>
      </c>
      <c r="W223" s="26" t="n">
        <v>-0.0871256449848707</v>
      </c>
      <c r="X223" s="26" t="n">
        <v>-0.404493846326523</v>
      </c>
      <c r="Y223" s="26" t="n">
        <v>0.00272251618588881</v>
      </c>
      <c r="Z223" s="26" t="n">
        <v>-0.124793961719203</v>
      </c>
      <c r="AA223" s="26" t="n">
        <v>1.51737375298234</v>
      </c>
      <c r="AB223" s="26" t="n">
        <v>-0.558582112457194</v>
      </c>
      <c r="AC223" s="27" t="n">
        <v>0.467207864536863</v>
      </c>
      <c r="AD223" s="28" t="n">
        <f aca="false">Params!$B$6*Params!$B$7*$R223</f>
        <v>87.5106159</v>
      </c>
      <c r="AE223" s="29" t="n">
        <f aca="false">MIN(Params!$B$9,AD223/Params!$B$4)</f>
        <v>0.06</v>
      </c>
      <c r="AF223" s="29" t="n">
        <f aca="false">MIN(Params!$B$9,AD223/Params!$B$5)</f>
        <v>0.06</v>
      </c>
      <c r="AG223" s="28" t="n">
        <f aca="false">IF($R223&gt;0,Params!$B$9*Params!$B$4/(Params!$B$6*$R223),"n/a")</f>
        <v>1.02844665272205</v>
      </c>
      <c r="AH223" s="28" t="n">
        <f aca="false">IF($R223&gt;0,Params!$B$9*Params!$B$5/(Params!$B$6*$R223),"n/a")</f>
        <v>2.0568933054441</v>
      </c>
      <c r="AI223" s="28" t="n">
        <f aca="false">IF($R223&gt;0,Params!$B$15*Params!$B$4/(Params!$B$6*$R223),"n/a")</f>
        <v>0.34281555090735</v>
      </c>
      <c r="AJ223" s="29" t="n">
        <f aca="false">MIN(Params!$B$9,AD223*Params!$B$8/Params!$B$4)</f>
        <v>0.06</v>
      </c>
      <c r="AK223" s="28" t="n">
        <f aca="false">IF($R223&gt;0,Params!$B$9*Params!$B$4/(Params!$B$6*$R223*Params!$B$8),"n/a")</f>
        <v>2.0568933054441</v>
      </c>
      <c r="AL223" s="27" t="str">
        <f aca="false">IFERROR(ciq($D223,"IQ_PE_EXCL"),"")</f>
        <v/>
      </c>
      <c r="AM223" s="27" t="str">
        <f aca="false">IFERROR(ciq($D223,"IQ_PE_EXCL_FWD_CIQ"),"")</f>
        <v/>
      </c>
      <c r="AN223" s="27" t="str">
        <f aca="false">IFERROR(ciq($D223,"IQ_PBV"),"")</f>
        <v/>
      </c>
      <c r="AO223" s="27" t="str">
        <f aca="false">IFERROR(ciq($D223,"IQ_TEV_EBITDA"),"")</f>
        <v/>
      </c>
      <c r="AP223" s="24" t="str">
        <f aca="false">IFERROR(ciq($D223,"IQ_RETURN_EQUITY"),"")</f>
        <v/>
      </c>
      <c r="AQ223" s="24" t="str">
        <f aca="false">IFERROR(ciq($D223,"IQ_RETURN_CAPITAL"),"")</f>
        <v/>
      </c>
      <c r="AR223" s="24" t="str">
        <f aca="false">IFERROR(ciq($D223,"IQ_TOTAL_REV_1YR_ANN_GROWTH"),"")</f>
        <v/>
      </c>
      <c r="AS223" s="24" t="str">
        <f aca="false">IFERROR(ciq($D223,"IQ_EPS_1YR_ANN_GROWTH"),"")</f>
        <v/>
      </c>
      <c r="AT223" s="24" t="str">
        <f aca="false">IFERROR(ciq($D223,"IQ_DIVIDEND_YIELD"),"")</f>
        <v/>
      </c>
      <c r="AU223" s="24" t="str">
        <f aca="false">IFERROR(ciq($D223,"IQ_NET_DEBT"),"")</f>
        <v/>
      </c>
    </row>
    <row r="224" customFormat="false" ht="15" hidden="false" customHeight="false" outlineLevel="0" collapsed="false">
      <c r="A224" s="8" t="s">
        <v>1316</v>
      </c>
      <c r="B224" s="6" t="s">
        <v>1317</v>
      </c>
      <c r="C224" s="8" t="s">
        <v>73</v>
      </c>
      <c r="D224" s="8" t="s">
        <v>1318</v>
      </c>
      <c r="E224" s="8" t="s">
        <v>1319</v>
      </c>
      <c r="F224" s="8"/>
      <c r="G224" s="8" t="s">
        <v>55</v>
      </c>
      <c r="H224" s="8" t="s">
        <v>66</v>
      </c>
      <c r="I224" s="8"/>
      <c r="J224" s="8"/>
      <c r="K224" s="8"/>
      <c r="L224" s="8" t="s">
        <v>241</v>
      </c>
      <c r="M224" s="23" t="n">
        <v>22650</v>
      </c>
      <c r="N224" s="23" t="n">
        <v>5766.5176335</v>
      </c>
      <c r="O224" s="23" t="n">
        <v>7213.238889675</v>
      </c>
      <c r="P224" s="24" t="n">
        <v>182.449492025</v>
      </c>
      <c r="Q224" s="24" t="n">
        <v>109.834965125</v>
      </c>
      <c r="R224" s="24" t="n">
        <v>109.834965125</v>
      </c>
      <c r="S224" s="25" t="n">
        <v>0.0316394579225906</v>
      </c>
      <c r="T224" s="26" t="n">
        <v>0.998342991160854</v>
      </c>
      <c r="U224" s="23" t="n">
        <v>0</v>
      </c>
      <c r="V224" s="26" t="n">
        <v>-0.06</v>
      </c>
      <c r="W224" s="26" t="n">
        <v>-0.202390303566732</v>
      </c>
      <c r="X224" s="26" t="n">
        <v>-0.339272150401766</v>
      </c>
      <c r="Y224" s="26" t="n">
        <v>-0.589095092405075</v>
      </c>
      <c r="Z224" s="26" t="n">
        <v>-0.620240903993081</v>
      </c>
      <c r="AA224" s="26" t="n">
        <v>0.313169830317733</v>
      </c>
      <c r="AB224" s="26" t="n">
        <v>-0.684015096425024</v>
      </c>
      <c r="AC224" s="27" t="n">
        <v>1.17941689241444</v>
      </c>
      <c r="AD224" s="28" t="n">
        <f aca="false">Params!$B$6*Params!$B$7*$R224</f>
        <v>65.900979075</v>
      </c>
      <c r="AE224" s="29" t="n">
        <f aca="false">MIN(Params!$B$9,AD224/Params!$B$4)</f>
        <v>0.06</v>
      </c>
      <c r="AF224" s="29" t="n">
        <f aca="false">MIN(Params!$B$9,AD224/Params!$B$5)</f>
        <v>0.06</v>
      </c>
      <c r="AG224" s="28" t="n">
        <f aca="false">IF($R224&gt;0,Params!$B$9*Params!$B$4/(Params!$B$6*$R224),"n/a")</f>
        <v>1.3656853246076</v>
      </c>
      <c r="AH224" s="28" t="n">
        <f aca="false">IF($R224&gt;0,Params!$B$9*Params!$B$5/(Params!$B$6*$R224),"n/a")</f>
        <v>2.7313706492152</v>
      </c>
      <c r="AI224" s="28" t="n">
        <f aca="false">IF($R224&gt;0,Params!$B$15*Params!$B$4/(Params!$B$6*$R224),"n/a")</f>
        <v>0.455228441535867</v>
      </c>
      <c r="AJ224" s="29" t="n">
        <f aca="false">MIN(Params!$B$9,AD224*Params!$B$8/Params!$B$4)</f>
        <v>0.06</v>
      </c>
      <c r="AK224" s="28" t="n">
        <f aca="false">IF($R224&gt;0,Params!$B$9*Params!$B$4/(Params!$B$6*$R224*Params!$B$8),"n/a")</f>
        <v>2.7313706492152</v>
      </c>
      <c r="AL224" s="27" t="str">
        <f aca="false">IFERROR(ciq($D224,"IQ_PE_EXCL"),"")</f>
        <v/>
      </c>
      <c r="AM224" s="27" t="str">
        <f aca="false">IFERROR(ciq($D224,"IQ_PE_EXCL_FWD_CIQ"),"")</f>
        <v/>
      </c>
      <c r="AN224" s="27" t="str">
        <f aca="false">IFERROR(ciq($D224,"IQ_PBV"),"")</f>
        <v/>
      </c>
      <c r="AO224" s="27" t="str">
        <f aca="false">IFERROR(ciq($D224,"IQ_TEV_EBITDA"),"")</f>
        <v/>
      </c>
      <c r="AP224" s="24" t="str">
        <f aca="false">IFERROR(ciq($D224,"IQ_RETURN_EQUITY"),"")</f>
        <v/>
      </c>
      <c r="AQ224" s="24" t="str">
        <f aca="false">IFERROR(ciq($D224,"IQ_RETURN_CAPITAL"),"")</f>
        <v/>
      </c>
      <c r="AR224" s="24" t="str">
        <f aca="false">IFERROR(ciq($D224,"IQ_TOTAL_REV_1YR_ANN_GROWTH"),"")</f>
        <v/>
      </c>
      <c r="AS224" s="24" t="str">
        <f aca="false">IFERROR(ciq($D224,"IQ_EPS_1YR_ANN_GROWTH"),"")</f>
        <v/>
      </c>
      <c r="AT224" s="24" t="str">
        <f aca="false">IFERROR(ciq($D224,"IQ_DIVIDEND_YIELD"),"")</f>
        <v/>
      </c>
      <c r="AU224" s="24" t="str">
        <f aca="false">IFERROR(ciq($D224,"IQ_NET_DEBT"),"")</f>
        <v/>
      </c>
    </row>
    <row r="225" customFormat="false" ht="15" hidden="false" customHeight="false" outlineLevel="0" collapsed="false">
      <c r="A225" s="8" t="s">
        <v>292</v>
      </c>
      <c r="B225" s="6" t="s">
        <v>293</v>
      </c>
      <c r="C225" s="8" t="s">
        <v>72</v>
      </c>
      <c r="D225" s="8" t="s">
        <v>1320</v>
      </c>
      <c r="E225" s="8" t="s">
        <v>1321</v>
      </c>
      <c r="F225" s="6" t="s">
        <v>536</v>
      </c>
      <c r="G225" s="8" t="s">
        <v>56</v>
      </c>
      <c r="H225" s="8" t="s">
        <v>66</v>
      </c>
      <c r="I225" s="8" t="s">
        <v>508</v>
      </c>
      <c r="J225" s="6" t="s">
        <v>253</v>
      </c>
      <c r="K225" s="6" t="s">
        <v>294</v>
      </c>
      <c r="L225" s="8"/>
      <c r="M225" s="23" t="n">
        <v>62800</v>
      </c>
      <c r="N225" s="23" t="n">
        <v>60197.60882</v>
      </c>
      <c r="O225" s="23" t="n">
        <v>59886.07660875</v>
      </c>
      <c r="P225" s="24" t="n">
        <v>86.681701975</v>
      </c>
      <c r="Q225" s="24" t="n">
        <v>130.197314958333</v>
      </c>
      <c r="R225" s="24" t="n">
        <v>86.681701975</v>
      </c>
      <c r="S225" s="25" t="n">
        <v>0.001439952577422</v>
      </c>
      <c r="T225" s="26" t="n">
        <v>0.526317749614548</v>
      </c>
      <c r="U225" s="23" t="n">
        <v>0</v>
      </c>
      <c r="V225" s="26" t="n">
        <v>-0.06</v>
      </c>
      <c r="W225" s="26" t="n">
        <v>-0.0233466820196322</v>
      </c>
      <c r="X225" s="26" t="n">
        <v>-0.00963354202579492</v>
      </c>
      <c r="Y225" s="26" t="n">
        <v>0.0313224940021184</v>
      </c>
      <c r="Z225" s="26" t="n">
        <v>0.0886067067431293</v>
      </c>
      <c r="AA225" s="26" t="n">
        <v>0.0981575946747391</v>
      </c>
      <c r="AB225" s="26" t="n">
        <v>-0.181263189416058</v>
      </c>
      <c r="AC225" s="27" t="n">
        <v>0.505642608653708</v>
      </c>
      <c r="AD225" s="28" t="n">
        <f aca="false">Params!$B$6*Params!$B$7*$R225</f>
        <v>52.009021185</v>
      </c>
      <c r="AE225" s="29" t="n">
        <f aca="false">MIN(Params!$B$9,AD225/Params!$B$4)</f>
        <v>0.06</v>
      </c>
      <c r="AF225" s="29" t="n">
        <f aca="false">MIN(Params!$B$9,AD225/Params!$B$5)</f>
        <v>0.052009021185</v>
      </c>
      <c r="AG225" s="28" t="n">
        <f aca="false">IF($R225&gt;0,Params!$B$9*Params!$B$4/(Params!$B$6*$R225),"n/a")</f>
        <v>1.73046902151577</v>
      </c>
      <c r="AH225" s="28" t="n">
        <f aca="false">IF($R225&gt;0,Params!$B$9*Params!$B$5/(Params!$B$6*$R225),"n/a")</f>
        <v>3.46093804303154</v>
      </c>
      <c r="AI225" s="28" t="n">
        <f aca="false">IF($R225&gt;0,Params!$B$15*Params!$B$4/(Params!$B$6*$R225),"n/a")</f>
        <v>0.576823007171924</v>
      </c>
      <c r="AJ225" s="29" t="n">
        <f aca="false">MIN(Params!$B$9,AD225*Params!$B$8/Params!$B$4)</f>
        <v>0.052009021185</v>
      </c>
      <c r="AK225" s="28" t="n">
        <f aca="false">IF($R225&gt;0,Params!$B$9*Params!$B$4/(Params!$B$6*$R225*Params!$B$8),"n/a")</f>
        <v>3.46093804303154</v>
      </c>
      <c r="AL225" s="27" t="str">
        <f aca="false">IFERROR(ciq($D225,"IQ_PE_EXCL"),"")</f>
        <v/>
      </c>
      <c r="AM225" s="27" t="str">
        <f aca="false">IFERROR(ciq($D225,"IQ_PE_EXCL_FWD_CIQ"),"")</f>
        <v/>
      </c>
      <c r="AN225" s="27" t="str">
        <f aca="false">IFERROR(ciq($D225,"IQ_PBV"),"")</f>
        <v/>
      </c>
      <c r="AO225" s="27" t="str">
        <f aca="false">IFERROR(ciq($D225,"IQ_TEV_EBITDA"),"")</f>
        <v/>
      </c>
      <c r="AP225" s="24" t="str">
        <f aca="false">IFERROR(ciq($D225,"IQ_RETURN_EQUITY"),"")</f>
        <v/>
      </c>
      <c r="AQ225" s="24" t="str">
        <f aca="false">IFERROR(ciq($D225,"IQ_RETURN_CAPITAL"),"")</f>
        <v/>
      </c>
      <c r="AR225" s="24" t="str">
        <f aca="false">IFERROR(ciq($D225,"IQ_TOTAL_REV_1YR_ANN_GROWTH"),"")</f>
        <v/>
      </c>
      <c r="AS225" s="24" t="str">
        <f aca="false">IFERROR(ciq($D225,"IQ_EPS_1YR_ANN_GROWTH"),"")</f>
        <v/>
      </c>
      <c r="AT225" s="24" t="str">
        <f aca="false">IFERROR(ciq($D225,"IQ_DIVIDEND_YIELD"),"")</f>
        <v/>
      </c>
      <c r="AU225" s="24" t="str">
        <f aca="false">IFERROR(ciq($D225,"IQ_NET_DEBT"),"")</f>
        <v/>
      </c>
    </row>
    <row r="226" customFormat="false" ht="15" hidden="false" customHeight="false" outlineLevel="0" collapsed="false">
      <c r="A226" s="8" t="s">
        <v>1322</v>
      </c>
      <c r="B226" s="8" t="s">
        <v>1323</v>
      </c>
      <c r="C226" s="8" t="s">
        <v>72</v>
      </c>
      <c r="D226" s="8" t="s">
        <v>1324</v>
      </c>
      <c r="E226" s="8" t="s">
        <v>1325</v>
      </c>
      <c r="F226" s="6" t="s">
        <v>536</v>
      </c>
      <c r="G226" s="8" t="s">
        <v>56</v>
      </c>
      <c r="H226" s="8" t="s">
        <v>66</v>
      </c>
      <c r="I226" s="8"/>
      <c r="J226" s="8"/>
      <c r="K226" s="8"/>
      <c r="L226" s="8"/>
      <c r="M226" s="23" t="n">
        <v>31600</v>
      </c>
      <c r="N226" s="23" t="n">
        <v>58940.896384</v>
      </c>
      <c r="O226" s="23" t="n">
        <v>52902.252332</v>
      </c>
      <c r="P226" s="24" t="n">
        <v>99.9135079</v>
      </c>
      <c r="Q226" s="24" t="n">
        <v>133.412745445833</v>
      </c>
      <c r="R226" s="24" t="n">
        <v>99.9135079</v>
      </c>
      <c r="S226" s="25" t="n">
        <v>0.00169514741087518</v>
      </c>
      <c r="T226" s="26" t="n">
        <v>0.561393067500204</v>
      </c>
      <c r="U226" s="23" t="n">
        <v>0</v>
      </c>
      <c r="V226" s="26" t="n">
        <v>-0.06</v>
      </c>
      <c r="W226" s="26" t="n">
        <v>0.13665899904685</v>
      </c>
      <c r="X226" s="26" t="n">
        <v>0.220158797809767</v>
      </c>
      <c r="Y226" s="26" t="n">
        <v>0.00969457065118995</v>
      </c>
      <c r="Z226" s="26" t="n">
        <v>0.232281260931459</v>
      </c>
      <c r="AA226" s="26" t="n">
        <v>0.371273226398523</v>
      </c>
      <c r="AB226" s="26" t="n">
        <v>-0.157187299960582</v>
      </c>
      <c r="AC226" s="27" t="n">
        <v>0.666094503167838</v>
      </c>
      <c r="AD226" s="28" t="n">
        <f aca="false">Params!$B$6*Params!$B$7*$R226</f>
        <v>59.94810474</v>
      </c>
      <c r="AE226" s="29" t="n">
        <f aca="false">MIN(Params!$B$9,AD226/Params!$B$4)</f>
        <v>0.06</v>
      </c>
      <c r="AF226" s="29" t="n">
        <f aca="false">MIN(Params!$B$9,AD226/Params!$B$5)</f>
        <v>0.05994810474</v>
      </c>
      <c r="AG226" s="28" t="n">
        <f aca="false">IF($R226&gt;0,Params!$B$9*Params!$B$4/(Params!$B$6*$R226),"n/a")</f>
        <v>1.5012985046039</v>
      </c>
      <c r="AH226" s="28" t="n">
        <f aca="false">IF($R226&gt;0,Params!$B$9*Params!$B$5/(Params!$B$6*$R226),"n/a")</f>
        <v>3.0025970092078</v>
      </c>
      <c r="AI226" s="28" t="n">
        <f aca="false">IF($R226&gt;0,Params!$B$15*Params!$B$4/(Params!$B$6*$R226),"n/a")</f>
        <v>0.500432834867967</v>
      </c>
      <c r="AJ226" s="29" t="n">
        <f aca="false">MIN(Params!$B$9,AD226*Params!$B$8/Params!$B$4)</f>
        <v>0.05994810474</v>
      </c>
      <c r="AK226" s="28" t="n">
        <f aca="false">IF($R226&gt;0,Params!$B$9*Params!$B$4/(Params!$B$6*$R226*Params!$B$8),"n/a")</f>
        <v>3.0025970092078</v>
      </c>
      <c r="AL226" s="27" t="str">
        <f aca="false">IFERROR(ciq($D226,"IQ_PE_EXCL"),"")</f>
        <v/>
      </c>
      <c r="AM226" s="27" t="str">
        <f aca="false">IFERROR(ciq($D226,"IQ_PE_EXCL_FWD_CIQ"),"")</f>
        <v/>
      </c>
      <c r="AN226" s="27" t="str">
        <f aca="false">IFERROR(ciq($D226,"IQ_PBV"),"")</f>
        <v/>
      </c>
      <c r="AO226" s="27" t="str">
        <f aca="false">IFERROR(ciq($D226,"IQ_TEV_EBITDA"),"")</f>
        <v/>
      </c>
      <c r="AP226" s="24" t="str">
        <f aca="false">IFERROR(ciq($D226,"IQ_RETURN_EQUITY"),"")</f>
        <v/>
      </c>
      <c r="AQ226" s="24" t="str">
        <f aca="false">IFERROR(ciq($D226,"IQ_RETURN_CAPITAL"),"")</f>
        <v/>
      </c>
      <c r="AR226" s="24" t="str">
        <f aca="false">IFERROR(ciq($D226,"IQ_TOTAL_REV_1YR_ANN_GROWTH"),"")</f>
        <v/>
      </c>
      <c r="AS226" s="24" t="str">
        <f aca="false">IFERROR(ciq($D226,"IQ_EPS_1YR_ANN_GROWTH"),"")</f>
        <v/>
      </c>
      <c r="AT226" s="24" t="str">
        <f aca="false">IFERROR(ciq($D226,"IQ_DIVIDEND_YIELD"),"")</f>
        <v/>
      </c>
      <c r="AU226" s="24" t="str">
        <f aca="false">IFERROR(ciq($D226,"IQ_NET_DEBT"),"")</f>
        <v/>
      </c>
    </row>
    <row r="227" customFormat="false" ht="15" hidden="false" customHeight="false" outlineLevel="0" collapsed="false">
      <c r="A227" s="8" t="s">
        <v>1326</v>
      </c>
      <c r="B227" s="6" t="s">
        <v>1327</v>
      </c>
      <c r="C227" s="8" t="s">
        <v>72</v>
      </c>
      <c r="D227" s="8" t="s">
        <v>1328</v>
      </c>
      <c r="E227" s="8" t="s">
        <v>1329</v>
      </c>
      <c r="F227" s="6" t="s">
        <v>536</v>
      </c>
      <c r="G227" s="8" t="s">
        <v>56</v>
      </c>
      <c r="H227" s="8" t="s">
        <v>66</v>
      </c>
      <c r="I227" s="8"/>
      <c r="J227" s="8"/>
      <c r="K227" s="8"/>
      <c r="L227" s="8"/>
      <c r="M227" s="23" t="n">
        <v>46600</v>
      </c>
      <c r="N227" s="23" t="n">
        <v>53990.243206</v>
      </c>
      <c r="O227" s="23" t="n">
        <v>54303.0622117</v>
      </c>
      <c r="P227" s="24" t="n">
        <v>53.889754813</v>
      </c>
      <c r="Q227" s="24" t="n">
        <v>71.6909129418333</v>
      </c>
      <c r="R227" s="24" t="n">
        <v>53.889754813</v>
      </c>
      <c r="S227" s="25" t="n">
        <v>0.000998138767543303</v>
      </c>
      <c r="T227" s="26" t="n">
        <v>0.407774721953687</v>
      </c>
      <c r="U227" s="23" t="n">
        <v>0</v>
      </c>
      <c r="V227" s="26" t="n">
        <v>-0.06</v>
      </c>
      <c r="W227" s="26" t="n">
        <v>0.00112769192107765</v>
      </c>
      <c r="X227" s="26" t="n">
        <v>0.0275419732851583</v>
      </c>
      <c r="Y227" s="26" t="n">
        <v>-0.216629582810102</v>
      </c>
      <c r="Z227" s="26" t="n">
        <v>-0.166255225113084</v>
      </c>
      <c r="AA227" s="26" t="n">
        <v>-0.0788114247608752</v>
      </c>
      <c r="AB227" s="26" t="n">
        <v>-0.308462584379834</v>
      </c>
      <c r="AC227" s="27" t="n">
        <v>0.764015675191395</v>
      </c>
      <c r="AD227" s="28" t="n">
        <f aca="false">Params!$B$6*Params!$B$7*$R227</f>
        <v>32.3338528878</v>
      </c>
      <c r="AE227" s="29" t="n">
        <f aca="false">MIN(Params!$B$9,AD227/Params!$B$4)</f>
        <v>0.06</v>
      </c>
      <c r="AF227" s="29" t="n">
        <f aca="false">MIN(Params!$B$9,AD227/Params!$B$5)</f>
        <v>0.0323338528878</v>
      </c>
      <c r="AG227" s="28" t="n">
        <f aca="false">IF($R227&gt;0,Params!$B$9*Params!$B$4/(Params!$B$6*$R227),"n/a")</f>
        <v>2.78346042806294</v>
      </c>
      <c r="AH227" s="28" t="n">
        <f aca="false">IF($R227&gt;0,Params!$B$9*Params!$B$5/(Params!$B$6*$R227),"n/a")</f>
        <v>5.56692085612588</v>
      </c>
      <c r="AI227" s="28" t="n">
        <f aca="false">IF($R227&gt;0,Params!$B$15*Params!$B$4/(Params!$B$6*$R227),"n/a")</f>
        <v>0.927820142687647</v>
      </c>
      <c r="AJ227" s="29" t="n">
        <f aca="false">MIN(Params!$B$9,AD227*Params!$B$8/Params!$B$4)</f>
        <v>0.0323338528878</v>
      </c>
      <c r="AK227" s="28" t="n">
        <f aca="false">IF($R227&gt;0,Params!$B$9*Params!$B$4/(Params!$B$6*$R227*Params!$B$8),"n/a")</f>
        <v>5.56692085612588</v>
      </c>
      <c r="AL227" s="27" t="str">
        <f aca="false">IFERROR(ciq($D227,"IQ_PE_EXCL"),"")</f>
        <v/>
      </c>
      <c r="AM227" s="27" t="str">
        <f aca="false">IFERROR(ciq($D227,"IQ_PE_EXCL_FWD_CIQ"),"")</f>
        <v/>
      </c>
      <c r="AN227" s="27" t="str">
        <f aca="false">IFERROR(ciq($D227,"IQ_PBV"),"")</f>
        <v/>
      </c>
      <c r="AO227" s="27" t="str">
        <f aca="false">IFERROR(ciq($D227,"IQ_TEV_EBITDA"),"")</f>
        <v/>
      </c>
      <c r="AP227" s="24" t="str">
        <f aca="false">IFERROR(ciq($D227,"IQ_RETURN_EQUITY"),"")</f>
        <v/>
      </c>
      <c r="AQ227" s="24" t="str">
        <f aca="false">IFERROR(ciq($D227,"IQ_RETURN_CAPITAL"),"")</f>
        <v/>
      </c>
      <c r="AR227" s="24" t="str">
        <f aca="false">IFERROR(ciq($D227,"IQ_TOTAL_REV_1YR_ANN_GROWTH"),"")</f>
        <v/>
      </c>
      <c r="AS227" s="24" t="str">
        <f aca="false">IFERROR(ciq($D227,"IQ_EPS_1YR_ANN_GROWTH"),"")</f>
        <v/>
      </c>
      <c r="AT227" s="24" t="str">
        <f aca="false">IFERROR(ciq($D227,"IQ_DIVIDEND_YIELD"),"")</f>
        <v/>
      </c>
      <c r="AU227" s="24" t="str">
        <f aca="false">IFERROR(ciq($D227,"IQ_NET_DEBT"),"")</f>
        <v/>
      </c>
    </row>
    <row r="228" customFormat="false" ht="15" hidden="false" customHeight="false" outlineLevel="0" collapsed="false">
      <c r="A228" s="8" t="s">
        <v>1330</v>
      </c>
      <c r="B228" s="6" t="s">
        <v>1331</v>
      </c>
      <c r="C228" s="8" t="s">
        <v>72</v>
      </c>
      <c r="D228" s="8" t="s">
        <v>1332</v>
      </c>
      <c r="E228" s="8" t="s">
        <v>1333</v>
      </c>
      <c r="F228" s="6" t="s">
        <v>1334</v>
      </c>
      <c r="G228" s="8" t="s">
        <v>56</v>
      </c>
      <c r="H228" s="8" t="s">
        <v>66</v>
      </c>
      <c r="I228" s="8"/>
      <c r="J228" s="8"/>
      <c r="K228" s="8"/>
      <c r="L228" s="8"/>
      <c r="M228" s="23" t="n">
        <v>37700</v>
      </c>
      <c r="N228" s="23" t="n">
        <v>34802.001</v>
      </c>
      <c r="O228" s="23" t="n">
        <v>33701.168475</v>
      </c>
      <c r="P228" s="24" t="n">
        <v>51.75697715</v>
      </c>
      <c r="Q228" s="24" t="n">
        <v>58.90666445</v>
      </c>
      <c r="R228" s="24" t="n">
        <v>51.75697715</v>
      </c>
      <c r="S228" s="25" t="n">
        <v>0.00148718394525648</v>
      </c>
      <c r="T228" s="26" t="n">
        <v>0.292230481130383</v>
      </c>
      <c r="U228" s="23" t="n">
        <v>0</v>
      </c>
      <c r="V228" s="26" t="n">
        <v>-0.06</v>
      </c>
      <c r="W228" s="26" t="n">
        <v>0.110369147610876</v>
      </c>
      <c r="X228" s="26" t="n">
        <v>0.108685614146697</v>
      </c>
      <c r="Y228" s="26" t="n">
        <v>0.0425366860184422</v>
      </c>
      <c r="Z228" s="26" t="n">
        <v>-0.0412070561050388</v>
      </c>
      <c r="AA228" s="26" t="n">
        <v>-0.0764807974912342</v>
      </c>
      <c r="AB228" s="26" t="n">
        <v>-0.173549838172111</v>
      </c>
      <c r="AC228" s="27" t="n">
        <v>0.63892170626759</v>
      </c>
      <c r="AD228" s="28" t="n">
        <f aca="false">Params!$B$6*Params!$B$7*$R228</f>
        <v>31.05418629</v>
      </c>
      <c r="AE228" s="29" t="n">
        <f aca="false">MIN(Params!$B$9,AD228/Params!$B$4)</f>
        <v>0.06</v>
      </c>
      <c r="AF228" s="29" t="n">
        <f aca="false">MIN(Params!$B$9,AD228/Params!$B$5)</f>
        <v>0.03105418629</v>
      </c>
      <c r="AG228" s="28" t="n">
        <f aca="false">IF($R228&gt;0,Params!$B$9*Params!$B$4/(Params!$B$6*$R228),"n/a")</f>
        <v>2.89815998266815</v>
      </c>
      <c r="AH228" s="28" t="n">
        <f aca="false">IF($R228&gt;0,Params!$B$9*Params!$B$5/(Params!$B$6*$R228),"n/a")</f>
        <v>5.79631996533631</v>
      </c>
      <c r="AI228" s="28" t="n">
        <f aca="false">IF($R228&gt;0,Params!$B$15*Params!$B$4/(Params!$B$6*$R228),"n/a")</f>
        <v>0.966053327556051</v>
      </c>
      <c r="AJ228" s="29" t="n">
        <f aca="false">MIN(Params!$B$9,AD228*Params!$B$8/Params!$B$4)</f>
        <v>0.03105418629</v>
      </c>
      <c r="AK228" s="28" t="n">
        <f aca="false">IF($R228&gt;0,Params!$B$9*Params!$B$4/(Params!$B$6*$R228*Params!$B$8),"n/a")</f>
        <v>5.79631996533631</v>
      </c>
      <c r="AL228" s="27" t="str">
        <f aca="false">IFERROR(ciq($D228,"IQ_PE_EXCL"),"")</f>
        <v/>
      </c>
      <c r="AM228" s="27" t="str">
        <f aca="false">IFERROR(ciq($D228,"IQ_PE_EXCL_FWD_CIQ"),"")</f>
        <v/>
      </c>
      <c r="AN228" s="27" t="str">
        <f aca="false">IFERROR(ciq($D228,"IQ_PBV"),"")</f>
        <v/>
      </c>
      <c r="AO228" s="27" t="str">
        <f aca="false">IFERROR(ciq($D228,"IQ_TEV_EBITDA"),"")</f>
        <v/>
      </c>
      <c r="AP228" s="24" t="str">
        <f aca="false">IFERROR(ciq($D228,"IQ_RETURN_EQUITY"),"")</f>
        <v/>
      </c>
      <c r="AQ228" s="24" t="str">
        <f aca="false">IFERROR(ciq($D228,"IQ_RETURN_CAPITAL"),"")</f>
        <v/>
      </c>
      <c r="AR228" s="24" t="str">
        <f aca="false">IFERROR(ciq($D228,"IQ_TOTAL_REV_1YR_ANN_GROWTH"),"")</f>
        <v/>
      </c>
      <c r="AS228" s="24" t="str">
        <f aca="false">IFERROR(ciq($D228,"IQ_EPS_1YR_ANN_GROWTH"),"")</f>
        <v/>
      </c>
      <c r="AT228" s="24" t="str">
        <f aca="false">IFERROR(ciq($D228,"IQ_DIVIDEND_YIELD"),"")</f>
        <v/>
      </c>
      <c r="AU228" s="24" t="str">
        <f aca="false">IFERROR(ciq($D228,"IQ_NET_DEBT"),"")</f>
        <v/>
      </c>
    </row>
    <row r="229" customFormat="false" ht="15" hidden="false" customHeight="false" outlineLevel="0" collapsed="false">
      <c r="A229" s="8" t="s">
        <v>1335</v>
      </c>
      <c r="B229" s="6" t="s">
        <v>1336</v>
      </c>
      <c r="C229" s="8" t="s">
        <v>72</v>
      </c>
      <c r="D229" s="8" t="s">
        <v>1337</v>
      </c>
      <c r="E229" s="8" t="s">
        <v>1338</v>
      </c>
      <c r="F229" s="6" t="s">
        <v>1339</v>
      </c>
      <c r="G229" s="8" t="s">
        <v>56</v>
      </c>
      <c r="H229" s="8" t="s">
        <v>66</v>
      </c>
      <c r="I229" s="8"/>
      <c r="J229" s="8"/>
      <c r="K229" s="8"/>
      <c r="L229" s="8"/>
      <c r="M229" s="23" t="n">
        <v>75600</v>
      </c>
      <c r="N229" s="23" t="n">
        <v>33499.469808</v>
      </c>
      <c r="O229" s="23" t="n">
        <v>35540.0129094</v>
      </c>
      <c r="P229" s="24" t="n">
        <v>58.646978775</v>
      </c>
      <c r="Q229" s="24" t="n">
        <v>64.1037442526667</v>
      </c>
      <c r="R229" s="24" t="n">
        <v>58.646978775</v>
      </c>
      <c r="S229" s="25" t="n">
        <v>0.00175068379025493</v>
      </c>
      <c r="T229" s="26" t="n">
        <v>0.510246081408981</v>
      </c>
      <c r="U229" s="23" t="n">
        <v>0</v>
      </c>
      <c r="V229" s="26" t="n">
        <v>-0.06</v>
      </c>
      <c r="W229" s="26" t="n">
        <v>-0.142612831451997</v>
      </c>
      <c r="X229" s="26" t="n">
        <v>-0.0303323467546639</v>
      </c>
      <c r="Y229" s="26" t="n">
        <v>-0.152120659857945</v>
      </c>
      <c r="Z229" s="26" t="n">
        <v>-0.0751087313559591</v>
      </c>
      <c r="AA229" s="26" t="n">
        <v>0.309245175574422</v>
      </c>
      <c r="AB229" s="26" t="n">
        <v>-0.228191547385417</v>
      </c>
      <c r="AC229" s="27" t="n">
        <v>0.903318098281124</v>
      </c>
      <c r="AD229" s="28" t="n">
        <f aca="false">Params!$B$6*Params!$B$7*$R229</f>
        <v>35.188187265</v>
      </c>
      <c r="AE229" s="29" t="n">
        <f aca="false">MIN(Params!$B$9,AD229/Params!$B$4)</f>
        <v>0.06</v>
      </c>
      <c r="AF229" s="29" t="n">
        <f aca="false">MIN(Params!$B$9,AD229/Params!$B$5)</f>
        <v>0.035188187265</v>
      </c>
      <c r="AG229" s="28" t="n">
        <f aca="false">IF($R229&gt;0,Params!$B$9*Params!$B$4/(Params!$B$6*$R229),"n/a")</f>
        <v>2.55767651008038</v>
      </c>
      <c r="AH229" s="28" t="n">
        <f aca="false">IF($R229&gt;0,Params!$B$9*Params!$B$5/(Params!$B$6*$R229),"n/a")</f>
        <v>5.11535302016076</v>
      </c>
      <c r="AI229" s="28" t="n">
        <f aca="false">IF($R229&gt;0,Params!$B$15*Params!$B$4/(Params!$B$6*$R229),"n/a")</f>
        <v>0.852558836693459</v>
      </c>
      <c r="AJ229" s="29" t="n">
        <f aca="false">MIN(Params!$B$9,AD229*Params!$B$8/Params!$B$4)</f>
        <v>0.035188187265</v>
      </c>
      <c r="AK229" s="28" t="n">
        <f aca="false">IF($R229&gt;0,Params!$B$9*Params!$B$4/(Params!$B$6*$R229*Params!$B$8),"n/a")</f>
        <v>5.11535302016076</v>
      </c>
      <c r="AL229" s="27" t="str">
        <f aca="false">IFERROR(ciq($D229,"IQ_PE_EXCL"),"")</f>
        <v/>
      </c>
      <c r="AM229" s="27" t="str">
        <f aca="false">IFERROR(ciq($D229,"IQ_PE_EXCL_FWD_CIQ"),"")</f>
        <v/>
      </c>
      <c r="AN229" s="27" t="str">
        <f aca="false">IFERROR(ciq($D229,"IQ_PBV"),"")</f>
        <v/>
      </c>
      <c r="AO229" s="27" t="str">
        <f aca="false">IFERROR(ciq($D229,"IQ_TEV_EBITDA"),"")</f>
        <v/>
      </c>
      <c r="AP229" s="24" t="str">
        <f aca="false">IFERROR(ciq($D229,"IQ_RETURN_EQUITY"),"")</f>
        <v/>
      </c>
      <c r="AQ229" s="24" t="str">
        <f aca="false">IFERROR(ciq($D229,"IQ_RETURN_CAPITAL"),"")</f>
        <v/>
      </c>
      <c r="AR229" s="24" t="str">
        <f aca="false">IFERROR(ciq($D229,"IQ_TOTAL_REV_1YR_ANN_GROWTH"),"")</f>
        <v/>
      </c>
      <c r="AS229" s="24" t="str">
        <f aca="false">IFERROR(ciq($D229,"IQ_EPS_1YR_ANN_GROWTH"),"")</f>
        <v/>
      </c>
      <c r="AT229" s="24" t="str">
        <f aca="false">IFERROR(ciq($D229,"IQ_DIVIDEND_YIELD"),"")</f>
        <v/>
      </c>
      <c r="AU229" s="24" t="str">
        <f aca="false">IFERROR(ciq($D229,"IQ_NET_DEBT"),"")</f>
        <v/>
      </c>
    </row>
    <row r="230" customFormat="false" ht="15" hidden="false" customHeight="false" outlineLevel="0" collapsed="false">
      <c r="A230" s="8" t="s">
        <v>1340</v>
      </c>
      <c r="B230" s="6" t="s">
        <v>1341</v>
      </c>
      <c r="C230" s="8" t="s">
        <v>72</v>
      </c>
      <c r="D230" s="8" t="s">
        <v>1342</v>
      </c>
      <c r="E230" s="8" t="s">
        <v>1343</v>
      </c>
      <c r="F230" s="6" t="s">
        <v>900</v>
      </c>
      <c r="G230" s="8" t="s">
        <v>56</v>
      </c>
      <c r="H230" s="8" t="s">
        <v>66</v>
      </c>
      <c r="I230" s="8"/>
      <c r="J230" s="8"/>
      <c r="K230" s="8"/>
      <c r="L230" s="8"/>
      <c r="M230" s="23" t="n">
        <v>36700</v>
      </c>
      <c r="N230" s="23" t="n">
        <v>30519.141975</v>
      </c>
      <c r="O230" s="23" t="n">
        <v>31583.3431401</v>
      </c>
      <c r="P230" s="24" t="n">
        <v>52.5951377125</v>
      </c>
      <c r="Q230" s="24" t="n">
        <v>69.3810696826667</v>
      </c>
      <c r="R230" s="24" t="n">
        <v>52.5951377125</v>
      </c>
      <c r="S230" s="25" t="n">
        <v>0.00172334916085071</v>
      </c>
      <c r="T230" s="26" t="n">
        <v>0.454215761430846</v>
      </c>
      <c r="U230" s="23" t="n">
        <v>0</v>
      </c>
      <c r="V230" s="26" t="n">
        <v>-0.06</v>
      </c>
      <c r="W230" s="26" t="n">
        <v>-0.0328181330411357</v>
      </c>
      <c r="X230" s="26" t="n">
        <v>-0.0961249145935862</v>
      </c>
      <c r="Y230" s="26" t="n">
        <v>-0.297105921789829</v>
      </c>
      <c r="Z230" s="26" t="n">
        <v>-0.239488495034364</v>
      </c>
      <c r="AA230" s="26" t="n">
        <v>-0.398226254656263</v>
      </c>
      <c r="AB230" s="26" t="n">
        <v>-0.460249864677948</v>
      </c>
      <c r="AC230" s="27" t="n">
        <v>0.549514322139729</v>
      </c>
      <c r="AD230" s="28" t="n">
        <f aca="false">Params!$B$6*Params!$B$7*$R230</f>
        <v>31.5570826275</v>
      </c>
      <c r="AE230" s="29" t="n">
        <f aca="false">MIN(Params!$B$9,AD230/Params!$B$4)</f>
        <v>0.06</v>
      </c>
      <c r="AF230" s="29" t="n">
        <f aca="false">MIN(Params!$B$9,AD230/Params!$B$5)</f>
        <v>0.0315570826275</v>
      </c>
      <c r="AG230" s="28" t="n">
        <f aca="false">IF($R230&gt;0,Params!$B$9*Params!$B$4/(Params!$B$6*$R230),"n/a")</f>
        <v>2.85197466009012</v>
      </c>
      <c r="AH230" s="28" t="n">
        <f aca="false">IF($R230&gt;0,Params!$B$9*Params!$B$5/(Params!$B$6*$R230),"n/a")</f>
        <v>5.70394932018023</v>
      </c>
      <c r="AI230" s="28" t="n">
        <f aca="false">IF($R230&gt;0,Params!$B$15*Params!$B$4/(Params!$B$6*$R230),"n/a")</f>
        <v>0.950658220030039</v>
      </c>
      <c r="AJ230" s="29" t="n">
        <f aca="false">MIN(Params!$B$9,AD230*Params!$B$8/Params!$B$4)</f>
        <v>0.0315570826275</v>
      </c>
      <c r="AK230" s="28" t="n">
        <f aca="false">IF($R230&gt;0,Params!$B$9*Params!$B$4/(Params!$B$6*$R230*Params!$B$8),"n/a")</f>
        <v>5.70394932018023</v>
      </c>
      <c r="AL230" s="27" t="str">
        <f aca="false">IFERROR(ciq($D230,"IQ_PE_EXCL"),"")</f>
        <v/>
      </c>
      <c r="AM230" s="27" t="str">
        <f aca="false">IFERROR(ciq($D230,"IQ_PE_EXCL_FWD_CIQ"),"")</f>
        <v/>
      </c>
      <c r="AN230" s="27" t="str">
        <f aca="false">IFERROR(ciq($D230,"IQ_PBV"),"")</f>
        <v/>
      </c>
      <c r="AO230" s="27" t="str">
        <f aca="false">IFERROR(ciq($D230,"IQ_TEV_EBITDA"),"")</f>
        <v/>
      </c>
      <c r="AP230" s="24" t="str">
        <f aca="false">IFERROR(ciq($D230,"IQ_RETURN_EQUITY"),"")</f>
        <v/>
      </c>
      <c r="AQ230" s="24" t="str">
        <f aca="false">IFERROR(ciq($D230,"IQ_RETURN_CAPITAL"),"")</f>
        <v/>
      </c>
      <c r="AR230" s="24" t="str">
        <f aca="false">IFERROR(ciq($D230,"IQ_TOTAL_REV_1YR_ANN_GROWTH"),"")</f>
        <v/>
      </c>
      <c r="AS230" s="24" t="str">
        <f aca="false">IFERROR(ciq($D230,"IQ_EPS_1YR_ANN_GROWTH"),"")</f>
        <v/>
      </c>
      <c r="AT230" s="24" t="str">
        <f aca="false">IFERROR(ciq($D230,"IQ_DIVIDEND_YIELD"),"")</f>
        <v/>
      </c>
      <c r="AU230" s="24" t="str">
        <f aca="false">IFERROR(ciq($D230,"IQ_NET_DEBT"),"")</f>
        <v/>
      </c>
    </row>
    <row r="231" customFormat="false" ht="15" hidden="false" customHeight="false" outlineLevel="0" collapsed="false">
      <c r="A231" s="8" t="s">
        <v>1344</v>
      </c>
      <c r="B231" s="8" t="s">
        <v>1345</v>
      </c>
      <c r="C231" s="8" t="s">
        <v>72</v>
      </c>
      <c r="D231" s="8" t="s">
        <v>1346</v>
      </c>
      <c r="E231" s="8" t="s">
        <v>1347</v>
      </c>
      <c r="F231" s="6" t="s">
        <v>536</v>
      </c>
      <c r="G231" s="8" t="s">
        <v>56</v>
      </c>
      <c r="H231" s="8" t="s">
        <v>66</v>
      </c>
      <c r="I231" s="8"/>
      <c r="J231" s="8"/>
      <c r="K231" s="8"/>
      <c r="L231" s="8"/>
      <c r="M231" s="23" t="n">
        <v>19050</v>
      </c>
      <c r="N231" s="23" t="n">
        <v>30168.229224</v>
      </c>
      <c r="O231" s="23" t="n">
        <v>27991.52418104</v>
      </c>
      <c r="P231" s="24" t="n">
        <v>69.15183406</v>
      </c>
      <c r="Q231" s="24" t="n">
        <v>95.5354866858333</v>
      </c>
      <c r="R231" s="24" t="n">
        <v>69.15183406</v>
      </c>
      <c r="S231" s="25" t="n">
        <v>0.00229220726037798</v>
      </c>
      <c r="T231" s="26" t="n">
        <v>0.410037917014793</v>
      </c>
      <c r="U231" s="23" t="n">
        <v>0</v>
      </c>
      <c r="V231" s="26" t="n">
        <v>-0.06</v>
      </c>
      <c r="W231" s="26" t="n">
        <v>0.101696513685057</v>
      </c>
      <c r="X231" s="26" t="n">
        <v>0.102502209899986</v>
      </c>
      <c r="Y231" s="26" t="n">
        <v>0.102938221926946</v>
      </c>
      <c r="Z231" s="26" t="n">
        <v>0.224980680920154</v>
      </c>
      <c r="AA231" s="26" t="n">
        <v>0.359802802899776</v>
      </c>
      <c r="AB231" s="26" t="n">
        <v>-0.119920401600221</v>
      </c>
      <c r="AC231" s="27" t="n">
        <v>0.608802319527856</v>
      </c>
      <c r="AD231" s="28" t="n">
        <f aca="false">Params!$B$6*Params!$B$7*$R231</f>
        <v>41.491100436</v>
      </c>
      <c r="AE231" s="29" t="n">
        <f aca="false">MIN(Params!$B$9,AD231/Params!$B$4)</f>
        <v>0.06</v>
      </c>
      <c r="AF231" s="29" t="n">
        <f aca="false">MIN(Params!$B$9,AD231/Params!$B$5)</f>
        <v>0.041491100436</v>
      </c>
      <c r="AG231" s="28" t="n">
        <f aca="false">IF($R231&gt;0,Params!$B$9*Params!$B$4/(Params!$B$6*$R231),"n/a")</f>
        <v>2.16913986503744</v>
      </c>
      <c r="AH231" s="28" t="n">
        <f aca="false">IF($R231&gt;0,Params!$B$9*Params!$B$5/(Params!$B$6*$R231),"n/a")</f>
        <v>4.33827973007488</v>
      </c>
      <c r="AI231" s="28" t="n">
        <f aca="false">IF($R231&gt;0,Params!$B$15*Params!$B$4/(Params!$B$6*$R231),"n/a")</f>
        <v>0.723046621679147</v>
      </c>
      <c r="AJ231" s="29" t="n">
        <f aca="false">MIN(Params!$B$9,AD231*Params!$B$8/Params!$B$4)</f>
        <v>0.041491100436</v>
      </c>
      <c r="AK231" s="28" t="n">
        <f aca="false">IF($R231&gt;0,Params!$B$9*Params!$B$4/(Params!$B$6*$R231*Params!$B$8),"n/a")</f>
        <v>4.33827973007488</v>
      </c>
      <c r="AL231" s="27" t="str">
        <f aca="false">IFERROR(ciq($D231,"IQ_PE_EXCL"),"")</f>
        <v/>
      </c>
      <c r="AM231" s="27" t="str">
        <f aca="false">IFERROR(ciq($D231,"IQ_PE_EXCL_FWD_CIQ"),"")</f>
        <v/>
      </c>
      <c r="AN231" s="27" t="str">
        <f aca="false">IFERROR(ciq($D231,"IQ_PBV"),"")</f>
        <v/>
      </c>
      <c r="AO231" s="27" t="str">
        <f aca="false">IFERROR(ciq($D231,"IQ_TEV_EBITDA"),"")</f>
        <v/>
      </c>
      <c r="AP231" s="24" t="str">
        <f aca="false">IFERROR(ciq($D231,"IQ_RETURN_EQUITY"),"")</f>
        <v/>
      </c>
      <c r="AQ231" s="24" t="str">
        <f aca="false">IFERROR(ciq($D231,"IQ_RETURN_CAPITAL"),"")</f>
        <v/>
      </c>
      <c r="AR231" s="24" t="str">
        <f aca="false">IFERROR(ciq($D231,"IQ_TOTAL_REV_1YR_ANN_GROWTH"),"")</f>
        <v/>
      </c>
      <c r="AS231" s="24" t="str">
        <f aca="false">IFERROR(ciq($D231,"IQ_EPS_1YR_ANN_GROWTH"),"")</f>
        <v/>
      </c>
      <c r="AT231" s="24" t="str">
        <f aca="false">IFERROR(ciq($D231,"IQ_DIVIDEND_YIELD"),"")</f>
        <v/>
      </c>
      <c r="AU231" s="24" t="str">
        <f aca="false">IFERROR(ciq($D231,"IQ_NET_DEBT"),"")</f>
        <v/>
      </c>
    </row>
    <row r="232" customFormat="false" ht="15" hidden="false" customHeight="false" outlineLevel="0" collapsed="false">
      <c r="A232" s="8" t="s">
        <v>1348</v>
      </c>
      <c r="B232" s="6" t="s">
        <v>1349</v>
      </c>
      <c r="C232" s="8" t="s">
        <v>72</v>
      </c>
      <c r="D232" s="8" t="s">
        <v>1350</v>
      </c>
      <c r="E232" s="8" t="s">
        <v>1351</v>
      </c>
      <c r="F232" s="6" t="s">
        <v>539</v>
      </c>
      <c r="G232" s="8" t="s">
        <v>56</v>
      </c>
      <c r="H232" s="8" t="s">
        <v>66</v>
      </c>
      <c r="I232" s="8"/>
      <c r="J232" s="8"/>
      <c r="K232" s="8"/>
      <c r="L232" s="8"/>
      <c r="M232" s="23" t="n">
        <v>21000</v>
      </c>
      <c r="N232" s="23" t="n">
        <v>28387.8</v>
      </c>
      <c r="O232" s="23" t="n">
        <v>29992.3866</v>
      </c>
      <c r="P232" s="24" t="n">
        <v>96.65749194</v>
      </c>
      <c r="Q232" s="24" t="n">
        <v>249.6810804925</v>
      </c>
      <c r="R232" s="24" t="n">
        <v>96.65749194</v>
      </c>
      <c r="S232" s="25" t="n">
        <v>0.0034048954811574</v>
      </c>
      <c r="T232" s="26" t="n">
        <v>1.39500083440835</v>
      </c>
      <c r="U232" s="23" t="n">
        <v>1</v>
      </c>
      <c r="V232" s="26" t="n">
        <v>-0.06</v>
      </c>
      <c r="W232" s="26" t="n">
        <v>0.247867035491368</v>
      </c>
      <c r="X232" s="26" t="n">
        <v>-0.130375569098178</v>
      </c>
      <c r="Y232" s="26" t="n">
        <v>0.349228259076038</v>
      </c>
      <c r="Z232" s="26" t="n">
        <v>1.23816371581424</v>
      </c>
      <c r="AA232" s="26" t="n">
        <v>2.00807597361334</v>
      </c>
      <c r="AB232" s="26" t="n">
        <v>-0.392184870516043</v>
      </c>
      <c r="AC232" s="27" t="n">
        <v>0.480614365391525</v>
      </c>
      <c r="AD232" s="28" t="n">
        <f aca="false">Params!$B$6*Params!$B$7*$R232</f>
        <v>57.994495164</v>
      </c>
      <c r="AE232" s="29" t="n">
        <f aca="false">MIN(Params!$B$9,AD232/Params!$B$4)</f>
        <v>0.06</v>
      </c>
      <c r="AF232" s="29" t="n">
        <f aca="false">MIN(Params!$B$9,AD232/Params!$B$5)</f>
        <v>0.057994495164</v>
      </c>
      <c r="AG232" s="28" t="n">
        <f aca="false">IF($R232&gt;0,Params!$B$9*Params!$B$4/(Params!$B$6*$R232),"n/a")</f>
        <v>1.55187142754658</v>
      </c>
      <c r="AH232" s="28" t="n">
        <f aca="false">IF($R232&gt;0,Params!$B$9*Params!$B$5/(Params!$B$6*$R232),"n/a")</f>
        <v>3.10374285509316</v>
      </c>
      <c r="AI232" s="28" t="n">
        <f aca="false">IF($R232&gt;0,Params!$B$15*Params!$B$4/(Params!$B$6*$R232),"n/a")</f>
        <v>0.517290475848861</v>
      </c>
      <c r="AJ232" s="29" t="n">
        <f aca="false">MIN(Params!$B$9,AD232*Params!$B$8/Params!$B$4)</f>
        <v>0.057994495164</v>
      </c>
      <c r="AK232" s="28" t="n">
        <f aca="false">IF($R232&gt;0,Params!$B$9*Params!$B$4/(Params!$B$6*$R232*Params!$B$8),"n/a")</f>
        <v>3.10374285509316</v>
      </c>
      <c r="AL232" s="27" t="str">
        <f aca="false">IFERROR(ciq($D232,"IQ_PE_EXCL"),"")</f>
        <v/>
      </c>
      <c r="AM232" s="27" t="str">
        <f aca="false">IFERROR(ciq($D232,"IQ_PE_EXCL_FWD_CIQ"),"")</f>
        <v/>
      </c>
      <c r="AN232" s="27" t="str">
        <f aca="false">IFERROR(ciq($D232,"IQ_PBV"),"")</f>
        <v/>
      </c>
      <c r="AO232" s="27" t="str">
        <f aca="false">IFERROR(ciq($D232,"IQ_TEV_EBITDA"),"")</f>
        <v/>
      </c>
      <c r="AP232" s="24" t="str">
        <f aca="false">IFERROR(ciq($D232,"IQ_RETURN_EQUITY"),"")</f>
        <v/>
      </c>
      <c r="AQ232" s="24" t="str">
        <f aca="false">IFERROR(ciq($D232,"IQ_RETURN_CAPITAL"),"")</f>
        <v/>
      </c>
      <c r="AR232" s="24" t="str">
        <f aca="false">IFERROR(ciq($D232,"IQ_TOTAL_REV_1YR_ANN_GROWTH"),"")</f>
        <v/>
      </c>
      <c r="AS232" s="24" t="str">
        <f aca="false">IFERROR(ciq($D232,"IQ_EPS_1YR_ANN_GROWTH"),"")</f>
        <v/>
      </c>
      <c r="AT232" s="24" t="str">
        <f aca="false">IFERROR(ciq($D232,"IQ_DIVIDEND_YIELD"),"")</f>
        <v/>
      </c>
      <c r="AU232" s="24" t="str">
        <f aca="false">IFERROR(ciq($D232,"IQ_NET_DEBT"),"")</f>
        <v/>
      </c>
    </row>
    <row r="233" customFormat="false" ht="15" hidden="false" customHeight="false" outlineLevel="0" collapsed="false">
      <c r="A233" s="8" t="s">
        <v>295</v>
      </c>
      <c r="B233" s="6" t="s">
        <v>296</v>
      </c>
      <c r="C233" s="8" t="s">
        <v>72</v>
      </c>
      <c r="D233" s="8" t="s">
        <v>1352</v>
      </c>
      <c r="E233" s="8" t="s">
        <v>1353</v>
      </c>
      <c r="F233" s="6" t="s">
        <v>619</v>
      </c>
      <c r="G233" s="8" t="s">
        <v>56</v>
      </c>
      <c r="H233" s="8" t="s">
        <v>66</v>
      </c>
      <c r="I233" s="8" t="s">
        <v>508</v>
      </c>
      <c r="J233" s="6" t="s">
        <v>204</v>
      </c>
      <c r="K233" s="6" t="s">
        <v>297</v>
      </c>
      <c r="L233" s="8"/>
      <c r="M233" s="23" t="n">
        <v>61000</v>
      </c>
      <c r="N233" s="23" t="n">
        <v>26093.00559</v>
      </c>
      <c r="O233" s="23" t="n">
        <v>24578.7557574</v>
      </c>
      <c r="P233" s="24" t="n">
        <v>82.192569875</v>
      </c>
      <c r="Q233" s="24" t="n">
        <v>84.538699463</v>
      </c>
      <c r="R233" s="24" t="n">
        <v>82.192569875</v>
      </c>
      <c r="S233" s="25" t="n">
        <v>0.00314998475708371</v>
      </c>
      <c r="T233" s="26" t="n">
        <v>0.557208302680668</v>
      </c>
      <c r="U233" s="23" t="n">
        <v>0</v>
      </c>
      <c r="V233" s="26" t="n">
        <v>-0.06</v>
      </c>
      <c r="W233" s="26" t="n">
        <v>0.0574176834946338</v>
      </c>
      <c r="X233" s="26" t="n">
        <v>-0.200327336417474</v>
      </c>
      <c r="Y233" s="26" t="n">
        <v>-0.198259528783165</v>
      </c>
      <c r="Z233" s="26" t="n">
        <v>-0.131918700972152</v>
      </c>
      <c r="AA233" s="26" t="n">
        <v>-0.0654353646342952</v>
      </c>
      <c r="AB233" s="26" t="n">
        <v>-0.482943293261391</v>
      </c>
      <c r="AC233" s="27" t="n">
        <v>0.48706330625796</v>
      </c>
      <c r="AD233" s="28" t="n">
        <f aca="false">Params!$B$6*Params!$B$7*$R233</f>
        <v>49.315541925</v>
      </c>
      <c r="AE233" s="29" t="n">
        <f aca="false">MIN(Params!$B$9,AD233/Params!$B$4)</f>
        <v>0.06</v>
      </c>
      <c r="AF233" s="29" t="n">
        <f aca="false">MIN(Params!$B$9,AD233/Params!$B$5)</f>
        <v>0.049315541925</v>
      </c>
      <c r="AG233" s="28" t="n">
        <f aca="false">IF($R233&gt;0,Params!$B$9*Params!$B$4/(Params!$B$6*$R233),"n/a")</f>
        <v>1.82498247990205</v>
      </c>
      <c r="AH233" s="28" t="n">
        <f aca="false">IF($R233&gt;0,Params!$B$9*Params!$B$5/(Params!$B$6*$R233),"n/a")</f>
        <v>3.6499649598041</v>
      </c>
      <c r="AI233" s="28" t="n">
        <f aca="false">IF($R233&gt;0,Params!$B$15*Params!$B$4/(Params!$B$6*$R233),"n/a")</f>
        <v>0.608327493300683</v>
      </c>
      <c r="AJ233" s="29" t="n">
        <f aca="false">MIN(Params!$B$9,AD233*Params!$B$8/Params!$B$4)</f>
        <v>0.049315541925</v>
      </c>
      <c r="AK233" s="28" t="n">
        <f aca="false">IF($R233&gt;0,Params!$B$9*Params!$B$4/(Params!$B$6*$R233*Params!$B$8),"n/a")</f>
        <v>3.6499649598041</v>
      </c>
      <c r="AL233" s="27" t="str">
        <f aca="false">IFERROR(ciq($D233,"IQ_PE_EXCL"),"")</f>
        <v/>
      </c>
      <c r="AM233" s="27" t="str">
        <f aca="false">IFERROR(ciq($D233,"IQ_PE_EXCL_FWD_CIQ"),"")</f>
        <v/>
      </c>
      <c r="AN233" s="27" t="str">
        <f aca="false">IFERROR(ciq($D233,"IQ_PBV"),"")</f>
        <v/>
      </c>
      <c r="AO233" s="27" t="str">
        <f aca="false">IFERROR(ciq($D233,"IQ_TEV_EBITDA"),"")</f>
        <v/>
      </c>
      <c r="AP233" s="24" t="str">
        <f aca="false">IFERROR(ciq($D233,"IQ_RETURN_EQUITY"),"")</f>
        <v/>
      </c>
      <c r="AQ233" s="24" t="str">
        <f aca="false">IFERROR(ciq($D233,"IQ_RETURN_CAPITAL"),"")</f>
        <v/>
      </c>
      <c r="AR233" s="24" t="str">
        <f aca="false">IFERROR(ciq($D233,"IQ_TOTAL_REV_1YR_ANN_GROWTH"),"")</f>
        <v/>
      </c>
      <c r="AS233" s="24" t="str">
        <f aca="false">IFERROR(ciq($D233,"IQ_EPS_1YR_ANN_GROWTH"),"")</f>
        <v/>
      </c>
      <c r="AT233" s="24" t="str">
        <f aca="false">IFERROR(ciq($D233,"IQ_DIVIDEND_YIELD"),"")</f>
        <v/>
      </c>
      <c r="AU233" s="24" t="str">
        <f aca="false">IFERROR(ciq($D233,"IQ_NET_DEBT"),"")</f>
        <v/>
      </c>
    </row>
    <row r="234" customFormat="false" ht="15" hidden="false" customHeight="false" outlineLevel="0" collapsed="false">
      <c r="A234" s="8" t="s">
        <v>1354</v>
      </c>
      <c r="B234" s="6" t="s">
        <v>1355</v>
      </c>
      <c r="C234" s="8" t="s">
        <v>74</v>
      </c>
      <c r="D234" s="8" t="s">
        <v>1356</v>
      </c>
      <c r="E234" s="8" t="s">
        <v>1357</v>
      </c>
      <c r="F234" s="8"/>
      <c r="G234" s="8" t="s">
        <v>56</v>
      </c>
      <c r="H234" s="8" t="s">
        <v>66</v>
      </c>
      <c r="I234" s="8"/>
      <c r="J234" s="8"/>
      <c r="K234" s="8"/>
      <c r="L234" s="8"/>
      <c r="M234" s="23" t="n">
        <v>319500</v>
      </c>
      <c r="N234" s="23" t="n">
        <v>24852.51837</v>
      </c>
      <c r="O234" s="23" t="n">
        <v>25381.460858</v>
      </c>
      <c r="P234" s="24" t="n">
        <v>95.9298215</v>
      </c>
      <c r="Q234" s="24" t="n">
        <v>242.498975625</v>
      </c>
      <c r="R234" s="24" t="n">
        <v>95.9298215</v>
      </c>
      <c r="S234" s="25" t="n">
        <v>0.00385996381017865</v>
      </c>
      <c r="T234" s="26" t="n">
        <v>0.959915085863222</v>
      </c>
      <c r="U234" s="23" t="n">
        <v>0</v>
      </c>
      <c r="V234" s="26" t="n">
        <v>-0.06</v>
      </c>
      <c r="W234" s="26" t="n">
        <v>0.119212101078814</v>
      </c>
      <c r="X234" s="26" t="n">
        <v>-0.0669130017358703</v>
      </c>
      <c r="Y234" s="26" t="n">
        <v>-0.276642445160688</v>
      </c>
      <c r="Z234" s="26" t="n">
        <v>0.220816446144588</v>
      </c>
      <c r="AA234" s="26" t="n">
        <v>0.450547708654028</v>
      </c>
      <c r="AB234" s="26" t="n">
        <v>-0.361833875930582</v>
      </c>
      <c r="AC234" s="27" t="n">
        <v>0.417149347728186</v>
      </c>
      <c r="AD234" s="28" t="n">
        <f aca="false">Params!$B$6*Params!$B$7*$R234</f>
        <v>57.5578929</v>
      </c>
      <c r="AE234" s="29" t="n">
        <f aca="false">MIN(Params!$B$9,AD234/Params!$B$4)</f>
        <v>0.06</v>
      </c>
      <c r="AF234" s="29" t="n">
        <f aca="false">MIN(Params!$B$9,AD234/Params!$B$5)</f>
        <v>0.0575578929</v>
      </c>
      <c r="AG234" s="28" t="n">
        <f aca="false">IF($R234&gt;0,Params!$B$9*Params!$B$4/(Params!$B$6*$R234),"n/a")</f>
        <v>1.56364306379951</v>
      </c>
      <c r="AH234" s="28" t="n">
        <f aca="false">IF($R234&gt;0,Params!$B$9*Params!$B$5/(Params!$B$6*$R234),"n/a")</f>
        <v>3.12728612759902</v>
      </c>
      <c r="AI234" s="28" t="n">
        <f aca="false">IF($R234&gt;0,Params!$B$15*Params!$B$4/(Params!$B$6*$R234),"n/a")</f>
        <v>0.521214354599836</v>
      </c>
      <c r="AJ234" s="29" t="n">
        <f aca="false">MIN(Params!$B$9,AD234*Params!$B$8/Params!$B$4)</f>
        <v>0.0575578929</v>
      </c>
      <c r="AK234" s="28" t="n">
        <f aca="false">IF($R234&gt;0,Params!$B$9*Params!$B$4/(Params!$B$6*$R234*Params!$B$8),"n/a")</f>
        <v>3.12728612759902</v>
      </c>
      <c r="AL234" s="27" t="str">
        <f aca="false">IFERROR(ciq($D234,"IQ_PE_EXCL"),"")</f>
        <v/>
      </c>
      <c r="AM234" s="27" t="str">
        <f aca="false">IFERROR(ciq($D234,"IQ_PE_EXCL_FWD_CIQ"),"")</f>
        <v/>
      </c>
      <c r="AN234" s="27" t="str">
        <f aca="false">IFERROR(ciq($D234,"IQ_PBV"),"")</f>
        <v/>
      </c>
      <c r="AO234" s="27" t="str">
        <f aca="false">IFERROR(ciq($D234,"IQ_TEV_EBITDA"),"")</f>
        <v/>
      </c>
      <c r="AP234" s="24" t="str">
        <f aca="false">IFERROR(ciq($D234,"IQ_RETURN_EQUITY"),"")</f>
        <v/>
      </c>
      <c r="AQ234" s="24" t="str">
        <f aca="false">IFERROR(ciq($D234,"IQ_RETURN_CAPITAL"),"")</f>
        <v/>
      </c>
      <c r="AR234" s="24" t="str">
        <f aca="false">IFERROR(ciq($D234,"IQ_TOTAL_REV_1YR_ANN_GROWTH"),"")</f>
        <v/>
      </c>
      <c r="AS234" s="24" t="str">
        <f aca="false">IFERROR(ciq($D234,"IQ_EPS_1YR_ANN_GROWTH"),"")</f>
        <v/>
      </c>
      <c r="AT234" s="24" t="str">
        <f aca="false">IFERROR(ciq($D234,"IQ_DIVIDEND_YIELD"),"")</f>
        <v/>
      </c>
      <c r="AU234" s="24" t="str">
        <f aca="false">IFERROR(ciq($D234,"IQ_NET_DEBT"),"")</f>
        <v/>
      </c>
    </row>
    <row r="235" customFormat="false" ht="15" hidden="false" customHeight="false" outlineLevel="0" collapsed="false">
      <c r="A235" s="8" t="s">
        <v>1358</v>
      </c>
      <c r="B235" s="6" t="s">
        <v>1359</v>
      </c>
      <c r="C235" s="8" t="s">
        <v>72</v>
      </c>
      <c r="D235" s="8" t="s">
        <v>1360</v>
      </c>
      <c r="E235" s="8" t="s">
        <v>1361</v>
      </c>
      <c r="F235" s="8"/>
      <c r="G235" s="8" t="s">
        <v>56</v>
      </c>
      <c r="H235" s="8" t="s">
        <v>66</v>
      </c>
      <c r="I235" s="8"/>
      <c r="J235" s="8"/>
      <c r="K235" s="8"/>
      <c r="L235" s="8"/>
      <c r="M235" s="23" t="n">
        <v>48700</v>
      </c>
      <c r="N235" s="23" t="n">
        <v>24587.84593</v>
      </c>
      <c r="O235" s="23" t="n">
        <v>25895.495231</v>
      </c>
      <c r="P235" s="24" t="n">
        <v>90.4482552875</v>
      </c>
      <c r="Q235" s="24" t="n">
        <v>163.334768366667</v>
      </c>
      <c r="R235" s="24" t="n">
        <v>90.4482552875</v>
      </c>
      <c r="S235" s="25" t="n">
        <v>0.00367857581119551</v>
      </c>
      <c r="T235" s="26" t="n">
        <v>0.902725735251159</v>
      </c>
      <c r="U235" s="23" t="n">
        <v>1</v>
      </c>
      <c r="V235" s="26" t="n">
        <v>-0.06</v>
      </c>
      <c r="W235" s="26" t="n">
        <v>-0.00612859398685384</v>
      </c>
      <c r="X235" s="26" t="n">
        <v>-0.267585516789886</v>
      </c>
      <c r="Y235" s="26" t="n">
        <v>-0.374859908174228</v>
      </c>
      <c r="Z235" s="26" t="n">
        <v>0.0849401516371593</v>
      </c>
      <c r="AA235" s="26" t="n">
        <v>-0.119021107274412</v>
      </c>
      <c r="AB235" s="26" t="n">
        <v>-0.474639199974688</v>
      </c>
      <c r="AC235" s="27" t="n">
        <v>0.221838067651508</v>
      </c>
      <c r="AD235" s="28" t="n">
        <f aca="false">Params!$B$6*Params!$B$7*$R235</f>
        <v>54.2689531725</v>
      </c>
      <c r="AE235" s="29" t="n">
        <f aca="false">MIN(Params!$B$9,AD235/Params!$B$4)</f>
        <v>0.06</v>
      </c>
      <c r="AF235" s="29" t="n">
        <f aca="false">MIN(Params!$B$9,AD235/Params!$B$5)</f>
        <v>0.0542689531725</v>
      </c>
      <c r="AG235" s="28" t="n">
        <f aca="false">IF($R235&gt;0,Params!$B$9*Params!$B$4/(Params!$B$6*$R235),"n/a")</f>
        <v>1.65840678212319</v>
      </c>
      <c r="AH235" s="28" t="n">
        <f aca="false">IF($R235&gt;0,Params!$B$9*Params!$B$5/(Params!$B$6*$R235),"n/a")</f>
        <v>3.31681356424639</v>
      </c>
      <c r="AI235" s="28" t="n">
        <f aca="false">IF($R235&gt;0,Params!$B$15*Params!$B$4/(Params!$B$6*$R235),"n/a")</f>
        <v>0.552802260707731</v>
      </c>
      <c r="AJ235" s="29" t="n">
        <f aca="false">MIN(Params!$B$9,AD235*Params!$B$8/Params!$B$4)</f>
        <v>0.0542689531725</v>
      </c>
      <c r="AK235" s="28" t="n">
        <f aca="false">IF($R235&gt;0,Params!$B$9*Params!$B$4/(Params!$B$6*$R235*Params!$B$8),"n/a")</f>
        <v>3.31681356424639</v>
      </c>
      <c r="AL235" s="27" t="str">
        <f aca="false">IFERROR(ciq($D235,"IQ_PE_EXCL"),"")</f>
        <v/>
      </c>
      <c r="AM235" s="27" t="str">
        <f aca="false">IFERROR(ciq($D235,"IQ_PE_EXCL_FWD_CIQ"),"")</f>
        <v/>
      </c>
      <c r="AN235" s="27" t="str">
        <f aca="false">IFERROR(ciq($D235,"IQ_PBV"),"")</f>
        <v/>
      </c>
      <c r="AO235" s="27" t="str">
        <f aca="false">IFERROR(ciq($D235,"IQ_TEV_EBITDA"),"")</f>
        <v/>
      </c>
      <c r="AP235" s="24" t="str">
        <f aca="false">IFERROR(ciq($D235,"IQ_RETURN_EQUITY"),"")</f>
        <v/>
      </c>
      <c r="AQ235" s="24" t="str">
        <f aca="false">IFERROR(ciq($D235,"IQ_RETURN_CAPITAL"),"")</f>
        <v/>
      </c>
      <c r="AR235" s="24" t="str">
        <f aca="false">IFERROR(ciq($D235,"IQ_TOTAL_REV_1YR_ANN_GROWTH"),"")</f>
        <v/>
      </c>
      <c r="AS235" s="24" t="str">
        <f aca="false">IFERROR(ciq($D235,"IQ_EPS_1YR_ANN_GROWTH"),"")</f>
        <v/>
      </c>
      <c r="AT235" s="24" t="str">
        <f aca="false">IFERROR(ciq($D235,"IQ_DIVIDEND_YIELD"),"")</f>
        <v/>
      </c>
      <c r="AU235" s="24" t="str">
        <f aca="false">IFERROR(ciq($D235,"IQ_NET_DEBT"),"")</f>
        <v/>
      </c>
    </row>
    <row r="236" customFormat="false" ht="15" hidden="false" customHeight="false" outlineLevel="0" collapsed="false">
      <c r="A236" s="8" t="s">
        <v>1362</v>
      </c>
      <c r="B236" s="6" t="s">
        <v>1363</v>
      </c>
      <c r="C236" s="8" t="s">
        <v>72</v>
      </c>
      <c r="D236" s="8" t="s">
        <v>1364</v>
      </c>
      <c r="E236" s="8" t="s">
        <v>1365</v>
      </c>
      <c r="F236" s="6" t="s">
        <v>1366</v>
      </c>
      <c r="G236" s="8" t="s">
        <v>56</v>
      </c>
      <c r="H236" s="8" t="s">
        <v>66</v>
      </c>
      <c r="I236" s="8"/>
      <c r="J236" s="8"/>
      <c r="K236" s="8"/>
      <c r="L236" s="8"/>
      <c r="M236" s="23" t="n">
        <v>18940</v>
      </c>
      <c r="N236" s="23" t="n">
        <v>21788.808015</v>
      </c>
      <c r="O236" s="23" t="n">
        <v>21869.912078625</v>
      </c>
      <c r="P236" s="24" t="n">
        <v>56.0891140075</v>
      </c>
      <c r="Q236" s="24" t="n">
        <v>81.7364197011667</v>
      </c>
      <c r="R236" s="24" t="n">
        <v>56.0891140075</v>
      </c>
      <c r="S236" s="25" t="n">
        <v>0.00257421672488402</v>
      </c>
      <c r="T236" s="26" t="n">
        <v>0.327034726347659</v>
      </c>
      <c r="U236" s="23" t="n">
        <v>0</v>
      </c>
      <c r="V236" s="26" t="n">
        <v>-0.06</v>
      </c>
      <c r="W236" s="26" t="n">
        <v>0.0128512043705302</v>
      </c>
      <c r="X236" s="26" t="n">
        <v>0.0384992468867358</v>
      </c>
      <c r="Y236" s="26" t="n">
        <v>-0.075741479676702</v>
      </c>
      <c r="Z236" s="26" t="n">
        <v>-0.0977209644987809</v>
      </c>
      <c r="AA236" s="26" t="n">
        <v>-0.0348293301337856</v>
      </c>
      <c r="AB236" s="26" t="n">
        <v>-0.181512723408013</v>
      </c>
      <c r="AC236" s="27" t="n">
        <v>0.671018589453528</v>
      </c>
      <c r="AD236" s="28" t="n">
        <f aca="false">Params!$B$6*Params!$B$7*$R236</f>
        <v>33.6534684045</v>
      </c>
      <c r="AE236" s="29" t="n">
        <f aca="false">MIN(Params!$B$9,AD236/Params!$B$4)</f>
        <v>0.06</v>
      </c>
      <c r="AF236" s="29" t="n">
        <f aca="false">MIN(Params!$B$9,AD236/Params!$B$5)</f>
        <v>0.0336534684045</v>
      </c>
      <c r="AG236" s="28" t="n">
        <f aca="false">IF($R236&gt;0,Params!$B$9*Params!$B$4/(Params!$B$6*$R236),"n/a")</f>
        <v>2.67431573228172</v>
      </c>
      <c r="AH236" s="28" t="n">
        <f aca="false">IF($R236&gt;0,Params!$B$9*Params!$B$5/(Params!$B$6*$R236),"n/a")</f>
        <v>5.34863146456343</v>
      </c>
      <c r="AI236" s="28" t="n">
        <f aca="false">IF($R236&gt;0,Params!$B$15*Params!$B$4/(Params!$B$6*$R236),"n/a")</f>
        <v>0.891438577427239</v>
      </c>
      <c r="AJ236" s="29" t="n">
        <f aca="false">MIN(Params!$B$9,AD236*Params!$B$8/Params!$B$4)</f>
        <v>0.0336534684045</v>
      </c>
      <c r="AK236" s="28" t="n">
        <f aca="false">IF($R236&gt;0,Params!$B$9*Params!$B$4/(Params!$B$6*$R236*Params!$B$8),"n/a")</f>
        <v>5.34863146456343</v>
      </c>
      <c r="AL236" s="27" t="str">
        <f aca="false">IFERROR(ciq($D236,"IQ_PE_EXCL"),"")</f>
        <v/>
      </c>
      <c r="AM236" s="27" t="str">
        <f aca="false">IFERROR(ciq($D236,"IQ_PE_EXCL_FWD_CIQ"),"")</f>
        <v/>
      </c>
      <c r="AN236" s="27" t="str">
        <f aca="false">IFERROR(ciq($D236,"IQ_PBV"),"")</f>
        <v/>
      </c>
      <c r="AO236" s="27" t="str">
        <f aca="false">IFERROR(ciq($D236,"IQ_TEV_EBITDA"),"")</f>
        <v/>
      </c>
      <c r="AP236" s="24" t="str">
        <f aca="false">IFERROR(ciq($D236,"IQ_RETURN_EQUITY"),"")</f>
        <v/>
      </c>
      <c r="AQ236" s="24" t="str">
        <f aca="false">IFERROR(ciq($D236,"IQ_RETURN_CAPITAL"),"")</f>
        <v/>
      </c>
      <c r="AR236" s="24" t="str">
        <f aca="false">IFERROR(ciq($D236,"IQ_TOTAL_REV_1YR_ANN_GROWTH"),"")</f>
        <v/>
      </c>
      <c r="AS236" s="24" t="str">
        <f aca="false">IFERROR(ciq($D236,"IQ_EPS_1YR_ANN_GROWTH"),"")</f>
        <v/>
      </c>
      <c r="AT236" s="24" t="str">
        <f aca="false">IFERROR(ciq($D236,"IQ_DIVIDEND_YIELD"),"")</f>
        <v/>
      </c>
      <c r="AU236" s="24" t="str">
        <f aca="false">IFERROR(ciq($D236,"IQ_NET_DEBT"),"")</f>
        <v/>
      </c>
    </row>
    <row r="237" customFormat="false" ht="15" hidden="false" customHeight="false" outlineLevel="0" collapsed="false">
      <c r="A237" s="8" t="s">
        <v>1367</v>
      </c>
      <c r="B237" s="6" t="s">
        <v>1368</v>
      </c>
      <c r="C237" s="8" t="s">
        <v>72</v>
      </c>
      <c r="D237" s="8" t="s">
        <v>1369</v>
      </c>
      <c r="E237" s="8" t="s">
        <v>1370</v>
      </c>
      <c r="F237" s="6" t="s">
        <v>619</v>
      </c>
      <c r="G237" s="8" t="s">
        <v>56</v>
      </c>
      <c r="H237" s="8" t="s">
        <v>66</v>
      </c>
      <c r="I237" s="8"/>
      <c r="J237" s="8"/>
      <c r="K237" s="8"/>
      <c r="L237" s="8"/>
      <c r="M237" s="23" t="n">
        <v>192500</v>
      </c>
      <c r="N237" s="23" t="n">
        <v>20778.5193</v>
      </c>
      <c r="O237" s="23" t="n">
        <v>22847.1962994</v>
      </c>
      <c r="P237" s="24" t="n">
        <v>85.916858662</v>
      </c>
      <c r="Q237" s="24" t="n">
        <v>132.063892496167</v>
      </c>
      <c r="R237" s="24" t="n">
        <v>85.916858662</v>
      </c>
      <c r="S237" s="25" t="n">
        <v>0.00413488841151448</v>
      </c>
      <c r="T237" s="26" t="n">
        <v>0.74814933350257</v>
      </c>
      <c r="U237" s="23" t="n">
        <v>0</v>
      </c>
      <c r="V237" s="26" t="n">
        <v>-0.06</v>
      </c>
      <c r="W237" s="26" t="n">
        <v>-0.146307273819313</v>
      </c>
      <c r="X237" s="26" t="n">
        <v>-0.218817993913327</v>
      </c>
      <c r="Y237" s="26" t="n">
        <v>-0.340503713845106</v>
      </c>
      <c r="Z237" s="26" t="n">
        <v>-0.15377324085994</v>
      </c>
      <c r="AA237" s="26" t="n">
        <v>0.122045012017644</v>
      </c>
      <c r="AB237" s="26" t="n">
        <v>-0.43029493010675</v>
      </c>
      <c r="AC237" s="27" t="n">
        <v>0.475720596831367</v>
      </c>
      <c r="AD237" s="28" t="n">
        <f aca="false">Params!$B$6*Params!$B$7*$R237</f>
        <v>51.5501151972</v>
      </c>
      <c r="AE237" s="29" t="n">
        <f aca="false">MIN(Params!$B$9,AD237/Params!$B$4)</f>
        <v>0.06</v>
      </c>
      <c r="AF237" s="29" t="n">
        <f aca="false">MIN(Params!$B$9,AD237/Params!$B$5)</f>
        <v>0.0515501151972</v>
      </c>
      <c r="AG237" s="28" t="n">
        <f aca="false">IF($R237&gt;0,Params!$B$9*Params!$B$4/(Params!$B$6*$R237),"n/a")</f>
        <v>1.74587388710411</v>
      </c>
      <c r="AH237" s="28" t="n">
        <f aca="false">IF($R237&gt;0,Params!$B$9*Params!$B$5/(Params!$B$6*$R237),"n/a")</f>
        <v>3.49174777420821</v>
      </c>
      <c r="AI237" s="28" t="n">
        <f aca="false">IF($R237&gt;0,Params!$B$15*Params!$B$4/(Params!$B$6*$R237),"n/a")</f>
        <v>0.581957962368035</v>
      </c>
      <c r="AJ237" s="29" t="n">
        <f aca="false">MIN(Params!$B$9,AD237*Params!$B$8/Params!$B$4)</f>
        <v>0.0515501151972</v>
      </c>
      <c r="AK237" s="28" t="n">
        <f aca="false">IF($R237&gt;0,Params!$B$9*Params!$B$4/(Params!$B$6*$R237*Params!$B$8),"n/a")</f>
        <v>3.49174777420821</v>
      </c>
      <c r="AL237" s="27" t="str">
        <f aca="false">IFERROR(ciq($D237,"IQ_PE_EXCL"),"")</f>
        <v/>
      </c>
      <c r="AM237" s="27" t="str">
        <f aca="false">IFERROR(ciq($D237,"IQ_PE_EXCL_FWD_CIQ"),"")</f>
        <v/>
      </c>
      <c r="AN237" s="27" t="str">
        <f aca="false">IFERROR(ciq($D237,"IQ_PBV"),"")</f>
        <v/>
      </c>
      <c r="AO237" s="27" t="str">
        <f aca="false">IFERROR(ciq($D237,"IQ_TEV_EBITDA"),"")</f>
        <v/>
      </c>
      <c r="AP237" s="24" t="str">
        <f aca="false">IFERROR(ciq($D237,"IQ_RETURN_EQUITY"),"")</f>
        <v/>
      </c>
      <c r="AQ237" s="24" t="str">
        <f aca="false">IFERROR(ciq($D237,"IQ_RETURN_CAPITAL"),"")</f>
        <v/>
      </c>
      <c r="AR237" s="24" t="str">
        <f aca="false">IFERROR(ciq($D237,"IQ_TOTAL_REV_1YR_ANN_GROWTH"),"")</f>
        <v/>
      </c>
      <c r="AS237" s="24" t="str">
        <f aca="false">IFERROR(ciq($D237,"IQ_EPS_1YR_ANN_GROWTH"),"")</f>
        <v/>
      </c>
      <c r="AT237" s="24" t="str">
        <f aca="false">IFERROR(ciq($D237,"IQ_DIVIDEND_YIELD"),"")</f>
        <v/>
      </c>
      <c r="AU237" s="24" t="str">
        <f aca="false">IFERROR(ciq($D237,"IQ_NET_DEBT"),"")</f>
        <v/>
      </c>
    </row>
    <row r="238" customFormat="false" ht="15" hidden="false" customHeight="false" outlineLevel="0" collapsed="false">
      <c r="A238" s="8" t="s">
        <v>1371</v>
      </c>
      <c r="B238" s="6" t="s">
        <v>1372</v>
      </c>
      <c r="C238" s="8" t="s">
        <v>72</v>
      </c>
      <c r="D238" s="8" t="s">
        <v>1373</v>
      </c>
      <c r="E238" s="8" t="s">
        <v>1374</v>
      </c>
      <c r="F238" s="6" t="s">
        <v>1375</v>
      </c>
      <c r="G238" s="8" t="s">
        <v>56</v>
      </c>
      <c r="H238" s="8" t="s">
        <v>66</v>
      </c>
      <c r="I238" s="8"/>
      <c r="J238" s="8"/>
      <c r="K238" s="8"/>
      <c r="L238" s="8"/>
      <c r="M238" s="23" t="n">
        <v>45300</v>
      </c>
      <c r="N238" s="23" t="n">
        <v>20385</v>
      </c>
      <c r="O238" s="23" t="n">
        <v>20608.875</v>
      </c>
      <c r="P238" s="24" t="n">
        <v>55.5907586625</v>
      </c>
      <c r="Q238" s="24" t="n">
        <v>64.7020967833333</v>
      </c>
      <c r="R238" s="24" t="n">
        <v>55.5907586625</v>
      </c>
      <c r="S238" s="25" t="n">
        <v>0.00272704236754967</v>
      </c>
      <c r="T238" s="26" t="n">
        <v>0.806308919203081</v>
      </c>
      <c r="U238" s="23" t="n">
        <v>0</v>
      </c>
      <c r="V238" s="26" t="n">
        <v>-0.06</v>
      </c>
      <c r="W238" s="26" t="n">
        <v>-0.027907951305455</v>
      </c>
      <c r="X238" s="26" t="n">
        <v>-0.0414257117537343</v>
      </c>
      <c r="Y238" s="26" t="n">
        <v>-0.19393877049177</v>
      </c>
      <c r="Z238" s="26" t="n">
        <v>-0.0837227743575747</v>
      </c>
      <c r="AA238" s="26" t="n">
        <v>-0.120074448149067</v>
      </c>
      <c r="AB238" s="26" t="n">
        <v>-0.328828553283482</v>
      </c>
      <c r="AC238" s="27" t="n">
        <v>0.563759359468111</v>
      </c>
      <c r="AD238" s="28" t="n">
        <f aca="false">Params!$B$6*Params!$B$7*$R238</f>
        <v>33.3544551975</v>
      </c>
      <c r="AE238" s="29" t="n">
        <f aca="false">MIN(Params!$B$9,AD238/Params!$B$4)</f>
        <v>0.06</v>
      </c>
      <c r="AF238" s="29" t="n">
        <f aca="false">MIN(Params!$B$9,AD238/Params!$B$5)</f>
        <v>0.0333544551975</v>
      </c>
      <c r="AG238" s="28" t="n">
        <f aca="false">IF($R238&gt;0,Params!$B$9*Params!$B$4/(Params!$B$6*$R238),"n/a")</f>
        <v>2.69829021241953</v>
      </c>
      <c r="AH238" s="28" t="n">
        <f aca="false">IF($R238&gt;0,Params!$B$9*Params!$B$5/(Params!$B$6*$R238),"n/a")</f>
        <v>5.39658042483906</v>
      </c>
      <c r="AI238" s="28" t="n">
        <f aca="false">IF($R238&gt;0,Params!$B$15*Params!$B$4/(Params!$B$6*$R238),"n/a")</f>
        <v>0.89943007080651</v>
      </c>
      <c r="AJ238" s="29" t="n">
        <f aca="false">MIN(Params!$B$9,AD238*Params!$B$8/Params!$B$4)</f>
        <v>0.0333544551975</v>
      </c>
      <c r="AK238" s="28" t="n">
        <f aca="false">IF($R238&gt;0,Params!$B$9*Params!$B$4/(Params!$B$6*$R238*Params!$B$8),"n/a")</f>
        <v>5.39658042483906</v>
      </c>
      <c r="AL238" s="27" t="str">
        <f aca="false">IFERROR(ciq($D238,"IQ_PE_EXCL"),"")</f>
        <v/>
      </c>
      <c r="AM238" s="27" t="str">
        <f aca="false">IFERROR(ciq($D238,"IQ_PE_EXCL_FWD_CIQ"),"")</f>
        <v/>
      </c>
      <c r="AN238" s="27" t="str">
        <f aca="false">IFERROR(ciq($D238,"IQ_PBV"),"")</f>
        <v/>
      </c>
      <c r="AO238" s="27" t="str">
        <f aca="false">IFERROR(ciq($D238,"IQ_TEV_EBITDA"),"")</f>
        <v/>
      </c>
      <c r="AP238" s="24" t="str">
        <f aca="false">IFERROR(ciq($D238,"IQ_RETURN_EQUITY"),"")</f>
        <v/>
      </c>
      <c r="AQ238" s="24" t="str">
        <f aca="false">IFERROR(ciq($D238,"IQ_RETURN_CAPITAL"),"")</f>
        <v/>
      </c>
      <c r="AR238" s="24" t="str">
        <f aca="false">IFERROR(ciq($D238,"IQ_TOTAL_REV_1YR_ANN_GROWTH"),"")</f>
        <v/>
      </c>
      <c r="AS238" s="24" t="str">
        <f aca="false">IFERROR(ciq($D238,"IQ_EPS_1YR_ANN_GROWTH"),"")</f>
        <v/>
      </c>
      <c r="AT238" s="24" t="str">
        <f aca="false">IFERROR(ciq($D238,"IQ_DIVIDEND_YIELD"),"")</f>
        <v/>
      </c>
      <c r="AU238" s="24" t="str">
        <f aca="false">IFERROR(ciq($D238,"IQ_NET_DEBT"),"")</f>
        <v/>
      </c>
    </row>
    <row r="239" customFormat="false" ht="15" hidden="false" customHeight="false" outlineLevel="0" collapsed="false">
      <c r="A239" s="8" t="s">
        <v>298</v>
      </c>
      <c r="B239" s="6" t="s">
        <v>299</v>
      </c>
      <c r="C239" s="8" t="s">
        <v>72</v>
      </c>
      <c r="D239" s="8" t="s">
        <v>1376</v>
      </c>
      <c r="E239" s="8" t="s">
        <v>1377</v>
      </c>
      <c r="F239" s="6" t="s">
        <v>982</v>
      </c>
      <c r="G239" s="8" t="s">
        <v>56</v>
      </c>
      <c r="H239" s="8" t="s">
        <v>66</v>
      </c>
      <c r="I239" s="8" t="s">
        <v>508</v>
      </c>
      <c r="J239" s="6" t="s">
        <v>300</v>
      </c>
      <c r="K239" s="6" t="s">
        <v>301</v>
      </c>
      <c r="L239" s="8"/>
      <c r="M239" s="23" t="n">
        <v>73800</v>
      </c>
      <c r="N239" s="23" t="n">
        <v>20365.714422</v>
      </c>
      <c r="O239" s="23" t="n">
        <v>20982.48097665</v>
      </c>
      <c r="P239" s="24" t="n">
        <v>91.923085517</v>
      </c>
      <c r="Q239" s="24" t="n">
        <v>102.237720164</v>
      </c>
      <c r="R239" s="24" t="n">
        <v>91.923085517</v>
      </c>
      <c r="S239" s="25" t="n">
        <v>0.0045136194887276</v>
      </c>
      <c r="T239" s="26" t="n">
        <v>0.363814933397066</v>
      </c>
      <c r="U239" s="23" t="n">
        <v>0</v>
      </c>
      <c r="V239" s="26" t="n">
        <v>-0.06</v>
      </c>
      <c r="W239" s="26" t="n">
        <v>-0.0740744436320729</v>
      </c>
      <c r="X239" s="26" t="n">
        <v>-0.154422555153742</v>
      </c>
      <c r="Y239" s="26" t="n">
        <v>-0.231109851105228</v>
      </c>
      <c r="Z239" s="26" t="n">
        <v>-0.0922440637433131</v>
      </c>
      <c r="AA239" s="26" t="n">
        <v>-0.0302671949471826</v>
      </c>
      <c r="AB239" s="26" t="n">
        <v>-0.421618876140534</v>
      </c>
      <c r="AC239" s="27" t="n">
        <v>0.547983676539949</v>
      </c>
      <c r="AD239" s="28" t="n">
        <f aca="false">Params!$B$6*Params!$B$7*$R239</f>
        <v>55.1538513102</v>
      </c>
      <c r="AE239" s="29" t="n">
        <f aca="false">MIN(Params!$B$9,AD239/Params!$B$4)</f>
        <v>0.06</v>
      </c>
      <c r="AF239" s="29" t="n">
        <f aca="false">MIN(Params!$B$9,AD239/Params!$B$5)</f>
        <v>0.0551538513102</v>
      </c>
      <c r="AG239" s="28" t="n">
        <f aca="false">IF($R239&gt;0,Params!$B$9*Params!$B$4/(Params!$B$6*$R239),"n/a")</f>
        <v>1.63179901062241</v>
      </c>
      <c r="AH239" s="28" t="n">
        <f aca="false">IF($R239&gt;0,Params!$B$9*Params!$B$5/(Params!$B$6*$R239),"n/a")</f>
        <v>3.26359802124482</v>
      </c>
      <c r="AI239" s="28" t="n">
        <f aca="false">IF($R239&gt;0,Params!$B$15*Params!$B$4/(Params!$B$6*$R239),"n/a")</f>
        <v>0.543933003540804</v>
      </c>
      <c r="AJ239" s="29" t="n">
        <f aca="false">MIN(Params!$B$9,AD239*Params!$B$8/Params!$B$4)</f>
        <v>0.0551538513102</v>
      </c>
      <c r="AK239" s="28" t="n">
        <f aca="false">IF($R239&gt;0,Params!$B$9*Params!$B$4/(Params!$B$6*$R239*Params!$B$8),"n/a")</f>
        <v>3.26359802124482</v>
      </c>
      <c r="AL239" s="27" t="str">
        <f aca="false">IFERROR(ciq($D239,"IQ_PE_EXCL"),"")</f>
        <v/>
      </c>
      <c r="AM239" s="27" t="str">
        <f aca="false">IFERROR(ciq($D239,"IQ_PE_EXCL_FWD_CIQ"),"")</f>
        <v/>
      </c>
      <c r="AN239" s="27" t="str">
        <f aca="false">IFERROR(ciq($D239,"IQ_PBV"),"")</f>
        <v/>
      </c>
      <c r="AO239" s="27" t="str">
        <f aca="false">IFERROR(ciq($D239,"IQ_TEV_EBITDA"),"")</f>
        <v/>
      </c>
      <c r="AP239" s="24" t="str">
        <f aca="false">IFERROR(ciq($D239,"IQ_RETURN_EQUITY"),"")</f>
        <v/>
      </c>
      <c r="AQ239" s="24" t="str">
        <f aca="false">IFERROR(ciq($D239,"IQ_RETURN_CAPITAL"),"")</f>
        <v/>
      </c>
      <c r="AR239" s="24" t="str">
        <f aca="false">IFERROR(ciq($D239,"IQ_TOTAL_REV_1YR_ANN_GROWTH"),"")</f>
        <v/>
      </c>
      <c r="AS239" s="24" t="str">
        <f aca="false">IFERROR(ciq($D239,"IQ_EPS_1YR_ANN_GROWTH"),"")</f>
        <v/>
      </c>
      <c r="AT239" s="24" t="str">
        <f aca="false">IFERROR(ciq($D239,"IQ_DIVIDEND_YIELD"),"")</f>
        <v/>
      </c>
      <c r="AU239" s="24" t="str">
        <f aca="false">IFERROR(ciq($D239,"IQ_NET_DEBT"),"")</f>
        <v/>
      </c>
    </row>
    <row r="240" customFormat="false" ht="15" hidden="false" customHeight="false" outlineLevel="0" collapsed="false">
      <c r="A240" s="8" t="s">
        <v>1378</v>
      </c>
      <c r="B240" s="6" t="s">
        <v>1379</v>
      </c>
      <c r="C240" s="8" t="s">
        <v>72</v>
      </c>
      <c r="D240" s="8" t="s">
        <v>1380</v>
      </c>
      <c r="E240" s="8" t="s">
        <v>1381</v>
      </c>
      <c r="F240" s="8"/>
      <c r="G240" s="8" t="s">
        <v>56</v>
      </c>
      <c r="H240" s="8" t="s">
        <v>66</v>
      </c>
      <c r="I240" s="8"/>
      <c r="J240" s="8"/>
      <c r="K240" s="8"/>
      <c r="L240" s="8" t="s">
        <v>241</v>
      </c>
      <c r="M240" s="23" t="n">
        <v>62800</v>
      </c>
      <c r="N240" s="23" t="n">
        <v>18977.451616</v>
      </c>
      <c r="O240" s="23" t="n">
        <v>19660.3981232</v>
      </c>
      <c r="P240" s="24" t="n">
        <v>85.068455725</v>
      </c>
      <c r="Q240" s="24" t="n">
        <v>92.3362609916667</v>
      </c>
      <c r="R240" s="24" t="n">
        <v>85.068455725</v>
      </c>
      <c r="S240" s="25" t="n">
        <v>0.00448260690878423</v>
      </c>
      <c r="T240" s="26" t="n">
        <v>0.804280021878711</v>
      </c>
      <c r="U240" s="23" t="n">
        <v>0</v>
      </c>
      <c r="V240" s="26" t="n">
        <v>-0.06</v>
      </c>
      <c r="W240" s="26" t="n">
        <v>0.0433019708941056</v>
      </c>
      <c r="X240" s="26" t="n">
        <v>-0.218778983147979</v>
      </c>
      <c r="Y240" s="26" t="n">
        <v>-0.358545573070238</v>
      </c>
      <c r="Z240" s="26" t="n">
        <v>0.0610419265961439</v>
      </c>
      <c r="AA240" s="26" t="n">
        <v>0.335057147458507</v>
      </c>
      <c r="AB240" s="26" t="n">
        <v>-0.517250446646481</v>
      </c>
      <c r="AC240" s="27" t="n">
        <v>0.38436526591385</v>
      </c>
      <c r="AD240" s="28" t="n">
        <f aca="false">Params!$B$6*Params!$B$7*$R240</f>
        <v>51.041073435</v>
      </c>
      <c r="AE240" s="29" t="n">
        <f aca="false">MIN(Params!$B$9,AD240/Params!$B$4)</f>
        <v>0.06</v>
      </c>
      <c r="AF240" s="29" t="n">
        <f aca="false">MIN(Params!$B$9,AD240/Params!$B$5)</f>
        <v>0.051041073435</v>
      </c>
      <c r="AG240" s="28" t="n">
        <f aca="false">IF($R240&gt;0,Params!$B$9*Params!$B$4/(Params!$B$6*$R240),"n/a")</f>
        <v>1.76328579990806</v>
      </c>
      <c r="AH240" s="28" t="n">
        <f aca="false">IF($R240&gt;0,Params!$B$9*Params!$B$5/(Params!$B$6*$R240),"n/a")</f>
        <v>3.52657159981612</v>
      </c>
      <c r="AI240" s="28" t="n">
        <f aca="false">IF($R240&gt;0,Params!$B$15*Params!$B$4/(Params!$B$6*$R240),"n/a")</f>
        <v>0.587761933302687</v>
      </c>
      <c r="AJ240" s="29" t="n">
        <f aca="false">MIN(Params!$B$9,AD240*Params!$B$8/Params!$B$4)</f>
        <v>0.051041073435</v>
      </c>
      <c r="AK240" s="28" t="n">
        <f aca="false">IF($R240&gt;0,Params!$B$9*Params!$B$4/(Params!$B$6*$R240*Params!$B$8),"n/a")</f>
        <v>3.52657159981612</v>
      </c>
      <c r="AL240" s="27" t="str">
        <f aca="false">IFERROR(ciq($D240,"IQ_PE_EXCL"),"")</f>
        <v/>
      </c>
      <c r="AM240" s="27" t="str">
        <f aca="false">IFERROR(ciq($D240,"IQ_PE_EXCL_FWD_CIQ"),"")</f>
        <v/>
      </c>
      <c r="AN240" s="27" t="str">
        <f aca="false">IFERROR(ciq($D240,"IQ_PBV"),"")</f>
        <v/>
      </c>
      <c r="AO240" s="27" t="str">
        <f aca="false">IFERROR(ciq($D240,"IQ_TEV_EBITDA"),"")</f>
        <v/>
      </c>
      <c r="AP240" s="24" t="str">
        <f aca="false">IFERROR(ciq($D240,"IQ_RETURN_EQUITY"),"")</f>
        <v/>
      </c>
      <c r="AQ240" s="24" t="str">
        <f aca="false">IFERROR(ciq($D240,"IQ_RETURN_CAPITAL"),"")</f>
        <v/>
      </c>
      <c r="AR240" s="24" t="str">
        <f aca="false">IFERROR(ciq($D240,"IQ_TOTAL_REV_1YR_ANN_GROWTH"),"")</f>
        <v/>
      </c>
      <c r="AS240" s="24" t="str">
        <f aca="false">IFERROR(ciq($D240,"IQ_EPS_1YR_ANN_GROWTH"),"")</f>
        <v/>
      </c>
      <c r="AT240" s="24" t="str">
        <f aca="false">IFERROR(ciq($D240,"IQ_DIVIDEND_YIELD"),"")</f>
        <v/>
      </c>
      <c r="AU240" s="24" t="str">
        <f aca="false">IFERROR(ciq($D240,"IQ_NET_DEBT"),"")</f>
        <v/>
      </c>
    </row>
    <row r="241" customFormat="false" ht="15" hidden="false" customHeight="false" outlineLevel="0" collapsed="false">
      <c r="A241" s="8" t="s">
        <v>1382</v>
      </c>
      <c r="B241" s="6" t="s">
        <v>1383</v>
      </c>
      <c r="C241" s="8" t="s">
        <v>72</v>
      </c>
      <c r="D241" s="8" t="s">
        <v>1384</v>
      </c>
      <c r="E241" s="8" t="s">
        <v>1385</v>
      </c>
      <c r="F241" s="6" t="s">
        <v>523</v>
      </c>
      <c r="G241" s="8" t="s">
        <v>56</v>
      </c>
      <c r="H241" s="8" t="s">
        <v>66</v>
      </c>
      <c r="I241" s="8"/>
      <c r="J241" s="8"/>
      <c r="K241" s="8"/>
      <c r="L241" s="8" t="s">
        <v>241</v>
      </c>
      <c r="M241" s="23" t="n">
        <v>35650</v>
      </c>
      <c r="N241" s="23" t="n">
        <v>18668.2875595</v>
      </c>
      <c r="O241" s="23" t="n">
        <v>17598.722977725</v>
      </c>
      <c r="P241" s="24" t="n">
        <v>85.932955325</v>
      </c>
      <c r="Q241" s="24" t="n">
        <v>89.9388482708333</v>
      </c>
      <c r="R241" s="24" t="n">
        <v>85.932955325</v>
      </c>
      <c r="S241" s="25" t="n">
        <v>0.00460315147016632</v>
      </c>
      <c r="T241" s="26" t="n">
        <v>1.00005890904452</v>
      </c>
      <c r="U241" s="23" t="n">
        <v>0</v>
      </c>
      <c r="V241" s="26" t="n">
        <v>-0.06</v>
      </c>
      <c r="W241" s="26" t="n">
        <v>0.140539634991697</v>
      </c>
      <c r="X241" s="26" t="n">
        <v>-0.271979739768224</v>
      </c>
      <c r="Y241" s="26" t="n">
        <v>-0.0495690111899527</v>
      </c>
      <c r="Z241" s="26" t="n">
        <v>0.166595193744206</v>
      </c>
      <c r="AA241" s="26" t="n">
        <v>0.335158939213105</v>
      </c>
      <c r="AB241" s="26" t="n">
        <v>-0.546004408088282</v>
      </c>
      <c r="AC241" s="27" t="n">
        <v>0.519398867301019</v>
      </c>
      <c r="AD241" s="28" t="n">
        <f aca="false">Params!$B$6*Params!$B$7*$R241</f>
        <v>51.559773195</v>
      </c>
      <c r="AE241" s="29" t="n">
        <f aca="false">MIN(Params!$B$9,AD241/Params!$B$4)</f>
        <v>0.06</v>
      </c>
      <c r="AF241" s="29" t="n">
        <f aca="false">MIN(Params!$B$9,AD241/Params!$B$5)</f>
        <v>0.051559773195</v>
      </c>
      <c r="AG241" s="28" t="n">
        <f aca="false">IF($R241&gt;0,Params!$B$9*Params!$B$4/(Params!$B$6*$R241),"n/a")</f>
        <v>1.74554685606584</v>
      </c>
      <c r="AH241" s="28" t="n">
        <f aca="false">IF($R241&gt;0,Params!$B$9*Params!$B$5/(Params!$B$6*$R241),"n/a")</f>
        <v>3.49109371213168</v>
      </c>
      <c r="AI241" s="28" t="n">
        <f aca="false">IF($R241&gt;0,Params!$B$15*Params!$B$4/(Params!$B$6*$R241),"n/a")</f>
        <v>0.581848952021947</v>
      </c>
      <c r="AJ241" s="29" t="n">
        <f aca="false">MIN(Params!$B$9,AD241*Params!$B$8/Params!$B$4)</f>
        <v>0.051559773195</v>
      </c>
      <c r="AK241" s="28" t="n">
        <f aca="false">IF($R241&gt;0,Params!$B$9*Params!$B$4/(Params!$B$6*$R241*Params!$B$8),"n/a")</f>
        <v>3.49109371213168</v>
      </c>
      <c r="AL241" s="27" t="str">
        <f aca="false">IFERROR(ciq($D241,"IQ_PE_EXCL"),"")</f>
        <v/>
      </c>
      <c r="AM241" s="27" t="str">
        <f aca="false">IFERROR(ciq($D241,"IQ_PE_EXCL_FWD_CIQ"),"")</f>
        <v/>
      </c>
      <c r="AN241" s="27" t="str">
        <f aca="false">IFERROR(ciq($D241,"IQ_PBV"),"")</f>
        <v/>
      </c>
      <c r="AO241" s="27" t="str">
        <f aca="false">IFERROR(ciq($D241,"IQ_TEV_EBITDA"),"")</f>
        <v/>
      </c>
      <c r="AP241" s="24" t="str">
        <f aca="false">IFERROR(ciq($D241,"IQ_RETURN_EQUITY"),"")</f>
        <v/>
      </c>
      <c r="AQ241" s="24" t="str">
        <f aca="false">IFERROR(ciq($D241,"IQ_RETURN_CAPITAL"),"")</f>
        <v/>
      </c>
      <c r="AR241" s="24" t="str">
        <f aca="false">IFERROR(ciq($D241,"IQ_TOTAL_REV_1YR_ANN_GROWTH"),"")</f>
        <v/>
      </c>
      <c r="AS241" s="24" t="str">
        <f aca="false">IFERROR(ciq($D241,"IQ_EPS_1YR_ANN_GROWTH"),"")</f>
        <v/>
      </c>
      <c r="AT241" s="24" t="str">
        <f aca="false">IFERROR(ciq($D241,"IQ_DIVIDEND_YIELD"),"")</f>
        <v/>
      </c>
      <c r="AU241" s="24" t="str">
        <f aca="false">IFERROR(ciq($D241,"IQ_NET_DEBT"),"")</f>
        <v/>
      </c>
    </row>
    <row r="242" customFormat="false" ht="15" hidden="false" customHeight="false" outlineLevel="0" collapsed="false">
      <c r="A242" s="8" t="s">
        <v>1386</v>
      </c>
      <c r="B242" s="6" t="s">
        <v>1387</v>
      </c>
      <c r="C242" s="8" t="s">
        <v>74</v>
      </c>
      <c r="D242" s="8" t="s">
        <v>1388</v>
      </c>
      <c r="E242" s="8" t="s">
        <v>1389</v>
      </c>
      <c r="F242" s="6" t="s">
        <v>1100</v>
      </c>
      <c r="G242" s="8" t="s">
        <v>56</v>
      </c>
      <c r="H242" s="8" t="s">
        <v>66</v>
      </c>
      <c r="I242" s="8"/>
      <c r="J242" s="8"/>
      <c r="K242" s="8"/>
      <c r="L242" s="8"/>
      <c r="M242" s="23" t="n">
        <v>254000</v>
      </c>
      <c r="N242" s="23" t="n">
        <v>17786.27126</v>
      </c>
      <c r="O242" s="23" t="n">
        <v>18731.604575</v>
      </c>
      <c r="P242" s="24" t="n">
        <v>77.734372375</v>
      </c>
      <c r="Q242" s="24" t="n">
        <v>112.052395916667</v>
      </c>
      <c r="R242" s="24" t="n">
        <v>77.734372375</v>
      </c>
      <c r="S242" s="25" t="n">
        <v>0.00437047041724922</v>
      </c>
      <c r="T242" s="26" t="n">
        <v>1.00858434016216</v>
      </c>
      <c r="U242" s="23" t="n">
        <v>0</v>
      </c>
      <c r="V242" s="26" t="n">
        <v>-0.06</v>
      </c>
      <c r="W242" s="26" t="n">
        <v>0.00402325075254817</v>
      </c>
      <c r="X242" s="26" t="n">
        <v>0.00588591738500299</v>
      </c>
      <c r="Y242" s="26" t="n">
        <v>-0.0716337706487377</v>
      </c>
      <c r="Z242" s="26" t="n">
        <v>0.214902115243425</v>
      </c>
      <c r="AA242" s="26" t="n">
        <v>0.0342225308960984</v>
      </c>
      <c r="AB242" s="26" t="n">
        <v>-0.251884730460217</v>
      </c>
      <c r="AC242" s="27" t="n">
        <v>0.640993152329979</v>
      </c>
      <c r="AD242" s="28" t="n">
        <f aca="false">Params!$B$6*Params!$B$7*$R242</f>
        <v>46.640623425</v>
      </c>
      <c r="AE242" s="29" t="n">
        <f aca="false">MIN(Params!$B$9,AD242/Params!$B$4)</f>
        <v>0.06</v>
      </c>
      <c r="AF242" s="29" t="n">
        <f aca="false">MIN(Params!$B$9,AD242/Params!$B$5)</f>
        <v>0.046640623425</v>
      </c>
      <c r="AG242" s="28" t="n">
        <f aca="false">IF($R242&gt;0,Params!$B$9*Params!$B$4/(Params!$B$6*$R242),"n/a")</f>
        <v>1.92964830636802</v>
      </c>
      <c r="AH242" s="28" t="n">
        <f aca="false">IF($R242&gt;0,Params!$B$9*Params!$B$5/(Params!$B$6*$R242),"n/a")</f>
        <v>3.85929661273605</v>
      </c>
      <c r="AI242" s="28" t="n">
        <f aca="false">IF($R242&gt;0,Params!$B$15*Params!$B$4/(Params!$B$6*$R242),"n/a")</f>
        <v>0.643216102122674</v>
      </c>
      <c r="AJ242" s="29" t="n">
        <f aca="false">MIN(Params!$B$9,AD242*Params!$B$8/Params!$B$4)</f>
        <v>0.046640623425</v>
      </c>
      <c r="AK242" s="28" t="n">
        <f aca="false">IF($R242&gt;0,Params!$B$9*Params!$B$4/(Params!$B$6*$R242*Params!$B$8),"n/a")</f>
        <v>3.85929661273605</v>
      </c>
      <c r="AL242" s="27" t="str">
        <f aca="false">IFERROR(ciq($D242,"IQ_PE_EXCL"),"")</f>
        <v/>
      </c>
      <c r="AM242" s="27" t="str">
        <f aca="false">IFERROR(ciq($D242,"IQ_PE_EXCL_FWD_CIQ"),"")</f>
        <v/>
      </c>
      <c r="AN242" s="27" t="str">
        <f aca="false">IFERROR(ciq($D242,"IQ_PBV"),"")</f>
        <v/>
      </c>
      <c r="AO242" s="27" t="str">
        <f aca="false">IFERROR(ciq($D242,"IQ_TEV_EBITDA"),"")</f>
        <v/>
      </c>
      <c r="AP242" s="24" t="str">
        <f aca="false">IFERROR(ciq($D242,"IQ_RETURN_EQUITY"),"")</f>
        <v/>
      </c>
      <c r="AQ242" s="24" t="str">
        <f aca="false">IFERROR(ciq($D242,"IQ_RETURN_CAPITAL"),"")</f>
        <v/>
      </c>
      <c r="AR242" s="24" t="str">
        <f aca="false">IFERROR(ciq($D242,"IQ_TOTAL_REV_1YR_ANN_GROWTH"),"")</f>
        <v/>
      </c>
      <c r="AS242" s="24" t="str">
        <f aca="false">IFERROR(ciq($D242,"IQ_EPS_1YR_ANN_GROWTH"),"")</f>
        <v/>
      </c>
      <c r="AT242" s="24" t="str">
        <f aca="false">IFERROR(ciq($D242,"IQ_DIVIDEND_YIELD"),"")</f>
        <v/>
      </c>
      <c r="AU242" s="24" t="str">
        <f aca="false">IFERROR(ciq($D242,"IQ_NET_DEBT"),"")</f>
        <v/>
      </c>
    </row>
    <row r="243" customFormat="false" ht="15" hidden="false" customHeight="false" outlineLevel="0" collapsed="false">
      <c r="A243" s="8" t="s">
        <v>1390</v>
      </c>
      <c r="B243" s="6" t="s">
        <v>1391</v>
      </c>
      <c r="C243" s="8" t="s">
        <v>74</v>
      </c>
      <c r="D243" s="8" t="s">
        <v>1392</v>
      </c>
      <c r="E243" s="8" t="s">
        <v>1393</v>
      </c>
      <c r="F243" s="6" t="s">
        <v>1221</v>
      </c>
      <c r="G243" s="8" t="s">
        <v>56</v>
      </c>
      <c r="H243" s="8" t="s">
        <v>66</v>
      </c>
      <c r="I243" s="8"/>
      <c r="J243" s="8"/>
      <c r="K243" s="8"/>
      <c r="L243" s="8" t="s">
        <v>241</v>
      </c>
      <c r="M243" s="23" t="n">
        <v>75300</v>
      </c>
      <c r="N243" s="23" t="n">
        <v>17239.70157</v>
      </c>
      <c r="O243" s="23" t="n">
        <v>16967.254759</v>
      </c>
      <c r="P243" s="24" t="n">
        <v>67.92357123</v>
      </c>
      <c r="Q243" s="24" t="n">
        <v>83.63505521</v>
      </c>
      <c r="R243" s="24" t="n">
        <v>67.92357123</v>
      </c>
      <c r="S243" s="25" t="n">
        <v>0.00393995052374912</v>
      </c>
      <c r="T243" s="26" t="n">
        <v>0.759776407876753</v>
      </c>
      <c r="U243" s="23" t="n">
        <v>0</v>
      </c>
      <c r="V243" s="26" t="n">
        <v>-0.06</v>
      </c>
      <c r="W243" s="26" t="n">
        <v>0.0219122181930265</v>
      </c>
      <c r="X243" s="26" t="n">
        <v>0.0275083134355891</v>
      </c>
      <c r="Y243" s="26" t="n">
        <v>-0.236924030035404</v>
      </c>
      <c r="Z243" s="26" t="n">
        <v>-0.442218647629481</v>
      </c>
      <c r="AA243" s="26" t="n">
        <v>-0.477277731561296</v>
      </c>
      <c r="AB243" s="26" t="n">
        <v>-0.507732764549609</v>
      </c>
      <c r="AC243" s="27" t="n">
        <v>0.783181034579709</v>
      </c>
      <c r="AD243" s="28" t="n">
        <f aca="false">Params!$B$6*Params!$B$7*$R243</f>
        <v>40.754142738</v>
      </c>
      <c r="AE243" s="29" t="n">
        <f aca="false">MIN(Params!$B$9,AD243/Params!$B$4)</f>
        <v>0.06</v>
      </c>
      <c r="AF243" s="29" t="n">
        <f aca="false">MIN(Params!$B$9,AD243/Params!$B$5)</f>
        <v>0.040754142738</v>
      </c>
      <c r="AG243" s="28" t="n">
        <f aca="false">IF($R243&gt;0,Params!$B$9*Params!$B$4/(Params!$B$6*$R243),"n/a")</f>
        <v>2.20836444968531</v>
      </c>
      <c r="AH243" s="28" t="n">
        <f aca="false">IF($R243&gt;0,Params!$B$9*Params!$B$5/(Params!$B$6*$R243),"n/a")</f>
        <v>4.41672889937062</v>
      </c>
      <c r="AI243" s="28" t="n">
        <f aca="false">IF($R243&gt;0,Params!$B$15*Params!$B$4/(Params!$B$6*$R243),"n/a")</f>
        <v>0.736121483228437</v>
      </c>
      <c r="AJ243" s="29" t="n">
        <f aca="false">MIN(Params!$B$9,AD243*Params!$B$8/Params!$B$4)</f>
        <v>0.040754142738</v>
      </c>
      <c r="AK243" s="28" t="n">
        <f aca="false">IF($R243&gt;0,Params!$B$9*Params!$B$4/(Params!$B$6*$R243*Params!$B$8),"n/a")</f>
        <v>4.41672889937062</v>
      </c>
      <c r="AL243" s="27" t="str">
        <f aca="false">IFERROR(ciq($D243,"IQ_PE_EXCL"),"")</f>
        <v/>
      </c>
      <c r="AM243" s="27" t="str">
        <f aca="false">IFERROR(ciq($D243,"IQ_PE_EXCL_FWD_CIQ"),"")</f>
        <v/>
      </c>
      <c r="AN243" s="27" t="str">
        <f aca="false">IFERROR(ciq($D243,"IQ_PBV"),"")</f>
        <v/>
      </c>
      <c r="AO243" s="27" t="str">
        <f aca="false">IFERROR(ciq($D243,"IQ_TEV_EBITDA"),"")</f>
        <v/>
      </c>
      <c r="AP243" s="24" t="str">
        <f aca="false">IFERROR(ciq($D243,"IQ_RETURN_EQUITY"),"")</f>
        <v/>
      </c>
      <c r="AQ243" s="24" t="str">
        <f aca="false">IFERROR(ciq($D243,"IQ_RETURN_CAPITAL"),"")</f>
        <v/>
      </c>
      <c r="AR243" s="24" t="str">
        <f aca="false">IFERROR(ciq($D243,"IQ_TOTAL_REV_1YR_ANN_GROWTH"),"")</f>
        <v/>
      </c>
      <c r="AS243" s="24" t="str">
        <f aca="false">IFERROR(ciq($D243,"IQ_EPS_1YR_ANN_GROWTH"),"")</f>
        <v/>
      </c>
      <c r="AT243" s="24" t="str">
        <f aca="false">IFERROR(ciq($D243,"IQ_DIVIDEND_YIELD"),"")</f>
        <v/>
      </c>
      <c r="AU243" s="24" t="str">
        <f aca="false">IFERROR(ciq($D243,"IQ_NET_DEBT"),"")</f>
        <v/>
      </c>
    </row>
    <row r="244" customFormat="false" ht="15" hidden="false" customHeight="false" outlineLevel="0" collapsed="false">
      <c r="A244" s="8" t="s">
        <v>1394</v>
      </c>
      <c r="B244" s="8" t="s">
        <v>1395</v>
      </c>
      <c r="C244" s="8" t="s">
        <v>72</v>
      </c>
      <c r="D244" s="8" t="s">
        <v>1396</v>
      </c>
      <c r="E244" s="8" t="s">
        <v>1397</v>
      </c>
      <c r="F244" s="6" t="s">
        <v>550</v>
      </c>
      <c r="G244" s="8" t="s">
        <v>56</v>
      </c>
      <c r="H244" s="8" t="s">
        <v>66</v>
      </c>
      <c r="I244" s="8"/>
      <c r="J244" s="8"/>
      <c r="K244" s="8"/>
      <c r="L244" s="8" t="s">
        <v>241</v>
      </c>
      <c r="M244" s="23" t="n">
        <v>49500</v>
      </c>
      <c r="N244" s="23" t="n">
        <v>16791.140025</v>
      </c>
      <c r="O244" s="23" t="n">
        <v>18287.925991875</v>
      </c>
      <c r="P244" s="24" t="n">
        <v>89.549538175</v>
      </c>
      <c r="Q244" s="24" t="n">
        <v>137.6664959375</v>
      </c>
      <c r="R244" s="24" t="n">
        <v>89.549538175</v>
      </c>
      <c r="S244" s="25" t="n">
        <v>0.00533314224297287</v>
      </c>
      <c r="T244" s="26" t="n">
        <v>0.99180622225739</v>
      </c>
      <c r="U244" s="23" t="n">
        <v>1</v>
      </c>
      <c r="V244" s="26" t="n">
        <v>-0.06</v>
      </c>
      <c r="W244" s="26" t="n">
        <v>-0.163875004955876</v>
      </c>
      <c r="X244" s="26" t="n">
        <v>-0.209120228283576</v>
      </c>
      <c r="Y244" s="26" t="n">
        <v>-0.392590353614185</v>
      </c>
      <c r="Z244" s="26" t="n">
        <v>-0.446772555590958</v>
      </c>
      <c r="AA244" s="26" t="n">
        <v>-0.375636284843768</v>
      </c>
      <c r="AB244" s="26" t="n">
        <v>-0.571473671197992</v>
      </c>
      <c r="AC244" s="27" t="n">
        <v>0.423906162781835</v>
      </c>
      <c r="AD244" s="28" t="n">
        <f aca="false">Params!$B$6*Params!$B$7*$R244</f>
        <v>53.729722905</v>
      </c>
      <c r="AE244" s="29" t="n">
        <f aca="false">MIN(Params!$B$9,AD244/Params!$B$4)</f>
        <v>0.06</v>
      </c>
      <c r="AF244" s="29" t="n">
        <f aca="false">MIN(Params!$B$9,AD244/Params!$B$5)</f>
        <v>0.053729722905</v>
      </c>
      <c r="AG244" s="28" t="n">
        <f aca="false">IF($R244&gt;0,Params!$B$9*Params!$B$4/(Params!$B$6*$R244),"n/a")</f>
        <v>1.67505051457514</v>
      </c>
      <c r="AH244" s="28" t="n">
        <f aca="false">IF($R244&gt;0,Params!$B$9*Params!$B$5/(Params!$B$6*$R244),"n/a")</f>
        <v>3.35010102915028</v>
      </c>
      <c r="AI244" s="28" t="n">
        <f aca="false">IF($R244&gt;0,Params!$B$15*Params!$B$4/(Params!$B$6*$R244),"n/a")</f>
        <v>0.558350171525047</v>
      </c>
      <c r="AJ244" s="29" t="n">
        <f aca="false">MIN(Params!$B$9,AD244*Params!$B$8/Params!$B$4)</f>
        <v>0.053729722905</v>
      </c>
      <c r="AK244" s="28" t="n">
        <f aca="false">IF($R244&gt;0,Params!$B$9*Params!$B$4/(Params!$B$6*$R244*Params!$B$8),"n/a")</f>
        <v>3.35010102915028</v>
      </c>
      <c r="AL244" s="27" t="str">
        <f aca="false">IFERROR(ciq($D244,"IQ_PE_EXCL"),"")</f>
        <v/>
      </c>
      <c r="AM244" s="27" t="str">
        <f aca="false">IFERROR(ciq($D244,"IQ_PE_EXCL_FWD_CIQ"),"")</f>
        <v/>
      </c>
      <c r="AN244" s="27" t="str">
        <f aca="false">IFERROR(ciq($D244,"IQ_PBV"),"")</f>
        <v/>
      </c>
      <c r="AO244" s="27" t="str">
        <f aca="false">IFERROR(ciq($D244,"IQ_TEV_EBITDA"),"")</f>
        <v/>
      </c>
      <c r="AP244" s="24" t="str">
        <f aca="false">IFERROR(ciq($D244,"IQ_RETURN_EQUITY"),"")</f>
        <v/>
      </c>
      <c r="AQ244" s="24" t="str">
        <f aca="false">IFERROR(ciq($D244,"IQ_RETURN_CAPITAL"),"")</f>
        <v/>
      </c>
      <c r="AR244" s="24" t="str">
        <f aca="false">IFERROR(ciq($D244,"IQ_TOTAL_REV_1YR_ANN_GROWTH"),"")</f>
        <v/>
      </c>
      <c r="AS244" s="24" t="str">
        <f aca="false">IFERROR(ciq($D244,"IQ_EPS_1YR_ANN_GROWTH"),"")</f>
        <v/>
      </c>
      <c r="AT244" s="24" t="str">
        <f aca="false">IFERROR(ciq($D244,"IQ_DIVIDEND_YIELD"),"")</f>
        <v/>
      </c>
      <c r="AU244" s="24" t="str">
        <f aca="false">IFERROR(ciq($D244,"IQ_NET_DEBT"),"")</f>
        <v/>
      </c>
    </row>
    <row r="245" customFormat="false" ht="15" hidden="false" customHeight="false" outlineLevel="0" collapsed="false">
      <c r="A245" s="8" t="s">
        <v>1398</v>
      </c>
      <c r="B245" s="6" t="s">
        <v>1399</v>
      </c>
      <c r="C245" s="8" t="s">
        <v>74</v>
      </c>
      <c r="D245" s="8" t="s">
        <v>1400</v>
      </c>
      <c r="E245" s="8" t="s">
        <v>1401</v>
      </c>
      <c r="F245" s="6" t="s">
        <v>1402</v>
      </c>
      <c r="G245" s="8" t="s">
        <v>56</v>
      </c>
      <c r="H245" s="8" t="s">
        <v>66</v>
      </c>
      <c r="I245" s="8"/>
      <c r="J245" s="8"/>
      <c r="K245" s="8"/>
      <c r="L245" s="8"/>
      <c r="M245" s="23" t="n">
        <v>31550</v>
      </c>
      <c r="N245" s="23" t="n">
        <v>16477.301107</v>
      </c>
      <c r="O245" s="23" t="n">
        <v>16517.77625235</v>
      </c>
      <c r="P245" s="24" t="n">
        <v>136.236754275</v>
      </c>
      <c r="Q245" s="24" t="n">
        <v>93.7878036166667</v>
      </c>
      <c r="R245" s="24" t="n">
        <v>93.7878036166667</v>
      </c>
      <c r="S245" s="25" t="n">
        <v>0.00826814739806648</v>
      </c>
      <c r="T245" s="26" t="n">
        <v>0.630559911641623</v>
      </c>
      <c r="U245" s="23" t="n">
        <v>0</v>
      </c>
      <c r="V245" s="26" t="n">
        <v>-0.06</v>
      </c>
      <c r="W245" s="26" t="n">
        <v>0.124779373719974</v>
      </c>
      <c r="X245" s="26" t="n">
        <v>0.0806983205862524</v>
      </c>
      <c r="Y245" s="26" t="n">
        <v>0.42509719600461</v>
      </c>
      <c r="Z245" s="26" t="n">
        <v>0.326376273008628</v>
      </c>
      <c r="AA245" s="26" t="n">
        <v>0.202257519845941</v>
      </c>
      <c r="AB245" s="26" t="n">
        <v>-0.115036577197223</v>
      </c>
      <c r="AC245" s="27" t="n">
        <v>1.37931178786211</v>
      </c>
      <c r="AD245" s="28" t="n">
        <f aca="false">Params!$B$6*Params!$B$7*$R245</f>
        <v>56.27268217</v>
      </c>
      <c r="AE245" s="29" t="n">
        <f aca="false">MIN(Params!$B$9,AD245/Params!$B$4)</f>
        <v>0.06</v>
      </c>
      <c r="AF245" s="29" t="n">
        <f aca="false">MIN(Params!$B$9,AD245/Params!$B$5)</f>
        <v>0.05627268217</v>
      </c>
      <c r="AG245" s="28" t="n">
        <f aca="false">IF($R245&gt;0,Params!$B$9*Params!$B$4/(Params!$B$6*$R245),"n/a")</f>
        <v>1.59935507833285</v>
      </c>
      <c r="AH245" s="28" t="n">
        <f aca="false">IF($R245&gt;0,Params!$B$9*Params!$B$5/(Params!$B$6*$R245),"n/a")</f>
        <v>3.1987101566657</v>
      </c>
      <c r="AI245" s="28" t="n">
        <f aca="false">IF($R245&gt;0,Params!$B$15*Params!$B$4/(Params!$B$6*$R245),"n/a")</f>
        <v>0.533118359444284</v>
      </c>
      <c r="AJ245" s="29" t="n">
        <f aca="false">MIN(Params!$B$9,AD245*Params!$B$8/Params!$B$4)</f>
        <v>0.05627268217</v>
      </c>
      <c r="AK245" s="28" t="n">
        <f aca="false">IF($R245&gt;0,Params!$B$9*Params!$B$4/(Params!$B$6*$R245*Params!$B$8),"n/a")</f>
        <v>3.1987101566657</v>
      </c>
      <c r="AL245" s="27" t="str">
        <f aca="false">IFERROR(ciq($D245,"IQ_PE_EXCL"),"")</f>
        <v/>
      </c>
      <c r="AM245" s="27" t="str">
        <f aca="false">IFERROR(ciq($D245,"IQ_PE_EXCL_FWD_CIQ"),"")</f>
        <v/>
      </c>
      <c r="AN245" s="27" t="str">
        <f aca="false">IFERROR(ciq($D245,"IQ_PBV"),"")</f>
        <v/>
      </c>
      <c r="AO245" s="27" t="str">
        <f aca="false">IFERROR(ciq($D245,"IQ_TEV_EBITDA"),"")</f>
        <v/>
      </c>
      <c r="AP245" s="24" t="str">
        <f aca="false">IFERROR(ciq($D245,"IQ_RETURN_EQUITY"),"")</f>
        <v/>
      </c>
      <c r="AQ245" s="24" t="str">
        <f aca="false">IFERROR(ciq($D245,"IQ_RETURN_CAPITAL"),"")</f>
        <v/>
      </c>
      <c r="AR245" s="24" t="str">
        <f aca="false">IFERROR(ciq($D245,"IQ_TOTAL_REV_1YR_ANN_GROWTH"),"")</f>
        <v/>
      </c>
      <c r="AS245" s="24" t="str">
        <f aca="false">IFERROR(ciq($D245,"IQ_EPS_1YR_ANN_GROWTH"),"")</f>
        <v/>
      </c>
      <c r="AT245" s="24" t="str">
        <f aca="false">IFERROR(ciq($D245,"IQ_DIVIDEND_YIELD"),"")</f>
        <v/>
      </c>
      <c r="AU245" s="24" t="str">
        <f aca="false">IFERROR(ciq($D245,"IQ_NET_DEBT"),"")</f>
        <v/>
      </c>
    </row>
    <row r="246" customFormat="false" ht="15" hidden="false" customHeight="false" outlineLevel="0" collapsed="false">
      <c r="A246" s="8" t="s">
        <v>1403</v>
      </c>
      <c r="B246" s="6" t="s">
        <v>1404</v>
      </c>
      <c r="C246" s="8" t="s">
        <v>72</v>
      </c>
      <c r="D246" s="8" t="s">
        <v>1405</v>
      </c>
      <c r="E246" s="8" t="s">
        <v>1406</v>
      </c>
      <c r="F246" s="6" t="s">
        <v>1407</v>
      </c>
      <c r="G246" s="8" t="s">
        <v>56</v>
      </c>
      <c r="H246" s="8" t="s">
        <v>66</v>
      </c>
      <c r="I246" s="8"/>
      <c r="J246" s="8"/>
      <c r="K246" s="8"/>
      <c r="L246" s="8"/>
      <c r="M246" s="23" t="n">
        <v>41800</v>
      </c>
      <c r="N246" s="23" t="n">
        <v>16405.714578</v>
      </c>
      <c r="O246" s="23" t="n">
        <v>16935.5642115</v>
      </c>
      <c r="P246" s="24" t="n">
        <v>92.105684775</v>
      </c>
      <c r="Q246" s="24" t="n">
        <v>135.1571575185</v>
      </c>
      <c r="R246" s="24" t="n">
        <v>92.105684775</v>
      </c>
      <c r="S246" s="25" t="n">
        <v>0.00561424400851843</v>
      </c>
      <c r="T246" s="26" t="n">
        <v>0.528277595363188</v>
      </c>
      <c r="U246" s="23" t="n">
        <v>0</v>
      </c>
      <c r="V246" s="26" t="n">
        <v>-0.06</v>
      </c>
      <c r="W246" s="26" t="n">
        <v>-0.00708263840889489</v>
      </c>
      <c r="X246" s="26" t="n">
        <v>-0.242639949434997</v>
      </c>
      <c r="Y246" s="26" t="n">
        <v>-0.0294651800432424</v>
      </c>
      <c r="Z246" s="26" t="n">
        <v>-0.0623254732750317</v>
      </c>
      <c r="AA246" s="26" t="n">
        <v>-0.136927713351297</v>
      </c>
      <c r="AB246" s="26" t="n">
        <v>-0.397360059502869</v>
      </c>
      <c r="AC246" s="27" t="n">
        <v>0.486230059590448</v>
      </c>
      <c r="AD246" s="28" t="n">
        <f aca="false">Params!$B$6*Params!$B$7*$R246</f>
        <v>55.263410865</v>
      </c>
      <c r="AE246" s="29" t="n">
        <f aca="false">MIN(Params!$B$9,AD246/Params!$B$4)</f>
        <v>0.06</v>
      </c>
      <c r="AF246" s="29" t="n">
        <f aca="false">MIN(Params!$B$9,AD246/Params!$B$5)</f>
        <v>0.055263410865</v>
      </c>
      <c r="AG246" s="28" t="n">
        <f aca="false">IF($R246&gt;0,Params!$B$9*Params!$B$4/(Params!$B$6*$R246),"n/a")</f>
        <v>1.62856397372678</v>
      </c>
      <c r="AH246" s="28" t="n">
        <f aca="false">IF($R246&gt;0,Params!$B$9*Params!$B$5/(Params!$B$6*$R246),"n/a")</f>
        <v>3.25712794745356</v>
      </c>
      <c r="AI246" s="28" t="n">
        <f aca="false">IF($R246&gt;0,Params!$B$15*Params!$B$4/(Params!$B$6*$R246),"n/a")</f>
        <v>0.542854657908926</v>
      </c>
      <c r="AJ246" s="29" t="n">
        <f aca="false">MIN(Params!$B$9,AD246*Params!$B$8/Params!$B$4)</f>
        <v>0.055263410865</v>
      </c>
      <c r="AK246" s="28" t="n">
        <f aca="false">IF($R246&gt;0,Params!$B$9*Params!$B$4/(Params!$B$6*$R246*Params!$B$8),"n/a")</f>
        <v>3.25712794745356</v>
      </c>
      <c r="AL246" s="27" t="str">
        <f aca="false">IFERROR(ciq($D246,"IQ_PE_EXCL"),"")</f>
        <v/>
      </c>
      <c r="AM246" s="27" t="str">
        <f aca="false">IFERROR(ciq($D246,"IQ_PE_EXCL_FWD_CIQ"),"")</f>
        <v/>
      </c>
      <c r="AN246" s="27" t="str">
        <f aca="false">IFERROR(ciq($D246,"IQ_PBV"),"")</f>
        <v/>
      </c>
      <c r="AO246" s="27" t="str">
        <f aca="false">IFERROR(ciq($D246,"IQ_TEV_EBITDA"),"")</f>
        <v/>
      </c>
      <c r="AP246" s="24" t="str">
        <f aca="false">IFERROR(ciq($D246,"IQ_RETURN_EQUITY"),"")</f>
        <v/>
      </c>
      <c r="AQ246" s="24" t="str">
        <f aca="false">IFERROR(ciq($D246,"IQ_RETURN_CAPITAL"),"")</f>
        <v/>
      </c>
      <c r="AR246" s="24" t="str">
        <f aca="false">IFERROR(ciq($D246,"IQ_TOTAL_REV_1YR_ANN_GROWTH"),"")</f>
        <v/>
      </c>
      <c r="AS246" s="24" t="str">
        <f aca="false">IFERROR(ciq($D246,"IQ_EPS_1YR_ANN_GROWTH"),"")</f>
        <v/>
      </c>
      <c r="AT246" s="24" t="str">
        <f aca="false">IFERROR(ciq($D246,"IQ_DIVIDEND_YIELD"),"")</f>
        <v/>
      </c>
      <c r="AU246" s="24" t="str">
        <f aca="false">IFERROR(ciq($D246,"IQ_NET_DEBT"),"")</f>
        <v/>
      </c>
    </row>
    <row r="247" customFormat="false" ht="15" hidden="false" customHeight="false" outlineLevel="0" collapsed="false">
      <c r="A247" s="8" t="s">
        <v>1408</v>
      </c>
      <c r="B247" s="6" t="s">
        <v>1409</v>
      </c>
      <c r="C247" s="8" t="s">
        <v>73</v>
      </c>
      <c r="D247" s="8" t="s">
        <v>1410</v>
      </c>
      <c r="E247" s="8" t="s">
        <v>1411</v>
      </c>
      <c r="F247" s="6" t="s">
        <v>1412</v>
      </c>
      <c r="G247" s="8" t="s">
        <v>56</v>
      </c>
      <c r="H247" s="8" t="s">
        <v>66</v>
      </c>
      <c r="I247" s="8"/>
      <c r="J247" s="8"/>
      <c r="K247" s="8"/>
      <c r="L247" s="8"/>
      <c r="M247" s="23" t="n">
        <v>23900</v>
      </c>
      <c r="N247" s="23" t="n">
        <v>15399.978384</v>
      </c>
      <c r="O247" s="23" t="n">
        <v>15348.4303392</v>
      </c>
      <c r="P247" s="24" t="n">
        <v>79.2313501625</v>
      </c>
      <c r="Q247" s="24" t="n">
        <v>115.388845066667</v>
      </c>
      <c r="R247" s="24" t="n">
        <v>79.2313501625</v>
      </c>
      <c r="S247" s="25" t="n">
        <v>0.00514490008926366</v>
      </c>
      <c r="T247" s="26" t="n">
        <v>0.976541231132457</v>
      </c>
      <c r="U247" s="23" t="n">
        <v>1</v>
      </c>
      <c r="V247" s="26" t="n">
        <v>-0.06</v>
      </c>
      <c r="W247" s="26" t="n">
        <v>0.0791118405304232</v>
      </c>
      <c r="X247" s="26" t="n">
        <v>-0.195137744140757</v>
      </c>
      <c r="Y247" s="26" t="n">
        <v>0.28011374355965</v>
      </c>
      <c r="Z247" s="26" t="n">
        <v>0.0971963831813738</v>
      </c>
      <c r="AA247" s="26" t="n">
        <v>0.15555507659799</v>
      </c>
      <c r="AB247" s="26" t="n">
        <v>-0.308099399747261</v>
      </c>
      <c r="AC247" s="27" t="n">
        <v>0.571589031641065</v>
      </c>
      <c r="AD247" s="28" t="n">
        <f aca="false">Params!$B$6*Params!$B$7*$R247</f>
        <v>47.5388100975</v>
      </c>
      <c r="AE247" s="29" t="n">
        <f aca="false">MIN(Params!$B$9,AD247/Params!$B$4)</f>
        <v>0.06</v>
      </c>
      <c r="AF247" s="29" t="n">
        <f aca="false">MIN(Params!$B$9,AD247/Params!$B$5)</f>
        <v>0.0475388100975</v>
      </c>
      <c r="AG247" s="28" t="n">
        <f aca="false">IF($R247&gt;0,Params!$B$9*Params!$B$4/(Params!$B$6*$R247),"n/a")</f>
        <v>1.89319000234575</v>
      </c>
      <c r="AH247" s="28" t="n">
        <f aca="false">IF($R247&gt;0,Params!$B$9*Params!$B$5/(Params!$B$6*$R247),"n/a")</f>
        <v>3.78638000469149</v>
      </c>
      <c r="AI247" s="28" t="n">
        <f aca="false">IF($R247&gt;0,Params!$B$15*Params!$B$4/(Params!$B$6*$R247),"n/a")</f>
        <v>0.631063334115249</v>
      </c>
      <c r="AJ247" s="29" t="n">
        <f aca="false">MIN(Params!$B$9,AD247*Params!$B$8/Params!$B$4)</f>
        <v>0.0475388100975</v>
      </c>
      <c r="AK247" s="28" t="n">
        <f aca="false">IF($R247&gt;0,Params!$B$9*Params!$B$4/(Params!$B$6*$R247*Params!$B$8),"n/a")</f>
        <v>3.78638000469149</v>
      </c>
      <c r="AL247" s="27" t="str">
        <f aca="false">IFERROR(ciq($D247,"IQ_PE_EXCL"),"")</f>
        <v/>
      </c>
      <c r="AM247" s="27" t="str">
        <f aca="false">IFERROR(ciq($D247,"IQ_PE_EXCL_FWD_CIQ"),"")</f>
        <v/>
      </c>
      <c r="AN247" s="27" t="str">
        <f aca="false">IFERROR(ciq($D247,"IQ_PBV"),"")</f>
        <v/>
      </c>
      <c r="AO247" s="27" t="str">
        <f aca="false">IFERROR(ciq($D247,"IQ_TEV_EBITDA"),"")</f>
        <v/>
      </c>
      <c r="AP247" s="24" t="str">
        <f aca="false">IFERROR(ciq($D247,"IQ_RETURN_EQUITY"),"")</f>
        <v/>
      </c>
      <c r="AQ247" s="24" t="str">
        <f aca="false">IFERROR(ciq($D247,"IQ_RETURN_CAPITAL"),"")</f>
        <v/>
      </c>
      <c r="AR247" s="24" t="str">
        <f aca="false">IFERROR(ciq($D247,"IQ_TOTAL_REV_1YR_ANN_GROWTH"),"")</f>
        <v/>
      </c>
      <c r="AS247" s="24" t="str">
        <f aca="false">IFERROR(ciq($D247,"IQ_EPS_1YR_ANN_GROWTH"),"")</f>
        <v/>
      </c>
      <c r="AT247" s="24" t="str">
        <f aca="false">IFERROR(ciq($D247,"IQ_DIVIDEND_YIELD"),"")</f>
        <v/>
      </c>
      <c r="AU247" s="24" t="str">
        <f aca="false">IFERROR(ciq($D247,"IQ_NET_DEBT"),"")</f>
        <v/>
      </c>
    </row>
    <row r="248" customFormat="false" ht="15" hidden="false" customHeight="false" outlineLevel="0" collapsed="false">
      <c r="A248" s="8" t="s">
        <v>1413</v>
      </c>
      <c r="B248" s="6" t="s">
        <v>1414</v>
      </c>
      <c r="C248" s="8" t="s">
        <v>72</v>
      </c>
      <c r="D248" s="8" t="s">
        <v>1415</v>
      </c>
      <c r="E248" s="8" t="s">
        <v>1416</v>
      </c>
      <c r="F248" s="6" t="s">
        <v>1191</v>
      </c>
      <c r="G248" s="8" t="s">
        <v>56</v>
      </c>
      <c r="H248" s="8" t="s">
        <v>66</v>
      </c>
      <c r="I248" s="8"/>
      <c r="J248" s="8"/>
      <c r="K248" s="8"/>
      <c r="L248" s="8"/>
      <c r="M248" s="23" t="n">
        <v>354500</v>
      </c>
      <c r="N248" s="23" t="n">
        <v>15341.63269</v>
      </c>
      <c r="O248" s="23" t="n">
        <v>14415.508742</v>
      </c>
      <c r="P248" s="24" t="n">
        <v>64.580302</v>
      </c>
      <c r="Q248" s="24" t="n">
        <v>70.98605725</v>
      </c>
      <c r="R248" s="24" t="n">
        <v>64.580302</v>
      </c>
      <c r="S248" s="25" t="n">
        <v>0.00420948039266347</v>
      </c>
      <c r="T248" s="26" t="n">
        <v>0.615042842079493</v>
      </c>
      <c r="U248" s="23" t="n">
        <v>0</v>
      </c>
      <c r="V248" s="26" t="n">
        <v>-0.06</v>
      </c>
      <c r="W248" s="26" t="n">
        <v>0.0742030037222881</v>
      </c>
      <c r="X248" s="26" t="n">
        <v>0.0922497776475904</v>
      </c>
      <c r="Y248" s="26" t="n">
        <v>-0.0154512338250015</v>
      </c>
      <c r="Z248" s="26" t="n">
        <v>0.592827109900949</v>
      </c>
      <c r="AA248" s="26" t="n">
        <v>0.58227271698662</v>
      </c>
      <c r="AB248" s="26" t="n">
        <v>-0.337413443565146</v>
      </c>
      <c r="AC248" s="27" t="n">
        <v>0.527511869909008</v>
      </c>
      <c r="AD248" s="28" t="n">
        <f aca="false">Params!$B$6*Params!$B$7*$R248</f>
        <v>38.7481812</v>
      </c>
      <c r="AE248" s="29" t="n">
        <f aca="false">MIN(Params!$B$9,AD248/Params!$B$4)</f>
        <v>0.06</v>
      </c>
      <c r="AF248" s="29" t="n">
        <f aca="false">MIN(Params!$B$9,AD248/Params!$B$5)</f>
        <v>0.0387481812</v>
      </c>
      <c r="AG248" s="28" t="n">
        <f aca="false">IF($R248&gt;0,Params!$B$9*Params!$B$4/(Params!$B$6*$R248),"n/a")</f>
        <v>2.32268966472161</v>
      </c>
      <c r="AH248" s="28" t="n">
        <f aca="false">IF($R248&gt;0,Params!$B$9*Params!$B$5/(Params!$B$6*$R248),"n/a")</f>
        <v>4.64537932944321</v>
      </c>
      <c r="AI248" s="28" t="n">
        <f aca="false">IF($R248&gt;0,Params!$B$15*Params!$B$4/(Params!$B$6*$R248),"n/a")</f>
        <v>0.774229888240535</v>
      </c>
      <c r="AJ248" s="29" t="n">
        <f aca="false">MIN(Params!$B$9,AD248*Params!$B$8/Params!$B$4)</f>
        <v>0.0387481812</v>
      </c>
      <c r="AK248" s="28" t="n">
        <f aca="false">IF($R248&gt;0,Params!$B$9*Params!$B$4/(Params!$B$6*$R248*Params!$B$8),"n/a")</f>
        <v>4.64537932944321</v>
      </c>
      <c r="AL248" s="27" t="str">
        <f aca="false">IFERROR(ciq($D248,"IQ_PE_EXCL"),"")</f>
        <v/>
      </c>
      <c r="AM248" s="27" t="str">
        <f aca="false">IFERROR(ciq($D248,"IQ_PE_EXCL_FWD_CIQ"),"")</f>
        <v/>
      </c>
      <c r="AN248" s="27" t="str">
        <f aca="false">IFERROR(ciq($D248,"IQ_PBV"),"")</f>
        <v/>
      </c>
      <c r="AO248" s="27" t="str">
        <f aca="false">IFERROR(ciq($D248,"IQ_TEV_EBITDA"),"")</f>
        <v/>
      </c>
      <c r="AP248" s="24" t="str">
        <f aca="false">IFERROR(ciq($D248,"IQ_RETURN_EQUITY"),"")</f>
        <v/>
      </c>
      <c r="AQ248" s="24" t="str">
        <f aca="false">IFERROR(ciq($D248,"IQ_RETURN_CAPITAL"),"")</f>
        <v/>
      </c>
      <c r="AR248" s="24" t="str">
        <f aca="false">IFERROR(ciq($D248,"IQ_TOTAL_REV_1YR_ANN_GROWTH"),"")</f>
        <v/>
      </c>
      <c r="AS248" s="24" t="str">
        <f aca="false">IFERROR(ciq($D248,"IQ_EPS_1YR_ANN_GROWTH"),"")</f>
        <v/>
      </c>
      <c r="AT248" s="24" t="str">
        <f aca="false">IFERROR(ciq($D248,"IQ_DIVIDEND_YIELD"),"")</f>
        <v/>
      </c>
      <c r="AU248" s="24" t="str">
        <f aca="false">IFERROR(ciq($D248,"IQ_NET_DEBT"),"")</f>
        <v/>
      </c>
    </row>
    <row r="249" customFormat="false" ht="15" hidden="false" customHeight="false" outlineLevel="0" collapsed="false">
      <c r="A249" s="8" t="s">
        <v>1417</v>
      </c>
      <c r="B249" s="6" t="s">
        <v>1418</v>
      </c>
      <c r="C249" s="8" t="s">
        <v>72</v>
      </c>
      <c r="D249" s="8" t="s">
        <v>1419</v>
      </c>
      <c r="E249" s="8" t="s">
        <v>1420</v>
      </c>
      <c r="F249" s="8" t="s">
        <v>587</v>
      </c>
      <c r="G249" s="8" t="s">
        <v>56</v>
      </c>
      <c r="H249" s="8" t="s">
        <v>66</v>
      </c>
      <c r="I249" s="8"/>
      <c r="J249" s="8"/>
      <c r="K249" s="8"/>
      <c r="L249" s="8" t="s">
        <v>241</v>
      </c>
      <c r="M249" s="23" t="n">
        <v>40400</v>
      </c>
      <c r="N249" s="23" t="n">
        <v>14488.296076</v>
      </c>
      <c r="O249" s="23" t="n">
        <v>15056.71066215</v>
      </c>
      <c r="P249" s="24" t="n">
        <v>56.1427003125</v>
      </c>
      <c r="Q249" s="24" t="n">
        <v>68.8131866041667</v>
      </c>
      <c r="R249" s="24" t="n">
        <v>56.1427003125</v>
      </c>
      <c r="S249" s="25" t="n">
        <v>0.00387503816998197</v>
      </c>
      <c r="T249" s="26" t="n">
        <v>0.793106738792859</v>
      </c>
      <c r="U249" s="23" t="n">
        <v>0</v>
      </c>
      <c r="V249" s="26" t="n">
        <v>-0.06</v>
      </c>
      <c r="W249" s="26" t="n">
        <v>-0.0099526049763119</v>
      </c>
      <c r="X249" s="26" t="n">
        <v>-0.11916479147483</v>
      </c>
      <c r="Y249" s="26" t="n">
        <v>-0.420493591933165</v>
      </c>
      <c r="Z249" s="26" t="n">
        <v>-0.195189265196478</v>
      </c>
      <c r="AA249" s="26" t="n">
        <v>0.455648964726096</v>
      </c>
      <c r="AB249" s="26" t="n">
        <v>-0.552602967984661</v>
      </c>
      <c r="AC249" s="27" t="n">
        <v>0.424613057057753</v>
      </c>
      <c r="AD249" s="28" t="n">
        <f aca="false">Params!$B$6*Params!$B$7*$R249</f>
        <v>33.6856201875</v>
      </c>
      <c r="AE249" s="29" t="n">
        <f aca="false">MIN(Params!$B$9,AD249/Params!$B$4)</f>
        <v>0.06</v>
      </c>
      <c r="AF249" s="29" t="n">
        <f aca="false">MIN(Params!$B$9,AD249/Params!$B$5)</f>
        <v>0.0336856201875</v>
      </c>
      <c r="AG249" s="28" t="n">
        <f aca="false">IF($R249&gt;0,Params!$B$9*Params!$B$4/(Params!$B$6*$R249),"n/a")</f>
        <v>2.67176318853696</v>
      </c>
      <c r="AH249" s="28" t="n">
        <f aca="false">IF($R249&gt;0,Params!$B$9*Params!$B$5/(Params!$B$6*$R249),"n/a")</f>
        <v>5.34352637707392</v>
      </c>
      <c r="AI249" s="28" t="n">
        <f aca="false">IF($R249&gt;0,Params!$B$15*Params!$B$4/(Params!$B$6*$R249),"n/a")</f>
        <v>0.89058772951232</v>
      </c>
      <c r="AJ249" s="29" t="n">
        <f aca="false">MIN(Params!$B$9,AD249*Params!$B$8/Params!$B$4)</f>
        <v>0.0336856201875</v>
      </c>
      <c r="AK249" s="28" t="n">
        <f aca="false">IF($R249&gt;0,Params!$B$9*Params!$B$4/(Params!$B$6*$R249*Params!$B$8),"n/a")</f>
        <v>5.34352637707392</v>
      </c>
      <c r="AL249" s="27" t="str">
        <f aca="false">IFERROR(ciq($D249,"IQ_PE_EXCL"),"")</f>
        <v/>
      </c>
      <c r="AM249" s="27" t="str">
        <f aca="false">IFERROR(ciq($D249,"IQ_PE_EXCL_FWD_CIQ"),"")</f>
        <v/>
      </c>
      <c r="AN249" s="27" t="str">
        <f aca="false">IFERROR(ciq($D249,"IQ_PBV"),"")</f>
        <v/>
      </c>
      <c r="AO249" s="27" t="str">
        <f aca="false">IFERROR(ciq($D249,"IQ_TEV_EBITDA"),"")</f>
        <v/>
      </c>
      <c r="AP249" s="24" t="str">
        <f aca="false">IFERROR(ciq($D249,"IQ_RETURN_EQUITY"),"")</f>
        <v/>
      </c>
      <c r="AQ249" s="24" t="str">
        <f aca="false">IFERROR(ciq($D249,"IQ_RETURN_CAPITAL"),"")</f>
        <v/>
      </c>
      <c r="AR249" s="24" t="str">
        <f aca="false">IFERROR(ciq($D249,"IQ_TOTAL_REV_1YR_ANN_GROWTH"),"")</f>
        <v/>
      </c>
      <c r="AS249" s="24" t="str">
        <f aca="false">IFERROR(ciq($D249,"IQ_EPS_1YR_ANN_GROWTH"),"")</f>
        <v/>
      </c>
      <c r="AT249" s="24" t="str">
        <f aca="false">IFERROR(ciq($D249,"IQ_DIVIDEND_YIELD"),"")</f>
        <v/>
      </c>
      <c r="AU249" s="24" t="str">
        <f aca="false">IFERROR(ciq($D249,"IQ_NET_DEBT"),"")</f>
        <v/>
      </c>
    </row>
    <row r="250" customFormat="false" ht="15" hidden="false" customHeight="false" outlineLevel="0" collapsed="false">
      <c r="A250" s="8" t="s">
        <v>1421</v>
      </c>
      <c r="B250" s="6" t="s">
        <v>1422</v>
      </c>
      <c r="C250" s="8" t="s">
        <v>73</v>
      </c>
      <c r="D250" s="8" t="s">
        <v>1423</v>
      </c>
      <c r="E250" s="8" t="s">
        <v>1424</v>
      </c>
      <c r="F250" s="6" t="s">
        <v>852</v>
      </c>
      <c r="G250" s="8" t="s">
        <v>56</v>
      </c>
      <c r="H250" s="8" t="s">
        <v>66</v>
      </c>
      <c r="I250" s="8"/>
      <c r="J250" s="8"/>
      <c r="K250" s="8"/>
      <c r="L250" s="8"/>
      <c r="M250" s="23" t="n">
        <v>35900</v>
      </c>
      <c r="N250" s="23" t="n">
        <v>13734.685184</v>
      </c>
      <c r="O250" s="23" t="n">
        <v>14103.8765824</v>
      </c>
      <c r="P250" s="24" t="n">
        <v>62.879591075</v>
      </c>
      <c r="Q250" s="24" t="n">
        <v>67.080267625</v>
      </c>
      <c r="R250" s="24" t="n">
        <v>62.879591075</v>
      </c>
      <c r="S250" s="25" t="n">
        <v>0.00457816034605952</v>
      </c>
      <c r="T250" s="26" t="n">
        <v>0.682128957811311</v>
      </c>
      <c r="U250" s="23" t="n">
        <v>0</v>
      </c>
      <c r="V250" s="26" t="n">
        <v>-0.06</v>
      </c>
      <c r="W250" s="26" t="n">
        <v>0.068602384794912</v>
      </c>
      <c r="X250" s="26" t="n">
        <v>-0.0886276943349603</v>
      </c>
      <c r="Y250" s="26" t="n">
        <v>-0.250486070349244</v>
      </c>
      <c r="Z250" s="26" t="n">
        <v>-0.205592366808113</v>
      </c>
      <c r="AA250" s="26" t="n">
        <v>0.0813119414477679</v>
      </c>
      <c r="AB250" s="26" t="n">
        <v>-0.420968386036301</v>
      </c>
      <c r="AC250" s="27" t="n">
        <v>0.572765381505164</v>
      </c>
      <c r="AD250" s="28" t="n">
        <f aca="false">Params!$B$6*Params!$B$7*$R250</f>
        <v>37.727754645</v>
      </c>
      <c r="AE250" s="29" t="n">
        <f aca="false">MIN(Params!$B$9,AD250/Params!$B$4)</f>
        <v>0.06</v>
      </c>
      <c r="AF250" s="29" t="n">
        <f aca="false">MIN(Params!$B$9,AD250/Params!$B$5)</f>
        <v>0.037727754645</v>
      </c>
      <c r="AG250" s="28" t="n">
        <f aca="false">IF($R250&gt;0,Params!$B$9*Params!$B$4/(Params!$B$6*$R250),"n/a")</f>
        <v>2.38551169680933</v>
      </c>
      <c r="AH250" s="28" t="n">
        <f aca="false">IF($R250&gt;0,Params!$B$9*Params!$B$5/(Params!$B$6*$R250),"n/a")</f>
        <v>4.77102339361866</v>
      </c>
      <c r="AI250" s="28" t="n">
        <f aca="false">IF($R250&gt;0,Params!$B$15*Params!$B$4/(Params!$B$6*$R250),"n/a")</f>
        <v>0.79517056560311</v>
      </c>
      <c r="AJ250" s="29" t="n">
        <f aca="false">MIN(Params!$B$9,AD250*Params!$B$8/Params!$B$4)</f>
        <v>0.037727754645</v>
      </c>
      <c r="AK250" s="28" t="n">
        <f aca="false">IF($R250&gt;0,Params!$B$9*Params!$B$4/(Params!$B$6*$R250*Params!$B$8),"n/a")</f>
        <v>4.77102339361866</v>
      </c>
      <c r="AL250" s="27" t="str">
        <f aca="false">IFERROR(ciq($D250,"IQ_PE_EXCL"),"")</f>
        <v/>
      </c>
      <c r="AM250" s="27" t="str">
        <f aca="false">IFERROR(ciq($D250,"IQ_PE_EXCL_FWD_CIQ"),"")</f>
        <v/>
      </c>
      <c r="AN250" s="27" t="str">
        <f aca="false">IFERROR(ciq($D250,"IQ_PBV"),"")</f>
        <v/>
      </c>
      <c r="AO250" s="27" t="str">
        <f aca="false">IFERROR(ciq($D250,"IQ_TEV_EBITDA"),"")</f>
        <v/>
      </c>
      <c r="AP250" s="24" t="str">
        <f aca="false">IFERROR(ciq($D250,"IQ_RETURN_EQUITY"),"")</f>
        <v/>
      </c>
      <c r="AQ250" s="24" t="str">
        <f aca="false">IFERROR(ciq($D250,"IQ_RETURN_CAPITAL"),"")</f>
        <v/>
      </c>
      <c r="AR250" s="24" t="str">
        <f aca="false">IFERROR(ciq($D250,"IQ_TOTAL_REV_1YR_ANN_GROWTH"),"")</f>
        <v/>
      </c>
      <c r="AS250" s="24" t="str">
        <f aca="false">IFERROR(ciq($D250,"IQ_EPS_1YR_ANN_GROWTH"),"")</f>
        <v/>
      </c>
      <c r="AT250" s="24" t="str">
        <f aca="false">IFERROR(ciq($D250,"IQ_DIVIDEND_YIELD"),"")</f>
        <v/>
      </c>
      <c r="AU250" s="24" t="str">
        <f aca="false">IFERROR(ciq($D250,"IQ_NET_DEBT"),"")</f>
        <v/>
      </c>
    </row>
    <row r="251" customFormat="false" ht="15" hidden="false" customHeight="false" outlineLevel="0" collapsed="false">
      <c r="A251" s="8" t="s">
        <v>1425</v>
      </c>
      <c r="B251" s="8" t="s">
        <v>1426</v>
      </c>
      <c r="C251" s="8" t="s">
        <v>72</v>
      </c>
      <c r="D251" s="8" t="s">
        <v>1427</v>
      </c>
      <c r="E251" s="8" t="s">
        <v>1428</v>
      </c>
      <c r="F251" s="8"/>
      <c r="G251" s="8" t="s">
        <v>56</v>
      </c>
      <c r="H251" s="8" t="s">
        <v>66</v>
      </c>
      <c r="I251" s="8"/>
      <c r="J251" s="8"/>
      <c r="K251" s="8"/>
      <c r="L251" s="8" t="s">
        <v>241</v>
      </c>
      <c r="M251" s="23" t="n">
        <v>15790</v>
      </c>
      <c r="N251" s="23" t="n">
        <v>12914.18309</v>
      </c>
      <c r="O251" s="23" t="n">
        <v>12829.5334415</v>
      </c>
      <c r="P251" s="24" t="n">
        <v>111.88448972</v>
      </c>
      <c r="Q251" s="24" t="n">
        <v>58.7459865891667</v>
      </c>
      <c r="R251" s="24" t="n">
        <v>58.7459865891667</v>
      </c>
      <c r="S251" s="25" t="n">
        <v>0.00866369083822553</v>
      </c>
      <c r="T251" s="26" t="n">
        <v>1.12351610633157</v>
      </c>
      <c r="U251" s="23" t="n">
        <v>1</v>
      </c>
      <c r="V251" s="26" t="n">
        <v>-0.06</v>
      </c>
      <c r="W251" s="26" t="n">
        <v>0.134326713185781</v>
      </c>
      <c r="X251" s="26" t="n">
        <v>-0.0728745581262853</v>
      </c>
      <c r="Y251" s="26" t="n">
        <v>-0.316702647489749</v>
      </c>
      <c r="Z251" s="26" t="n">
        <v>-0.369778327864024</v>
      </c>
      <c r="AA251" s="26" t="n">
        <v>-0.460046104206013</v>
      </c>
      <c r="AB251" s="26" t="n">
        <v>-0.539602641406444</v>
      </c>
      <c r="AC251" s="27" t="n">
        <v>2.05601811605183</v>
      </c>
      <c r="AD251" s="28" t="n">
        <f aca="false">Params!$B$6*Params!$B$7*$R251</f>
        <v>35.2475919535</v>
      </c>
      <c r="AE251" s="29" t="n">
        <f aca="false">MIN(Params!$B$9,AD251/Params!$B$4)</f>
        <v>0.06</v>
      </c>
      <c r="AF251" s="29" t="n">
        <f aca="false">MIN(Params!$B$9,AD251/Params!$B$5)</f>
        <v>0.0352475919535</v>
      </c>
      <c r="AG251" s="28" t="n">
        <f aca="false">IF($R251&gt;0,Params!$B$9*Params!$B$4/(Params!$B$6*$R251),"n/a")</f>
        <v>2.55336591840746</v>
      </c>
      <c r="AH251" s="28" t="n">
        <f aca="false">IF($R251&gt;0,Params!$B$9*Params!$B$5/(Params!$B$6*$R251),"n/a")</f>
        <v>5.10673183681492</v>
      </c>
      <c r="AI251" s="28" t="n">
        <f aca="false">IF($R251&gt;0,Params!$B$15*Params!$B$4/(Params!$B$6*$R251),"n/a")</f>
        <v>0.851121972802487</v>
      </c>
      <c r="AJ251" s="29" t="n">
        <f aca="false">MIN(Params!$B$9,AD251*Params!$B$8/Params!$B$4)</f>
        <v>0.0352475919535</v>
      </c>
      <c r="AK251" s="28" t="n">
        <f aca="false">IF($R251&gt;0,Params!$B$9*Params!$B$4/(Params!$B$6*$R251*Params!$B$8),"n/a")</f>
        <v>5.10673183681492</v>
      </c>
      <c r="AL251" s="27" t="str">
        <f aca="false">IFERROR(ciq($D251,"IQ_PE_EXCL"),"")</f>
        <v/>
      </c>
      <c r="AM251" s="27" t="str">
        <f aca="false">IFERROR(ciq($D251,"IQ_PE_EXCL_FWD_CIQ"),"")</f>
        <v/>
      </c>
      <c r="AN251" s="27" t="str">
        <f aca="false">IFERROR(ciq($D251,"IQ_PBV"),"")</f>
        <v/>
      </c>
      <c r="AO251" s="27" t="str">
        <f aca="false">IFERROR(ciq($D251,"IQ_TEV_EBITDA"),"")</f>
        <v/>
      </c>
      <c r="AP251" s="24" t="str">
        <f aca="false">IFERROR(ciq($D251,"IQ_RETURN_EQUITY"),"")</f>
        <v/>
      </c>
      <c r="AQ251" s="24" t="str">
        <f aca="false">IFERROR(ciq($D251,"IQ_RETURN_CAPITAL"),"")</f>
        <v/>
      </c>
      <c r="AR251" s="24" t="str">
        <f aca="false">IFERROR(ciq($D251,"IQ_TOTAL_REV_1YR_ANN_GROWTH"),"")</f>
        <v/>
      </c>
      <c r="AS251" s="24" t="str">
        <f aca="false">IFERROR(ciq($D251,"IQ_EPS_1YR_ANN_GROWTH"),"")</f>
        <v/>
      </c>
      <c r="AT251" s="24" t="str">
        <f aca="false">IFERROR(ciq($D251,"IQ_DIVIDEND_YIELD"),"")</f>
        <v/>
      </c>
      <c r="AU251" s="24" t="str">
        <f aca="false">IFERROR(ciq($D251,"IQ_NET_DEBT"),"")</f>
        <v/>
      </c>
    </row>
    <row r="252" customFormat="false" ht="15" hidden="false" customHeight="false" outlineLevel="0" collapsed="false">
      <c r="A252" s="8" t="s">
        <v>1429</v>
      </c>
      <c r="B252" s="8" t="s">
        <v>1430</v>
      </c>
      <c r="C252" s="8" t="s">
        <v>72</v>
      </c>
      <c r="D252" s="8" t="s">
        <v>1431</v>
      </c>
      <c r="E252" s="8" t="s">
        <v>1432</v>
      </c>
      <c r="F252" s="6" t="s">
        <v>542</v>
      </c>
      <c r="G252" s="8" t="s">
        <v>56</v>
      </c>
      <c r="H252" s="8" t="s">
        <v>66</v>
      </c>
      <c r="I252" s="8"/>
      <c r="J252" s="8"/>
      <c r="K252" s="8"/>
      <c r="L252" s="8" t="s">
        <v>241</v>
      </c>
      <c r="M252" s="23" t="n">
        <v>6390</v>
      </c>
      <c r="N252" s="23" t="n">
        <v>12817.9495071</v>
      </c>
      <c r="O252" s="23" t="n">
        <v>14383.584810745</v>
      </c>
      <c r="P252" s="24" t="n">
        <v>76.4818907675</v>
      </c>
      <c r="Q252" s="24" t="n">
        <v>414.030048740833</v>
      </c>
      <c r="R252" s="24" t="n">
        <v>76.4818907675</v>
      </c>
      <c r="S252" s="25" t="n">
        <v>0.00596678046868073</v>
      </c>
      <c r="T252" s="26" t="n">
        <v>0.82878383415865</v>
      </c>
      <c r="U252" s="23" t="n">
        <v>0</v>
      </c>
      <c r="V252" s="26" t="n">
        <v>-0.06</v>
      </c>
      <c r="W252" s="26" t="n">
        <v>-0.191061523550945</v>
      </c>
      <c r="X252" s="26" t="n">
        <v>-0.552738466787251</v>
      </c>
      <c r="Y252" s="26" t="n">
        <v>0.203674171319486</v>
      </c>
      <c r="Z252" s="26" t="n">
        <v>0.414387520931271</v>
      </c>
      <c r="AA252" s="26" t="n">
        <v>0.419237916424309</v>
      </c>
      <c r="AB252" s="26" t="n">
        <v>-0.552738466787251</v>
      </c>
      <c r="AC252" s="27" t="n">
        <v>0.102713014289918</v>
      </c>
      <c r="AD252" s="28" t="n">
        <f aca="false">Params!$B$6*Params!$B$7*$R252</f>
        <v>45.8891344605</v>
      </c>
      <c r="AE252" s="29" t="n">
        <f aca="false">MIN(Params!$B$9,AD252/Params!$B$4)</f>
        <v>0.06</v>
      </c>
      <c r="AF252" s="29" t="n">
        <f aca="false">MIN(Params!$B$9,AD252/Params!$B$5)</f>
        <v>0.0458891344605</v>
      </c>
      <c r="AG252" s="28" t="n">
        <f aca="false">IF($R252&gt;0,Params!$B$9*Params!$B$4/(Params!$B$6*$R252),"n/a")</f>
        <v>1.96124858440007</v>
      </c>
      <c r="AH252" s="28" t="n">
        <f aca="false">IF($R252&gt;0,Params!$B$9*Params!$B$5/(Params!$B$6*$R252),"n/a")</f>
        <v>3.92249716880014</v>
      </c>
      <c r="AI252" s="28" t="n">
        <f aca="false">IF($R252&gt;0,Params!$B$15*Params!$B$4/(Params!$B$6*$R252),"n/a")</f>
        <v>0.653749528133356</v>
      </c>
      <c r="AJ252" s="29" t="n">
        <f aca="false">MIN(Params!$B$9,AD252*Params!$B$8/Params!$B$4)</f>
        <v>0.0458891344605</v>
      </c>
      <c r="AK252" s="28" t="n">
        <f aca="false">IF($R252&gt;0,Params!$B$9*Params!$B$4/(Params!$B$6*$R252*Params!$B$8),"n/a")</f>
        <v>3.92249716880014</v>
      </c>
      <c r="AL252" s="27" t="str">
        <f aca="false">IFERROR(ciq($D252,"IQ_PE_EXCL"),"")</f>
        <v/>
      </c>
      <c r="AM252" s="27" t="str">
        <f aca="false">IFERROR(ciq($D252,"IQ_PE_EXCL_FWD_CIQ"),"")</f>
        <v/>
      </c>
      <c r="AN252" s="27" t="str">
        <f aca="false">IFERROR(ciq($D252,"IQ_PBV"),"")</f>
        <v/>
      </c>
      <c r="AO252" s="27" t="str">
        <f aca="false">IFERROR(ciq($D252,"IQ_TEV_EBITDA"),"")</f>
        <v/>
      </c>
      <c r="AP252" s="24" t="str">
        <f aca="false">IFERROR(ciq($D252,"IQ_RETURN_EQUITY"),"")</f>
        <v/>
      </c>
      <c r="AQ252" s="24" t="str">
        <f aca="false">IFERROR(ciq($D252,"IQ_RETURN_CAPITAL"),"")</f>
        <v/>
      </c>
      <c r="AR252" s="24" t="str">
        <f aca="false">IFERROR(ciq($D252,"IQ_TOTAL_REV_1YR_ANN_GROWTH"),"")</f>
        <v/>
      </c>
      <c r="AS252" s="24" t="str">
        <f aca="false">IFERROR(ciq($D252,"IQ_EPS_1YR_ANN_GROWTH"),"")</f>
        <v/>
      </c>
      <c r="AT252" s="24" t="str">
        <f aca="false">IFERROR(ciq($D252,"IQ_DIVIDEND_YIELD"),"")</f>
        <v/>
      </c>
      <c r="AU252" s="24" t="str">
        <f aca="false">IFERROR(ciq($D252,"IQ_NET_DEBT"),"")</f>
        <v/>
      </c>
    </row>
    <row r="253" customFormat="false" ht="15" hidden="false" customHeight="false" outlineLevel="0" collapsed="false">
      <c r="A253" s="8" t="s">
        <v>302</v>
      </c>
      <c r="B253" s="8" t="s">
        <v>303</v>
      </c>
      <c r="C253" s="8" t="s">
        <v>72</v>
      </c>
      <c r="D253" s="8" t="s">
        <v>1433</v>
      </c>
      <c r="E253" s="8" t="s">
        <v>1434</v>
      </c>
      <c r="F253" s="8"/>
      <c r="G253" s="8" t="s">
        <v>56</v>
      </c>
      <c r="H253" s="8" t="s">
        <v>66</v>
      </c>
      <c r="I253" s="8" t="s">
        <v>508</v>
      </c>
      <c r="J253" s="6" t="s">
        <v>109</v>
      </c>
      <c r="K253" s="8" t="s">
        <v>304</v>
      </c>
      <c r="L253" s="6" t="s">
        <v>109</v>
      </c>
      <c r="M253" s="23" t="n">
        <v>73900</v>
      </c>
      <c r="N253" s="23" t="n">
        <v>12696.979961</v>
      </c>
      <c r="O253" s="23" t="n">
        <v>12200.4404199</v>
      </c>
      <c r="P253" s="24" t="n">
        <v>58.683901202</v>
      </c>
      <c r="Q253" s="24" t="n">
        <v>91.005362059</v>
      </c>
      <c r="R253" s="24" t="n">
        <v>58.683901202</v>
      </c>
      <c r="S253" s="25" t="n">
        <v>0.00462187869731647</v>
      </c>
      <c r="T253" s="26" t="n">
        <v>0.730828664935582</v>
      </c>
      <c r="U253" s="23" t="n">
        <v>0</v>
      </c>
      <c r="V253" s="26" t="n">
        <v>-0.06</v>
      </c>
      <c r="W253" s="26" t="n">
        <v>0.156395400598962</v>
      </c>
      <c r="X253" s="26" t="n">
        <v>-0.120486567852376</v>
      </c>
      <c r="Y253" s="26" t="n">
        <v>0.347745996095232</v>
      </c>
      <c r="Z253" s="26" t="n">
        <v>0.522762024482293</v>
      </c>
      <c r="AA253" s="26" t="n">
        <v>1.01848272884739</v>
      </c>
      <c r="AB253" s="26" t="n">
        <v>-0.406161456775334</v>
      </c>
      <c r="AC253" s="27" t="n">
        <v>0.274936821667687</v>
      </c>
      <c r="AD253" s="28" t="n">
        <f aca="false">Params!$B$6*Params!$B$7*$R253</f>
        <v>35.2103407212</v>
      </c>
      <c r="AE253" s="29" t="n">
        <f aca="false">MIN(Params!$B$9,AD253/Params!$B$4)</f>
        <v>0.06</v>
      </c>
      <c r="AF253" s="29" t="n">
        <f aca="false">MIN(Params!$B$9,AD253/Params!$B$5)</f>
        <v>0.0352103407212</v>
      </c>
      <c r="AG253" s="28" t="n">
        <f aca="false">IF($R253&gt;0,Params!$B$9*Params!$B$4/(Params!$B$6*$R253),"n/a")</f>
        <v>2.55606728468297</v>
      </c>
      <c r="AH253" s="28" t="n">
        <f aca="false">IF($R253&gt;0,Params!$B$9*Params!$B$5/(Params!$B$6*$R253),"n/a")</f>
        <v>5.11213456936595</v>
      </c>
      <c r="AI253" s="28" t="n">
        <f aca="false">IF($R253&gt;0,Params!$B$15*Params!$B$4/(Params!$B$6*$R253),"n/a")</f>
        <v>0.852022428227658</v>
      </c>
      <c r="AJ253" s="29" t="n">
        <f aca="false">MIN(Params!$B$9,AD253*Params!$B$8/Params!$B$4)</f>
        <v>0.0352103407212</v>
      </c>
      <c r="AK253" s="28" t="n">
        <f aca="false">IF($R253&gt;0,Params!$B$9*Params!$B$4/(Params!$B$6*$R253*Params!$B$8),"n/a")</f>
        <v>5.11213456936595</v>
      </c>
      <c r="AL253" s="27" t="str">
        <f aca="false">IFERROR(ciq($D253,"IQ_PE_EXCL"),"")</f>
        <v/>
      </c>
      <c r="AM253" s="27" t="str">
        <f aca="false">IFERROR(ciq($D253,"IQ_PE_EXCL_FWD_CIQ"),"")</f>
        <v/>
      </c>
      <c r="AN253" s="27" t="str">
        <f aca="false">IFERROR(ciq($D253,"IQ_PBV"),"")</f>
        <v/>
      </c>
      <c r="AO253" s="27" t="str">
        <f aca="false">IFERROR(ciq($D253,"IQ_TEV_EBITDA"),"")</f>
        <v/>
      </c>
      <c r="AP253" s="24" t="str">
        <f aca="false">IFERROR(ciq($D253,"IQ_RETURN_EQUITY"),"")</f>
        <v/>
      </c>
      <c r="AQ253" s="24" t="str">
        <f aca="false">IFERROR(ciq($D253,"IQ_RETURN_CAPITAL"),"")</f>
        <v/>
      </c>
      <c r="AR253" s="24" t="str">
        <f aca="false">IFERROR(ciq($D253,"IQ_TOTAL_REV_1YR_ANN_GROWTH"),"")</f>
        <v/>
      </c>
      <c r="AS253" s="24" t="str">
        <f aca="false">IFERROR(ciq($D253,"IQ_EPS_1YR_ANN_GROWTH"),"")</f>
        <v/>
      </c>
      <c r="AT253" s="24" t="str">
        <f aca="false">IFERROR(ciq($D253,"IQ_DIVIDEND_YIELD"),"")</f>
        <v/>
      </c>
      <c r="AU253" s="24" t="str">
        <f aca="false">IFERROR(ciq($D253,"IQ_NET_DEBT"),"")</f>
        <v/>
      </c>
    </row>
    <row r="254" customFormat="false" ht="15" hidden="false" customHeight="false" outlineLevel="0" collapsed="false">
      <c r="A254" s="8" t="s">
        <v>1435</v>
      </c>
      <c r="B254" s="6" t="s">
        <v>1436</v>
      </c>
      <c r="C254" s="8" t="s">
        <v>74</v>
      </c>
      <c r="D254" s="8" t="s">
        <v>1437</v>
      </c>
      <c r="E254" s="8" t="s">
        <v>1438</v>
      </c>
      <c r="F254" s="6" t="s">
        <v>536</v>
      </c>
      <c r="G254" s="8" t="s">
        <v>56</v>
      </c>
      <c r="H254" s="8" t="s">
        <v>66</v>
      </c>
      <c r="I254" s="8"/>
      <c r="J254" s="8"/>
      <c r="K254" s="8"/>
      <c r="L254" s="8"/>
      <c r="M254" s="23" t="n">
        <v>10890</v>
      </c>
      <c r="N254" s="23" t="n">
        <v>12197.4121269</v>
      </c>
      <c r="O254" s="23" t="n">
        <v>12252.29488119</v>
      </c>
      <c r="P254" s="24" t="n">
        <v>56.264160305</v>
      </c>
      <c r="Q254" s="24" t="n">
        <v>60.0994494266667</v>
      </c>
      <c r="R254" s="24" t="n">
        <v>56.264160305</v>
      </c>
      <c r="S254" s="25" t="n">
        <v>0.00461279488793494</v>
      </c>
      <c r="T254" s="26" t="n">
        <v>0.564153745002194</v>
      </c>
      <c r="U254" s="23" t="n">
        <v>0</v>
      </c>
      <c r="V254" s="26" t="n">
        <v>-0.06</v>
      </c>
      <c r="W254" s="26" t="n">
        <v>0.00201940912327236</v>
      </c>
      <c r="X254" s="26" t="n">
        <v>0.0594160155988508</v>
      </c>
      <c r="Y254" s="26" t="n">
        <v>-0.314040616994896</v>
      </c>
      <c r="Z254" s="26" t="n">
        <v>0.0245793238898278</v>
      </c>
      <c r="AA254" s="26" t="n">
        <v>0.276818919283967</v>
      </c>
      <c r="AB254" s="26" t="n">
        <v>-0.444534159531259</v>
      </c>
      <c r="AC254" s="27" t="n">
        <v>0.474530310919773</v>
      </c>
      <c r="AD254" s="28" t="n">
        <f aca="false">Params!$B$6*Params!$B$7*$R254</f>
        <v>33.758496183</v>
      </c>
      <c r="AE254" s="29" t="n">
        <f aca="false">MIN(Params!$B$9,AD254/Params!$B$4)</f>
        <v>0.06</v>
      </c>
      <c r="AF254" s="29" t="n">
        <f aca="false">MIN(Params!$B$9,AD254/Params!$B$5)</f>
        <v>0.033758496183</v>
      </c>
      <c r="AG254" s="28" t="n">
        <f aca="false">IF($R254&gt;0,Params!$B$9*Params!$B$4/(Params!$B$6*$R254),"n/a")</f>
        <v>2.66599553226906</v>
      </c>
      <c r="AH254" s="28" t="n">
        <f aca="false">IF($R254&gt;0,Params!$B$9*Params!$B$5/(Params!$B$6*$R254),"n/a")</f>
        <v>5.33199106453811</v>
      </c>
      <c r="AI254" s="28" t="n">
        <f aca="false">IF($R254&gt;0,Params!$B$15*Params!$B$4/(Params!$B$6*$R254),"n/a")</f>
        <v>0.888665177423019</v>
      </c>
      <c r="AJ254" s="29" t="n">
        <f aca="false">MIN(Params!$B$9,AD254*Params!$B$8/Params!$B$4)</f>
        <v>0.033758496183</v>
      </c>
      <c r="AK254" s="28" t="n">
        <f aca="false">IF($R254&gt;0,Params!$B$9*Params!$B$4/(Params!$B$6*$R254*Params!$B$8),"n/a")</f>
        <v>5.33199106453811</v>
      </c>
      <c r="AL254" s="27" t="str">
        <f aca="false">IFERROR(ciq($D254,"IQ_PE_EXCL"),"")</f>
        <v/>
      </c>
      <c r="AM254" s="27" t="str">
        <f aca="false">IFERROR(ciq($D254,"IQ_PE_EXCL_FWD_CIQ"),"")</f>
        <v/>
      </c>
      <c r="AN254" s="27" t="str">
        <f aca="false">IFERROR(ciq($D254,"IQ_PBV"),"")</f>
        <v/>
      </c>
      <c r="AO254" s="27" t="str">
        <f aca="false">IFERROR(ciq($D254,"IQ_TEV_EBITDA"),"")</f>
        <v/>
      </c>
      <c r="AP254" s="24" t="str">
        <f aca="false">IFERROR(ciq($D254,"IQ_RETURN_EQUITY"),"")</f>
        <v/>
      </c>
      <c r="AQ254" s="24" t="str">
        <f aca="false">IFERROR(ciq($D254,"IQ_RETURN_CAPITAL"),"")</f>
        <v/>
      </c>
      <c r="AR254" s="24" t="str">
        <f aca="false">IFERROR(ciq($D254,"IQ_TOTAL_REV_1YR_ANN_GROWTH"),"")</f>
        <v/>
      </c>
      <c r="AS254" s="24" t="str">
        <f aca="false">IFERROR(ciq($D254,"IQ_EPS_1YR_ANN_GROWTH"),"")</f>
        <v/>
      </c>
      <c r="AT254" s="24" t="str">
        <f aca="false">IFERROR(ciq($D254,"IQ_DIVIDEND_YIELD"),"")</f>
        <v/>
      </c>
      <c r="AU254" s="24" t="str">
        <f aca="false">IFERROR(ciq($D254,"IQ_NET_DEBT"),"")</f>
        <v/>
      </c>
    </row>
    <row r="255" customFormat="false" ht="15" hidden="false" customHeight="false" outlineLevel="0" collapsed="false">
      <c r="A255" s="8" t="s">
        <v>1439</v>
      </c>
      <c r="B255" s="6" t="s">
        <v>1440</v>
      </c>
      <c r="C255" s="8" t="s">
        <v>73</v>
      </c>
      <c r="D255" s="8" t="s">
        <v>1441</v>
      </c>
      <c r="E255" s="8" t="s">
        <v>1442</v>
      </c>
      <c r="F255" s="8"/>
      <c r="G255" s="8" t="s">
        <v>56</v>
      </c>
      <c r="H255" s="8" t="s">
        <v>66</v>
      </c>
      <c r="I255" s="8"/>
      <c r="J255" s="8"/>
      <c r="K255" s="8"/>
      <c r="L255" s="8" t="s">
        <v>115</v>
      </c>
      <c r="M255" s="23" t="n">
        <v>54500</v>
      </c>
      <c r="N255" s="23" t="n">
        <v>11837.17655</v>
      </c>
      <c r="O255" s="23" t="n">
        <v>14238.2772245</v>
      </c>
      <c r="P255" s="24" t="n">
        <v>96.26908255</v>
      </c>
      <c r="Q255" s="24" t="n">
        <v>101.597569904167</v>
      </c>
      <c r="R255" s="24" t="n">
        <v>96.26908255</v>
      </c>
      <c r="S255" s="25" t="n">
        <v>0.00813277407356064</v>
      </c>
      <c r="T255" s="26" t="n">
        <v>1.257448377941</v>
      </c>
      <c r="U255" s="23" t="n">
        <v>3</v>
      </c>
      <c r="V255" s="26" t="n">
        <v>-0.04</v>
      </c>
      <c r="W255" s="26" t="n">
        <v>-0.0763859593917902</v>
      </c>
      <c r="X255" s="26" t="n">
        <v>-0.128128513055303</v>
      </c>
      <c r="Y255" s="26" t="n">
        <v>-0.545652222227134</v>
      </c>
      <c r="Z255" s="26" t="n">
        <v>-0.546038106527629</v>
      </c>
      <c r="AA255" s="26" t="n">
        <v>1.1188914987867</v>
      </c>
      <c r="AB255" s="26" t="n">
        <v>-0.620900426611468</v>
      </c>
      <c r="AC255" s="27" t="n">
        <v>0.611241794203342</v>
      </c>
      <c r="AD255" s="28" t="n">
        <f aca="false">Params!$B$6*Params!$B$7*$R255</f>
        <v>57.76144953</v>
      </c>
      <c r="AE255" s="29" t="n">
        <f aca="false">MIN(Params!$B$9,AD255/Params!$B$4)</f>
        <v>0.06</v>
      </c>
      <c r="AF255" s="29" t="n">
        <f aca="false">MIN(Params!$B$9,AD255/Params!$B$5)</f>
        <v>0.05776144953</v>
      </c>
      <c r="AG255" s="28" t="n">
        <f aca="false">IF($R255&gt;0,Params!$B$9*Params!$B$4/(Params!$B$6*$R255),"n/a")</f>
        <v>1.55813264265912</v>
      </c>
      <c r="AH255" s="28" t="n">
        <f aca="false">IF($R255&gt;0,Params!$B$9*Params!$B$5/(Params!$B$6*$R255),"n/a")</f>
        <v>3.11626528531823</v>
      </c>
      <c r="AI255" s="28" t="n">
        <f aca="false">IF($R255&gt;0,Params!$B$15*Params!$B$4/(Params!$B$6*$R255),"n/a")</f>
        <v>0.519377547553038</v>
      </c>
      <c r="AJ255" s="29" t="n">
        <f aca="false">MIN(Params!$B$9,AD255*Params!$B$8/Params!$B$4)</f>
        <v>0.05776144953</v>
      </c>
      <c r="AK255" s="28" t="n">
        <f aca="false">IF($R255&gt;0,Params!$B$9*Params!$B$4/(Params!$B$6*$R255*Params!$B$8),"n/a")</f>
        <v>3.11626528531823</v>
      </c>
      <c r="AL255" s="27" t="str">
        <f aca="false">IFERROR(ciq($D255,"IQ_PE_EXCL"),"")</f>
        <v/>
      </c>
      <c r="AM255" s="27" t="str">
        <f aca="false">IFERROR(ciq($D255,"IQ_PE_EXCL_FWD_CIQ"),"")</f>
        <v/>
      </c>
      <c r="AN255" s="27" t="str">
        <f aca="false">IFERROR(ciq($D255,"IQ_PBV"),"")</f>
        <v/>
      </c>
      <c r="AO255" s="27" t="str">
        <f aca="false">IFERROR(ciq($D255,"IQ_TEV_EBITDA"),"")</f>
        <v/>
      </c>
      <c r="AP255" s="24" t="str">
        <f aca="false">IFERROR(ciq($D255,"IQ_RETURN_EQUITY"),"")</f>
        <v/>
      </c>
      <c r="AQ255" s="24" t="str">
        <f aca="false">IFERROR(ciq($D255,"IQ_RETURN_CAPITAL"),"")</f>
        <v/>
      </c>
      <c r="AR255" s="24" t="str">
        <f aca="false">IFERROR(ciq($D255,"IQ_TOTAL_REV_1YR_ANN_GROWTH"),"")</f>
        <v/>
      </c>
      <c r="AS255" s="24" t="str">
        <f aca="false">IFERROR(ciq($D255,"IQ_EPS_1YR_ANN_GROWTH"),"")</f>
        <v/>
      </c>
      <c r="AT255" s="24" t="str">
        <f aca="false">IFERROR(ciq($D255,"IQ_DIVIDEND_YIELD"),"")</f>
        <v/>
      </c>
      <c r="AU255" s="24" t="str">
        <f aca="false">IFERROR(ciq($D255,"IQ_NET_DEBT"),"")</f>
        <v/>
      </c>
    </row>
    <row r="256" customFormat="false" ht="15" hidden="false" customHeight="false" outlineLevel="0" collapsed="false">
      <c r="A256" s="8" t="s">
        <v>1443</v>
      </c>
      <c r="B256" s="8" t="s">
        <v>1444</v>
      </c>
      <c r="C256" s="8" t="s">
        <v>74</v>
      </c>
      <c r="D256" s="8" t="s">
        <v>1445</v>
      </c>
      <c r="E256" s="8" t="s">
        <v>1446</v>
      </c>
      <c r="F256" s="8"/>
      <c r="G256" s="8" t="s">
        <v>56</v>
      </c>
      <c r="H256" s="8" t="s">
        <v>66</v>
      </c>
      <c r="I256" s="8"/>
      <c r="J256" s="8"/>
      <c r="K256" s="8"/>
      <c r="L256" s="8"/>
      <c r="M256" s="23" t="n">
        <v>41750</v>
      </c>
      <c r="N256" s="23" t="n">
        <v>11827.7294925</v>
      </c>
      <c r="O256" s="23" t="n">
        <v>12000.5418276</v>
      </c>
      <c r="P256" s="24" t="n">
        <v>56.9756805875</v>
      </c>
      <c r="Q256" s="24" t="n">
        <v>60.7504835708333</v>
      </c>
      <c r="R256" s="24" t="n">
        <v>56.9756805875</v>
      </c>
      <c r="S256" s="25" t="n">
        <v>0.00481712746504969</v>
      </c>
      <c r="T256" s="26" t="n">
        <v>0.532774403588089</v>
      </c>
      <c r="U256" s="23" t="n">
        <v>0</v>
      </c>
      <c r="V256" s="26" t="n">
        <v>-0.06</v>
      </c>
      <c r="W256" s="26" t="n">
        <v>0.030845258513843</v>
      </c>
      <c r="X256" s="26" t="n">
        <v>0.0158019220489871</v>
      </c>
      <c r="Y256" s="26" t="n">
        <v>-0.154039497949309</v>
      </c>
      <c r="Z256" s="26" t="n">
        <v>-0.153180642728321</v>
      </c>
      <c r="AA256" s="26" t="n">
        <v>-0.141879794007828</v>
      </c>
      <c r="AB256" s="26" t="n">
        <v>-0.275253602570618</v>
      </c>
      <c r="AC256" s="27" t="n">
        <v>0.810502030575088</v>
      </c>
      <c r="AD256" s="28" t="n">
        <f aca="false">Params!$B$6*Params!$B$7*$R256</f>
        <v>34.1854083525</v>
      </c>
      <c r="AE256" s="29" t="n">
        <f aca="false">MIN(Params!$B$9,AD256/Params!$B$4)</f>
        <v>0.06</v>
      </c>
      <c r="AF256" s="29" t="n">
        <f aca="false">MIN(Params!$B$9,AD256/Params!$B$5)</f>
        <v>0.0341854083525</v>
      </c>
      <c r="AG256" s="28" t="n">
        <f aca="false">IF($R256&gt;0,Params!$B$9*Params!$B$4/(Params!$B$6*$R256),"n/a")</f>
        <v>2.63270220650789</v>
      </c>
      <c r="AH256" s="28" t="n">
        <f aca="false">IF($R256&gt;0,Params!$B$9*Params!$B$5/(Params!$B$6*$R256),"n/a")</f>
        <v>5.26540441301578</v>
      </c>
      <c r="AI256" s="28" t="n">
        <f aca="false">IF($R256&gt;0,Params!$B$15*Params!$B$4/(Params!$B$6*$R256),"n/a")</f>
        <v>0.877567402169297</v>
      </c>
      <c r="AJ256" s="29" t="n">
        <f aca="false">MIN(Params!$B$9,AD256*Params!$B$8/Params!$B$4)</f>
        <v>0.0341854083525</v>
      </c>
      <c r="AK256" s="28" t="n">
        <f aca="false">IF($R256&gt;0,Params!$B$9*Params!$B$4/(Params!$B$6*$R256*Params!$B$8),"n/a")</f>
        <v>5.26540441301578</v>
      </c>
      <c r="AL256" s="27" t="str">
        <f aca="false">IFERROR(ciq($D256,"IQ_PE_EXCL"),"")</f>
        <v/>
      </c>
      <c r="AM256" s="27" t="str">
        <f aca="false">IFERROR(ciq($D256,"IQ_PE_EXCL_FWD_CIQ"),"")</f>
        <v/>
      </c>
      <c r="AN256" s="27" t="str">
        <f aca="false">IFERROR(ciq($D256,"IQ_PBV"),"")</f>
        <v/>
      </c>
      <c r="AO256" s="27" t="str">
        <f aca="false">IFERROR(ciq($D256,"IQ_TEV_EBITDA"),"")</f>
        <v/>
      </c>
      <c r="AP256" s="24" t="str">
        <f aca="false">IFERROR(ciq($D256,"IQ_RETURN_EQUITY"),"")</f>
        <v/>
      </c>
      <c r="AQ256" s="24" t="str">
        <f aca="false">IFERROR(ciq($D256,"IQ_RETURN_CAPITAL"),"")</f>
        <v/>
      </c>
      <c r="AR256" s="24" t="str">
        <f aca="false">IFERROR(ciq($D256,"IQ_TOTAL_REV_1YR_ANN_GROWTH"),"")</f>
        <v/>
      </c>
      <c r="AS256" s="24" t="str">
        <f aca="false">IFERROR(ciq($D256,"IQ_EPS_1YR_ANN_GROWTH"),"")</f>
        <v/>
      </c>
      <c r="AT256" s="24" t="str">
        <f aca="false">IFERROR(ciq($D256,"IQ_DIVIDEND_YIELD"),"")</f>
        <v/>
      </c>
      <c r="AU256" s="24" t="str">
        <f aca="false">IFERROR(ciq($D256,"IQ_NET_DEBT"),"")</f>
        <v/>
      </c>
    </row>
    <row r="257" customFormat="false" ht="15" hidden="false" customHeight="false" outlineLevel="0" collapsed="false">
      <c r="A257" s="8" t="s">
        <v>1447</v>
      </c>
      <c r="B257" s="6" t="s">
        <v>1448</v>
      </c>
      <c r="C257" s="8" t="s">
        <v>72</v>
      </c>
      <c r="D257" s="8" t="s">
        <v>1449</v>
      </c>
      <c r="E257" s="8" t="s">
        <v>1450</v>
      </c>
      <c r="F257" s="6" t="s">
        <v>1166</v>
      </c>
      <c r="G257" s="8" t="s">
        <v>56</v>
      </c>
      <c r="H257" s="8" t="s">
        <v>66</v>
      </c>
      <c r="I257" s="8"/>
      <c r="J257" s="8"/>
      <c r="K257" s="8"/>
      <c r="L257" s="8" t="s">
        <v>241</v>
      </c>
      <c r="M257" s="23" t="n">
        <v>22350</v>
      </c>
      <c r="N257" s="23" t="n">
        <v>11549.694621</v>
      </c>
      <c r="O257" s="23" t="n">
        <v>12239.5757091</v>
      </c>
      <c r="P257" s="24" t="n">
        <v>66.08177365</v>
      </c>
      <c r="Q257" s="24" t="n">
        <v>80.1018288133333</v>
      </c>
      <c r="R257" s="24" t="n">
        <v>66.08177365</v>
      </c>
      <c r="S257" s="25" t="n">
        <v>0.00572151695940498</v>
      </c>
      <c r="T257" s="26" t="n">
        <v>0.671057760503672</v>
      </c>
      <c r="U257" s="23" t="n">
        <v>0</v>
      </c>
      <c r="V257" s="26" t="n">
        <v>-0.06</v>
      </c>
      <c r="W257" s="26" t="n">
        <v>-0.0388342701406719</v>
      </c>
      <c r="X257" s="26" t="n">
        <v>-0.267428628764946</v>
      </c>
      <c r="Y257" s="26" t="n">
        <v>-0.52549194360148</v>
      </c>
      <c r="Z257" s="26" t="n">
        <v>-0.251206746441115</v>
      </c>
      <c r="AA257" s="26" t="n">
        <v>-0.251240838419027</v>
      </c>
      <c r="AB257" s="26" t="n">
        <v>-0.571891803586994</v>
      </c>
      <c r="AC257" s="27" t="n">
        <v>0.360781908331534</v>
      </c>
      <c r="AD257" s="28" t="n">
        <f aca="false">Params!$B$6*Params!$B$7*$R257</f>
        <v>39.64906419</v>
      </c>
      <c r="AE257" s="29" t="n">
        <f aca="false">MIN(Params!$B$9,AD257/Params!$B$4)</f>
        <v>0.06</v>
      </c>
      <c r="AF257" s="29" t="n">
        <f aca="false">MIN(Params!$B$9,AD257/Params!$B$5)</f>
        <v>0.03964906419</v>
      </c>
      <c r="AG257" s="28" t="n">
        <f aca="false">IF($R257&gt;0,Params!$B$9*Params!$B$4/(Params!$B$6*$R257),"n/a")</f>
        <v>2.26991486025285</v>
      </c>
      <c r="AH257" s="28" t="n">
        <f aca="false">IF($R257&gt;0,Params!$B$9*Params!$B$5/(Params!$B$6*$R257),"n/a")</f>
        <v>4.53982972050569</v>
      </c>
      <c r="AI257" s="28" t="n">
        <f aca="false">IF($R257&gt;0,Params!$B$15*Params!$B$4/(Params!$B$6*$R257),"n/a")</f>
        <v>0.756638286750949</v>
      </c>
      <c r="AJ257" s="29" t="n">
        <f aca="false">MIN(Params!$B$9,AD257*Params!$B$8/Params!$B$4)</f>
        <v>0.03964906419</v>
      </c>
      <c r="AK257" s="28" t="n">
        <f aca="false">IF($R257&gt;0,Params!$B$9*Params!$B$4/(Params!$B$6*$R257*Params!$B$8),"n/a")</f>
        <v>4.53982972050569</v>
      </c>
      <c r="AL257" s="27" t="str">
        <f aca="false">IFERROR(ciq($D257,"IQ_PE_EXCL"),"")</f>
        <v/>
      </c>
      <c r="AM257" s="27" t="str">
        <f aca="false">IFERROR(ciq($D257,"IQ_PE_EXCL_FWD_CIQ"),"")</f>
        <v/>
      </c>
      <c r="AN257" s="27" t="str">
        <f aca="false">IFERROR(ciq($D257,"IQ_PBV"),"")</f>
        <v/>
      </c>
      <c r="AO257" s="27" t="str">
        <f aca="false">IFERROR(ciq($D257,"IQ_TEV_EBITDA"),"")</f>
        <v/>
      </c>
      <c r="AP257" s="24" t="str">
        <f aca="false">IFERROR(ciq($D257,"IQ_RETURN_EQUITY"),"")</f>
        <v/>
      </c>
      <c r="AQ257" s="24" t="str">
        <f aca="false">IFERROR(ciq($D257,"IQ_RETURN_CAPITAL"),"")</f>
        <v/>
      </c>
      <c r="AR257" s="24" t="str">
        <f aca="false">IFERROR(ciq($D257,"IQ_TOTAL_REV_1YR_ANN_GROWTH"),"")</f>
        <v/>
      </c>
      <c r="AS257" s="24" t="str">
        <f aca="false">IFERROR(ciq($D257,"IQ_EPS_1YR_ANN_GROWTH"),"")</f>
        <v/>
      </c>
      <c r="AT257" s="24" t="str">
        <f aca="false">IFERROR(ciq($D257,"IQ_DIVIDEND_YIELD"),"")</f>
        <v/>
      </c>
      <c r="AU257" s="24" t="str">
        <f aca="false">IFERROR(ciq($D257,"IQ_NET_DEBT"),"")</f>
        <v/>
      </c>
    </row>
    <row r="258" customFormat="false" ht="15" hidden="false" customHeight="false" outlineLevel="0" collapsed="false">
      <c r="A258" s="8" t="s">
        <v>1451</v>
      </c>
      <c r="B258" s="6" t="s">
        <v>1452</v>
      </c>
      <c r="C258" s="8" t="s">
        <v>73</v>
      </c>
      <c r="D258" s="8" t="s">
        <v>1453</v>
      </c>
      <c r="E258" s="8" t="s">
        <v>1454</v>
      </c>
      <c r="F258" s="6" t="s">
        <v>632</v>
      </c>
      <c r="G258" s="8" t="s">
        <v>56</v>
      </c>
      <c r="H258" s="8" t="s">
        <v>66</v>
      </c>
      <c r="I258" s="8"/>
      <c r="J258" s="8"/>
      <c r="K258" s="8"/>
      <c r="L258" s="8"/>
      <c r="M258" s="23" t="n">
        <v>29900</v>
      </c>
      <c r="N258" s="23" t="n">
        <v>10954.034533</v>
      </c>
      <c r="O258" s="23" t="n">
        <v>12970.30361395</v>
      </c>
      <c r="P258" s="24" t="n">
        <v>57.79188755</v>
      </c>
      <c r="Q258" s="24" t="n">
        <v>51.8955040625</v>
      </c>
      <c r="R258" s="24" t="n">
        <v>51.8955040625</v>
      </c>
      <c r="S258" s="25" t="n">
        <v>0.00527585405869379</v>
      </c>
      <c r="T258" s="26" t="n">
        <v>0.918521423478968</v>
      </c>
      <c r="U258" s="23" t="n">
        <v>1</v>
      </c>
      <c r="V258" s="26" t="n">
        <v>-0.06</v>
      </c>
      <c r="W258" s="26" t="n">
        <v>-0.154291147823809</v>
      </c>
      <c r="X258" s="26" t="n">
        <v>-0.134802432088</v>
      </c>
      <c r="Y258" s="26" t="n">
        <v>-0.188711680674201</v>
      </c>
      <c r="Z258" s="26" t="n">
        <v>0.675146655316109</v>
      </c>
      <c r="AA258" s="26" t="n">
        <v>0.733081326002041</v>
      </c>
      <c r="AB258" s="26" t="n">
        <v>-0.388631642523917</v>
      </c>
      <c r="AC258" s="27" t="n">
        <v>0.838285603121749</v>
      </c>
      <c r="AD258" s="28" t="n">
        <f aca="false">Params!$B$6*Params!$B$7*$R258</f>
        <v>31.1373024375</v>
      </c>
      <c r="AE258" s="29" t="n">
        <f aca="false">MIN(Params!$B$9,AD258/Params!$B$4)</f>
        <v>0.06</v>
      </c>
      <c r="AF258" s="29" t="n">
        <f aca="false">MIN(Params!$B$9,AD258/Params!$B$5)</f>
        <v>0.0311373024375</v>
      </c>
      <c r="AG258" s="28" t="n">
        <f aca="false">IF($R258&gt;0,Params!$B$9*Params!$B$4/(Params!$B$6*$R258),"n/a")</f>
        <v>2.89042379893542</v>
      </c>
      <c r="AH258" s="28" t="n">
        <f aca="false">IF($R258&gt;0,Params!$B$9*Params!$B$5/(Params!$B$6*$R258),"n/a")</f>
        <v>5.78084759787085</v>
      </c>
      <c r="AI258" s="28" t="n">
        <f aca="false">IF($R258&gt;0,Params!$B$15*Params!$B$4/(Params!$B$6*$R258),"n/a")</f>
        <v>0.963474599645141</v>
      </c>
      <c r="AJ258" s="29" t="n">
        <f aca="false">MIN(Params!$B$9,AD258*Params!$B$8/Params!$B$4)</f>
        <v>0.0311373024375</v>
      </c>
      <c r="AK258" s="28" t="n">
        <f aca="false">IF($R258&gt;0,Params!$B$9*Params!$B$4/(Params!$B$6*$R258*Params!$B$8),"n/a")</f>
        <v>5.78084759787085</v>
      </c>
      <c r="AL258" s="27" t="str">
        <f aca="false">IFERROR(ciq($D258,"IQ_PE_EXCL"),"")</f>
        <v/>
      </c>
      <c r="AM258" s="27" t="str">
        <f aca="false">IFERROR(ciq($D258,"IQ_PE_EXCL_FWD_CIQ"),"")</f>
        <v/>
      </c>
      <c r="AN258" s="27" t="str">
        <f aca="false">IFERROR(ciq($D258,"IQ_PBV"),"")</f>
        <v/>
      </c>
      <c r="AO258" s="27" t="str">
        <f aca="false">IFERROR(ciq($D258,"IQ_TEV_EBITDA"),"")</f>
        <v/>
      </c>
      <c r="AP258" s="24" t="str">
        <f aca="false">IFERROR(ciq($D258,"IQ_RETURN_EQUITY"),"")</f>
        <v/>
      </c>
      <c r="AQ258" s="24" t="str">
        <f aca="false">IFERROR(ciq($D258,"IQ_RETURN_CAPITAL"),"")</f>
        <v/>
      </c>
      <c r="AR258" s="24" t="str">
        <f aca="false">IFERROR(ciq($D258,"IQ_TOTAL_REV_1YR_ANN_GROWTH"),"")</f>
        <v/>
      </c>
      <c r="AS258" s="24" t="str">
        <f aca="false">IFERROR(ciq($D258,"IQ_EPS_1YR_ANN_GROWTH"),"")</f>
        <v/>
      </c>
      <c r="AT258" s="24" t="str">
        <f aca="false">IFERROR(ciq($D258,"IQ_DIVIDEND_YIELD"),"")</f>
        <v/>
      </c>
      <c r="AU258" s="24" t="str">
        <f aca="false">IFERROR(ciq($D258,"IQ_NET_DEBT"),"")</f>
        <v/>
      </c>
    </row>
    <row r="259" customFormat="false" ht="15" hidden="false" customHeight="false" outlineLevel="0" collapsed="false">
      <c r="A259" s="8" t="s">
        <v>1455</v>
      </c>
      <c r="B259" s="6" t="s">
        <v>1456</v>
      </c>
      <c r="C259" s="8" t="s">
        <v>73</v>
      </c>
      <c r="D259" s="8" t="s">
        <v>1457</v>
      </c>
      <c r="E259" s="8" t="s">
        <v>1458</v>
      </c>
      <c r="F259" s="8"/>
      <c r="G259" s="8" t="s">
        <v>56</v>
      </c>
      <c r="H259" s="8" t="s">
        <v>66</v>
      </c>
      <c r="I259" s="8"/>
      <c r="J259" s="8"/>
      <c r="K259" s="8"/>
      <c r="L259" s="8" t="s">
        <v>514</v>
      </c>
      <c r="M259" s="23" t="n">
        <v>18400</v>
      </c>
      <c r="N259" s="23" t="n">
        <v>10644.117744</v>
      </c>
      <c r="O259" s="23" t="n">
        <v>10683.16545855</v>
      </c>
      <c r="P259" s="24" t="n">
        <v>93.0268523975</v>
      </c>
      <c r="Q259" s="24" t="n">
        <v>91.8657764333333</v>
      </c>
      <c r="R259" s="24" t="n">
        <v>91.8657764333333</v>
      </c>
      <c r="S259" s="25" t="n">
        <v>0.00873974289225976</v>
      </c>
      <c r="T259" s="26" t="n">
        <v>1.24950125366694</v>
      </c>
      <c r="U259" s="23" t="n">
        <v>2</v>
      </c>
      <c r="V259" s="26" t="n">
        <v>-0.04</v>
      </c>
      <c r="W259" s="26" t="n">
        <v>0.211515472796585</v>
      </c>
      <c r="X259" s="26" t="n">
        <v>0.11414436712125</v>
      </c>
      <c r="Y259" s="26" t="n">
        <v>-0.0174087645769563</v>
      </c>
      <c r="Z259" s="26" t="n">
        <v>-0.0709296493932605</v>
      </c>
      <c r="AA259" s="26" t="n">
        <v>0.0893278528628729</v>
      </c>
      <c r="AB259" s="26" t="n">
        <v>-0.374828109464047</v>
      </c>
      <c r="AC259" s="27" t="n">
        <v>1.21567746070417</v>
      </c>
      <c r="AD259" s="28" t="n">
        <f aca="false">Params!$B$6*Params!$B$7*$R259</f>
        <v>55.11946586</v>
      </c>
      <c r="AE259" s="29" t="n">
        <f aca="false">MIN(Params!$B$9,AD259/Params!$B$4)</f>
        <v>0.06</v>
      </c>
      <c r="AF259" s="29" t="n">
        <f aca="false">MIN(Params!$B$9,AD259/Params!$B$5)</f>
        <v>0.05511946586</v>
      </c>
      <c r="AG259" s="28" t="n">
        <f aca="false">IF($R259&gt;0,Params!$B$9*Params!$B$4/(Params!$B$6*$R259),"n/a")</f>
        <v>1.63281698390537</v>
      </c>
      <c r="AH259" s="28" t="n">
        <f aca="false">IF($R259&gt;0,Params!$B$9*Params!$B$5/(Params!$B$6*$R259),"n/a")</f>
        <v>3.26563396781073</v>
      </c>
      <c r="AI259" s="28" t="n">
        <f aca="false">IF($R259&gt;0,Params!$B$15*Params!$B$4/(Params!$B$6*$R259),"n/a")</f>
        <v>0.544272327968455</v>
      </c>
      <c r="AJ259" s="29" t="n">
        <f aca="false">MIN(Params!$B$9,AD259*Params!$B$8/Params!$B$4)</f>
        <v>0.05511946586</v>
      </c>
      <c r="AK259" s="28" t="n">
        <f aca="false">IF($R259&gt;0,Params!$B$9*Params!$B$4/(Params!$B$6*$R259*Params!$B$8),"n/a")</f>
        <v>3.26563396781073</v>
      </c>
      <c r="AL259" s="27" t="str">
        <f aca="false">IFERROR(ciq($D259,"IQ_PE_EXCL"),"")</f>
        <v/>
      </c>
      <c r="AM259" s="27" t="str">
        <f aca="false">IFERROR(ciq($D259,"IQ_PE_EXCL_FWD_CIQ"),"")</f>
        <v/>
      </c>
      <c r="AN259" s="27" t="str">
        <f aca="false">IFERROR(ciq($D259,"IQ_PBV"),"")</f>
        <v/>
      </c>
      <c r="AO259" s="27" t="str">
        <f aca="false">IFERROR(ciq($D259,"IQ_TEV_EBITDA"),"")</f>
        <v/>
      </c>
      <c r="AP259" s="24" t="str">
        <f aca="false">IFERROR(ciq($D259,"IQ_RETURN_EQUITY"),"")</f>
        <v/>
      </c>
      <c r="AQ259" s="24" t="str">
        <f aca="false">IFERROR(ciq($D259,"IQ_RETURN_CAPITAL"),"")</f>
        <v/>
      </c>
      <c r="AR259" s="24" t="str">
        <f aca="false">IFERROR(ciq($D259,"IQ_TOTAL_REV_1YR_ANN_GROWTH"),"")</f>
        <v/>
      </c>
      <c r="AS259" s="24" t="str">
        <f aca="false">IFERROR(ciq($D259,"IQ_EPS_1YR_ANN_GROWTH"),"")</f>
        <v/>
      </c>
      <c r="AT259" s="24" t="str">
        <f aca="false">IFERROR(ciq($D259,"IQ_DIVIDEND_YIELD"),"")</f>
        <v/>
      </c>
      <c r="AU259" s="24" t="str">
        <f aca="false">IFERROR(ciq($D259,"IQ_NET_DEBT"),"")</f>
        <v/>
      </c>
    </row>
    <row r="260" customFormat="false" ht="15" hidden="false" customHeight="false" outlineLevel="0" collapsed="false">
      <c r="A260" s="8" t="s">
        <v>371</v>
      </c>
      <c r="B260" s="6" t="s">
        <v>372</v>
      </c>
      <c r="C260" s="8" t="s">
        <v>72</v>
      </c>
      <c r="D260" s="8" t="s">
        <v>1459</v>
      </c>
      <c r="E260" s="8" t="s">
        <v>1460</v>
      </c>
      <c r="F260" s="8" t="s">
        <v>595</v>
      </c>
      <c r="G260" s="8" t="s">
        <v>56</v>
      </c>
      <c r="H260" s="8" t="s">
        <v>66</v>
      </c>
      <c r="I260" s="8" t="s">
        <v>508</v>
      </c>
      <c r="J260" s="8"/>
      <c r="K260" s="8"/>
      <c r="L260" s="8" t="s">
        <v>346</v>
      </c>
      <c r="M260" s="23" t="n">
        <v>69200</v>
      </c>
      <c r="N260" s="23" t="n">
        <v>10465.43086</v>
      </c>
      <c r="O260" s="23" t="n">
        <v>8755.346185875</v>
      </c>
      <c r="P260" s="24" t="n">
        <v>130.8025356125</v>
      </c>
      <c r="Q260" s="24" t="n">
        <v>92.2474334083333</v>
      </c>
      <c r="R260" s="24" t="n">
        <v>92.2474334083333</v>
      </c>
      <c r="S260" s="25" t="n">
        <v>0.0124985332531737</v>
      </c>
      <c r="T260" s="26" t="n">
        <v>1.22906211274413</v>
      </c>
      <c r="U260" s="23" t="n">
        <v>1</v>
      </c>
      <c r="V260" s="26" t="n">
        <v>-0.06</v>
      </c>
      <c r="W260" s="26" t="n">
        <v>0.753973976707389</v>
      </c>
      <c r="X260" s="26" t="n">
        <v>0.123405471352943</v>
      </c>
      <c r="Y260" s="26" t="n">
        <v>1.33414789316397</v>
      </c>
      <c r="Z260" s="26" t="n">
        <v>1.90711266663784</v>
      </c>
      <c r="AA260" s="26" t="n">
        <v>1.9382336120089</v>
      </c>
      <c r="AB260" s="26" t="n">
        <v>-0.282149224799028</v>
      </c>
      <c r="AC260" s="27" t="n">
        <v>0.589369162654645</v>
      </c>
      <c r="AD260" s="28" t="n">
        <f aca="false">Params!$B$6*Params!$B$7*$R260</f>
        <v>55.348460045</v>
      </c>
      <c r="AE260" s="29" t="n">
        <f aca="false">MIN(Params!$B$9,AD260/Params!$B$4)</f>
        <v>0.06</v>
      </c>
      <c r="AF260" s="29" t="n">
        <f aca="false">MIN(Params!$B$9,AD260/Params!$B$5)</f>
        <v>0.055348460045</v>
      </c>
      <c r="AG260" s="28" t="n">
        <f aca="false">IF($R260&gt;0,Params!$B$9*Params!$B$4/(Params!$B$6*$R260),"n/a")</f>
        <v>1.62606150066013</v>
      </c>
      <c r="AH260" s="28" t="n">
        <f aca="false">IF($R260&gt;0,Params!$B$9*Params!$B$5/(Params!$B$6*$R260),"n/a")</f>
        <v>3.25212300132026</v>
      </c>
      <c r="AI260" s="28" t="n">
        <f aca="false">IF($R260&gt;0,Params!$B$15*Params!$B$4/(Params!$B$6*$R260),"n/a")</f>
        <v>0.542020500220044</v>
      </c>
      <c r="AJ260" s="29" t="n">
        <f aca="false">MIN(Params!$B$9,AD260*Params!$B$8/Params!$B$4)</f>
        <v>0.055348460045</v>
      </c>
      <c r="AK260" s="28" t="n">
        <f aca="false">IF($R260&gt;0,Params!$B$9*Params!$B$4/(Params!$B$6*$R260*Params!$B$8),"n/a")</f>
        <v>3.25212300132026</v>
      </c>
      <c r="AL260" s="27" t="str">
        <f aca="false">IFERROR(ciq($D260,"IQ_PE_EXCL"),"")</f>
        <v/>
      </c>
      <c r="AM260" s="27" t="str">
        <f aca="false">IFERROR(ciq($D260,"IQ_PE_EXCL_FWD_CIQ"),"")</f>
        <v/>
      </c>
      <c r="AN260" s="27" t="str">
        <f aca="false">IFERROR(ciq($D260,"IQ_PBV"),"")</f>
        <v/>
      </c>
      <c r="AO260" s="27" t="str">
        <f aca="false">IFERROR(ciq($D260,"IQ_TEV_EBITDA"),"")</f>
        <v/>
      </c>
      <c r="AP260" s="24" t="str">
        <f aca="false">IFERROR(ciq($D260,"IQ_RETURN_EQUITY"),"")</f>
        <v/>
      </c>
      <c r="AQ260" s="24" t="str">
        <f aca="false">IFERROR(ciq($D260,"IQ_RETURN_CAPITAL"),"")</f>
        <v/>
      </c>
      <c r="AR260" s="24" t="str">
        <f aca="false">IFERROR(ciq($D260,"IQ_TOTAL_REV_1YR_ANN_GROWTH"),"")</f>
        <v/>
      </c>
      <c r="AS260" s="24" t="str">
        <f aca="false">IFERROR(ciq($D260,"IQ_EPS_1YR_ANN_GROWTH"),"")</f>
        <v/>
      </c>
      <c r="AT260" s="24" t="str">
        <f aca="false">IFERROR(ciq($D260,"IQ_DIVIDEND_YIELD"),"")</f>
        <v/>
      </c>
      <c r="AU260" s="24" t="str">
        <f aca="false">IFERROR(ciq($D260,"IQ_NET_DEBT"),"")</f>
        <v/>
      </c>
    </row>
    <row r="261" customFormat="false" ht="15" hidden="false" customHeight="false" outlineLevel="0" collapsed="false">
      <c r="A261" s="8" t="s">
        <v>1461</v>
      </c>
      <c r="B261" s="6" t="s">
        <v>1462</v>
      </c>
      <c r="C261" s="8" t="s">
        <v>72</v>
      </c>
      <c r="D261" s="8" t="s">
        <v>1463</v>
      </c>
      <c r="E261" s="8" t="s">
        <v>1464</v>
      </c>
      <c r="F261" s="6" t="s">
        <v>650</v>
      </c>
      <c r="G261" s="8" t="s">
        <v>56</v>
      </c>
      <c r="H261" s="8" t="s">
        <v>66</v>
      </c>
      <c r="I261" s="8"/>
      <c r="J261" s="8"/>
      <c r="K261" s="8"/>
      <c r="L261" s="8" t="s">
        <v>241</v>
      </c>
      <c r="M261" s="23" t="n">
        <v>4680</v>
      </c>
      <c r="N261" s="23" t="n">
        <v>10040.83587</v>
      </c>
      <c r="O261" s="23" t="n">
        <v>10134.164152125</v>
      </c>
      <c r="P261" s="24" t="n">
        <v>91.8359849195</v>
      </c>
      <c r="Q261" s="24" t="n">
        <v>69.381899923</v>
      </c>
      <c r="R261" s="24" t="n">
        <v>69.381899923</v>
      </c>
      <c r="S261" s="25" t="n">
        <v>0.00914624898848187</v>
      </c>
      <c r="T261" s="26" t="n">
        <v>0.688369424640332</v>
      </c>
      <c r="U261" s="23" t="n">
        <v>0</v>
      </c>
      <c r="V261" s="26" t="n">
        <v>-0.06</v>
      </c>
      <c r="W261" s="26" t="n">
        <v>0.0587361269647708</v>
      </c>
      <c r="X261" s="26" t="n">
        <v>-0.173353360370875</v>
      </c>
      <c r="Y261" s="26" t="n">
        <v>-0.36682205492194</v>
      </c>
      <c r="Z261" s="26" t="n">
        <v>-0.00345290100390872</v>
      </c>
      <c r="AA261" s="26" t="n">
        <v>-0.185218311566573</v>
      </c>
      <c r="AB261" s="26" t="n">
        <v>-0.510560250990994</v>
      </c>
      <c r="AC261" s="27" t="n">
        <v>0.469996438061851</v>
      </c>
      <c r="AD261" s="28" t="n">
        <f aca="false">Params!$B$6*Params!$B$7*$R261</f>
        <v>41.6291399538</v>
      </c>
      <c r="AE261" s="29" t="n">
        <f aca="false">MIN(Params!$B$9,AD261/Params!$B$4)</f>
        <v>0.06</v>
      </c>
      <c r="AF261" s="29" t="n">
        <f aca="false">MIN(Params!$B$9,AD261/Params!$B$5)</f>
        <v>0.0416291399538</v>
      </c>
      <c r="AG261" s="28" t="n">
        <f aca="false">IF($R261&gt;0,Params!$B$9*Params!$B$4/(Params!$B$6*$R261),"n/a")</f>
        <v>2.16194713846796</v>
      </c>
      <c r="AH261" s="28" t="n">
        <f aca="false">IF($R261&gt;0,Params!$B$9*Params!$B$5/(Params!$B$6*$R261),"n/a")</f>
        <v>4.32389427693591</v>
      </c>
      <c r="AI261" s="28" t="n">
        <f aca="false">IF($R261&gt;0,Params!$B$15*Params!$B$4/(Params!$B$6*$R261),"n/a")</f>
        <v>0.720649046155986</v>
      </c>
      <c r="AJ261" s="29" t="n">
        <f aca="false">MIN(Params!$B$9,AD261*Params!$B$8/Params!$B$4)</f>
        <v>0.0416291399538</v>
      </c>
      <c r="AK261" s="28" t="n">
        <f aca="false">IF($R261&gt;0,Params!$B$9*Params!$B$4/(Params!$B$6*$R261*Params!$B$8),"n/a")</f>
        <v>4.32389427693591</v>
      </c>
      <c r="AL261" s="27" t="str">
        <f aca="false">IFERROR(ciq($D261,"IQ_PE_EXCL"),"")</f>
        <v/>
      </c>
      <c r="AM261" s="27" t="str">
        <f aca="false">IFERROR(ciq($D261,"IQ_PE_EXCL_FWD_CIQ"),"")</f>
        <v/>
      </c>
      <c r="AN261" s="27" t="str">
        <f aca="false">IFERROR(ciq($D261,"IQ_PBV"),"")</f>
        <v/>
      </c>
      <c r="AO261" s="27" t="str">
        <f aca="false">IFERROR(ciq($D261,"IQ_TEV_EBITDA"),"")</f>
        <v/>
      </c>
      <c r="AP261" s="24" t="str">
        <f aca="false">IFERROR(ciq($D261,"IQ_RETURN_EQUITY"),"")</f>
        <v/>
      </c>
      <c r="AQ261" s="24" t="str">
        <f aca="false">IFERROR(ciq($D261,"IQ_RETURN_CAPITAL"),"")</f>
        <v/>
      </c>
      <c r="AR261" s="24" t="str">
        <f aca="false">IFERROR(ciq($D261,"IQ_TOTAL_REV_1YR_ANN_GROWTH"),"")</f>
        <v/>
      </c>
      <c r="AS261" s="24" t="str">
        <f aca="false">IFERROR(ciq($D261,"IQ_EPS_1YR_ANN_GROWTH"),"")</f>
        <v/>
      </c>
      <c r="AT261" s="24" t="str">
        <f aca="false">IFERROR(ciq($D261,"IQ_DIVIDEND_YIELD"),"")</f>
        <v/>
      </c>
      <c r="AU261" s="24" t="str">
        <f aca="false">IFERROR(ciq($D261,"IQ_NET_DEBT"),"")</f>
        <v/>
      </c>
    </row>
    <row r="262" customFormat="false" ht="15" hidden="false" customHeight="false" outlineLevel="0" collapsed="false">
      <c r="A262" s="8" t="s">
        <v>1465</v>
      </c>
      <c r="B262" s="6" t="s">
        <v>1466</v>
      </c>
      <c r="C262" s="8" t="s">
        <v>72</v>
      </c>
      <c r="D262" s="8" t="s">
        <v>1467</v>
      </c>
      <c r="E262" s="8" t="s">
        <v>1468</v>
      </c>
      <c r="F262" s="6" t="s">
        <v>1469</v>
      </c>
      <c r="G262" s="8" t="s">
        <v>56</v>
      </c>
      <c r="H262" s="8" t="s">
        <v>66</v>
      </c>
      <c r="I262" s="8"/>
      <c r="J262" s="8"/>
      <c r="K262" s="8"/>
      <c r="L262" s="8" t="s">
        <v>241</v>
      </c>
      <c r="M262" s="23" t="n">
        <v>12560</v>
      </c>
      <c r="N262" s="23" t="n">
        <v>10013.5175248</v>
      </c>
      <c r="O262" s="23" t="n">
        <v>10468.74988998</v>
      </c>
      <c r="P262" s="24" t="n">
        <v>52.59091535</v>
      </c>
      <c r="Q262" s="24" t="n">
        <v>68.9318350983333</v>
      </c>
      <c r="R262" s="24" t="n">
        <v>52.59091535</v>
      </c>
      <c r="S262" s="25" t="n">
        <v>0.00525199214159766</v>
      </c>
      <c r="T262" s="26" t="n">
        <v>0.589203090623259</v>
      </c>
      <c r="U262" s="23" t="n">
        <v>0</v>
      </c>
      <c r="V262" s="26" t="n">
        <v>-0.06</v>
      </c>
      <c r="W262" s="26" t="n">
        <v>0.0226079814147406</v>
      </c>
      <c r="X262" s="26" t="n">
        <v>-0.27500181910978</v>
      </c>
      <c r="Y262" s="26" t="n">
        <v>-0.341876351397728</v>
      </c>
      <c r="Z262" s="26" t="n">
        <v>-0.460057534644349</v>
      </c>
      <c r="AA262" s="26" t="n">
        <v>-0.234526505266474</v>
      </c>
      <c r="AB262" s="26" t="n">
        <v>-0.52706381470443</v>
      </c>
      <c r="AC262" s="27" t="n">
        <v>0.50545010095925</v>
      </c>
      <c r="AD262" s="28" t="n">
        <f aca="false">Params!$B$6*Params!$B$7*$R262</f>
        <v>31.55454921</v>
      </c>
      <c r="AE262" s="29" t="n">
        <f aca="false">MIN(Params!$B$9,AD262/Params!$B$4)</f>
        <v>0.06</v>
      </c>
      <c r="AF262" s="29" t="n">
        <f aca="false">MIN(Params!$B$9,AD262/Params!$B$5)</f>
        <v>0.03155454921</v>
      </c>
      <c r="AG262" s="28" t="n">
        <f aca="false">IF($R262&gt;0,Params!$B$9*Params!$B$4/(Params!$B$6*$R262),"n/a")</f>
        <v>2.85220363634534</v>
      </c>
      <c r="AH262" s="28" t="n">
        <f aca="false">IF($R262&gt;0,Params!$B$9*Params!$B$5/(Params!$B$6*$R262),"n/a")</f>
        <v>5.70440727269068</v>
      </c>
      <c r="AI262" s="28" t="n">
        <f aca="false">IF($R262&gt;0,Params!$B$15*Params!$B$4/(Params!$B$6*$R262),"n/a")</f>
        <v>0.950734545448447</v>
      </c>
      <c r="AJ262" s="29" t="n">
        <f aca="false">MIN(Params!$B$9,AD262*Params!$B$8/Params!$B$4)</f>
        <v>0.03155454921</v>
      </c>
      <c r="AK262" s="28" t="n">
        <f aca="false">IF($R262&gt;0,Params!$B$9*Params!$B$4/(Params!$B$6*$R262*Params!$B$8),"n/a")</f>
        <v>5.70440727269068</v>
      </c>
      <c r="AL262" s="27" t="str">
        <f aca="false">IFERROR(ciq($D262,"IQ_PE_EXCL"),"")</f>
        <v/>
      </c>
      <c r="AM262" s="27" t="str">
        <f aca="false">IFERROR(ciq($D262,"IQ_PE_EXCL_FWD_CIQ"),"")</f>
        <v/>
      </c>
      <c r="AN262" s="27" t="str">
        <f aca="false">IFERROR(ciq($D262,"IQ_PBV"),"")</f>
        <v/>
      </c>
      <c r="AO262" s="27" t="str">
        <f aca="false">IFERROR(ciq($D262,"IQ_TEV_EBITDA"),"")</f>
        <v/>
      </c>
      <c r="AP262" s="24" t="str">
        <f aca="false">IFERROR(ciq($D262,"IQ_RETURN_EQUITY"),"")</f>
        <v/>
      </c>
      <c r="AQ262" s="24" t="str">
        <f aca="false">IFERROR(ciq($D262,"IQ_RETURN_CAPITAL"),"")</f>
        <v/>
      </c>
      <c r="AR262" s="24" t="str">
        <f aca="false">IFERROR(ciq($D262,"IQ_TOTAL_REV_1YR_ANN_GROWTH"),"")</f>
        <v/>
      </c>
      <c r="AS262" s="24" t="str">
        <f aca="false">IFERROR(ciq($D262,"IQ_EPS_1YR_ANN_GROWTH"),"")</f>
        <v/>
      </c>
      <c r="AT262" s="24" t="str">
        <f aca="false">IFERROR(ciq($D262,"IQ_DIVIDEND_YIELD"),"")</f>
        <v/>
      </c>
      <c r="AU262" s="24" t="str">
        <f aca="false">IFERROR(ciq($D262,"IQ_NET_DEBT"),"")</f>
        <v/>
      </c>
    </row>
    <row r="263" customFormat="false" ht="15" hidden="false" customHeight="false" outlineLevel="0" collapsed="false">
      <c r="A263" s="8" t="s">
        <v>1470</v>
      </c>
      <c r="B263" s="6" t="s">
        <v>1471</v>
      </c>
      <c r="C263" s="8" t="s">
        <v>74</v>
      </c>
      <c r="D263" s="8" t="s">
        <v>1472</v>
      </c>
      <c r="E263" s="8" t="s">
        <v>1473</v>
      </c>
      <c r="F263" s="6" t="s">
        <v>852</v>
      </c>
      <c r="G263" s="8" t="s">
        <v>56</v>
      </c>
      <c r="H263" s="8" t="s">
        <v>66</v>
      </c>
      <c r="I263" s="8"/>
      <c r="J263" s="8"/>
      <c r="K263" s="8"/>
      <c r="L263" s="8"/>
      <c r="M263" s="23" t="n">
        <v>21800</v>
      </c>
      <c r="N263" s="23" t="n">
        <v>9860.23156</v>
      </c>
      <c r="O263" s="23" t="n">
        <v>9034.5502429</v>
      </c>
      <c r="P263" s="24" t="n">
        <v>118.4766091875</v>
      </c>
      <c r="Q263" s="24" t="n">
        <v>84.93295517</v>
      </c>
      <c r="R263" s="24" t="n">
        <v>84.93295517</v>
      </c>
      <c r="S263" s="25" t="n">
        <v>0.0120156011009036</v>
      </c>
      <c r="T263" s="26" t="n">
        <v>0.661461183149517</v>
      </c>
      <c r="U263" s="23" t="n">
        <v>1</v>
      </c>
      <c r="V263" s="26" t="n">
        <v>-0.06</v>
      </c>
      <c r="W263" s="26" t="n">
        <v>0.189987380910019</v>
      </c>
      <c r="X263" s="26" t="n">
        <v>0.229785194335448</v>
      </c>
      <c r="Y263" s="26" t="n">
        <v>0.177849908430177</v>
      </c>
      <c r="Z263" s="26" t="n">
        <v>0.271211378227992</v>
      </c>
      <c r="AA263" s="26" t="n">
        <v>0.270391215957949</v>
      </c>
      <c r="AB263" s="26" t="n">
        <v>-0.270752351183003</v>
      </c>
      <c r="AC263" s="27" t="n">
        <v>0.968646425960324</v>
      </c>
      <c r="AD263" s="28" t="n">
        <f aca="false">Params!$B$6*Params!$B$7*$R263</f>
        <v>50.959773102</v>
      </c>
      <c r="AE263" s="29" t="n">
        <f aca="false">MIN(Params!$B$9,AD263/Params!$B$4)</f>
        <v>0.06</v>
      </c>
      <c r="AF263" s="29" t="n">
        <f aca="false">MIN(Params!$B$9,AD263/Params!$B$5)</f>
        <v>0.050959773102</v>
      </c>
      <c r="AG263" s="28" t="n">
        <f aca="false">IF($R263&gt;0,Params!$B$9*Params!$B$4/(Params!$B$6*$R263),"n/a")</f>
        <v>1.76609891531224</v>
      </c>
      <c r="AH263" s="28" t="n">
        <f aca="false">IF($R263&gt;0,Params!$B$9*Params!$B$5/(Params!$B$6*$R263),"n/a")</f>
        <v>3.53219783062448</v>
      </c>
      <c r="AI263" s="28" t="n">
        <f aca="false">IF($R263&gt;0,Params!$B$15*Params!$B$4/(Params!$B$6*$R263),"n/a")</f>
        <v>0.588699638437413</v>
      </c>
      <c r="AJ263" s="29" t="n">
        <f aca="false">MIN(Params!$B$9,AD263*Params!$B$8/Params!$B$4)</f>
        <v>0.050959773102</v>
      </c>
      <c r="AK263" s="28" t="n">
        <f aca="false">IF($R263&gt;0,Params!$B$9*Params!$B$4/(Params!$B$6*$R263*Params!$B$8),"n/a")</f>
        <v>3.53219783062448</v>
      </c>
      <c r="AL263" s="27" t="str">
        <f aca="false">IFERROR(ciq($D263,"IQ_PE_EXCL"),"")</f>
        <v/>
      </c>
      <c r="AM263" s="27" t="str">
        <f aca="false">IFERROR(ciq($D263,"IQ_PE_EXCL_FWD_CIQ"),"")</f>
        <v/>
      </c>
      <c r="AN263" s="27" t="str">
        <f aca="false">IFERROR(ciq($D263,"IQ_PBV"),"")</f>
        <v/>
      </c>
      <c r="AO263" s="27" t="str">
        <f aca="false">IFERROR(ciq($D263,"IQ_TEV_EBITDA"),"")</f>
        <v/>
      </c>
      <c r="AP263" s="24" t="str">
        <f aca="false">IFERROR(ciq($D263,"IQ_RETURN_EQUITY"),"")</f>
        <v/>
      </c>
      <c r="AQ263" s="24" t="str">
        <f aca="false">IFERROR(ciq($D263,"IQ_RETURN_CAPITAL"),"")</f>
        <v/>
      </c>
      <c r="AR263" s="24" t="str">
        <f aca="false">IFERROR(ciq($D263,"IQ_TOTAL_REV_1YR_ANN_GROWTH"),"")</f>
        <v/>
      </c>
      <c r="AS263" s="24" t="str">
        <f aca="false">IFERROR(ciq($D263,"IQ_EPS_1YR_ANN_GROWTH"),"")</f>
        <v/>
      </c>
      <c r="AT263" s="24" t="str">
        <f aca="false">IFERROR(ciq($D263,"IQ_DIVIDEND_YIELD"),"")</f>
        <v/>
      </c>
      <c r="AU263" s="24" t="str">
        <f aca="false">IFERROR(ciq($D263,"IQ_NET_DEBT"),"")</f>
        <v/>
      </c>
    </row>
    <row r="264" customFormat="false" ht="15" hidden="false" customHeight="false" outlineLevel="0" collapsed="false">
      <c r="A264" s="8" t="s">
        <v>1474</v>
      </c>
      <c r="B264" s="6" t="s">
        <v>1475</v>
      </c>
      <c r="C264" s="8" t="s">
        <v>73</v>
      </c>
      <c r="D264" s="8" t="s">
        <v>1476</v>
      </c>
      <c r="E264" s="8" t="s">
        <v>1477</v>
      </c>
      <c r="F264" s="6" t="s">
        <v>513</v>
      </c>
      <c r="G264" s="8" t="s">
        <v>56</v>
      </c>
      <c r="H264" s="8" t="s">
        <v>66</v>
      </c>
      <c r="I264" s="8"/>
      <c r="J264" s="8"/>
      <c r="K264" s="8"/>
      <c r="L264" s="8"/>
      <c r="M264" s="23" t="n">
        <v>49550</v>
      </c>
      <c r="N264" s="23" t="n">
        <v>9799.837467</v>
      </c>
      <c r="O264" s="23" t="n">
        <v>10902.93723435</v>
      </c>
      <c r="P264" s="24" t="n">
        <v>99.5114144</v>
      </c>
      <c r="Q264" s="24" t="n">
        <v>108.8910359375</v>
      </c>
      <c r="R264" s="24" t="n">
        <v>99.5114144</v>
      </c>
      <c r="S264" s="25" t="n">
        <v>0.0101543943698143</v>
      </c>
      <c r="T264" s="26" t="n">
        <v>1.0051887053801</v>
      </c>
      <c r="U264" s="23" t="n">
        <v>1</v>
      </c>
      <c r="V264" s="26" t="n">
        <v>-0.06</v>
      </c>
      <c r="W264" s="26" t="n">
        <v>-0.113446455080095</v>
      </c>
      <c r="X264" s="26" t="n">
        <v>-0.215829485559393</v>
      </c>
      <c r="Y264" s="26" t="n">
        <v>-0.193904820084002</v>
      </c>
      <c r="Z264" s="26" t="n">
        <v>0.150020478316028</v>
      </c>
      <c r="AA264" s="26" t="n">
        <v>1.04317555460248</v>
      </c>
      <c r="AB264" s="26" t="n">
        <v>-0.38898147941883</v>
      </c>
      <c r="AC264" s="27" t="n">
        <v>0.737551096510562</v>
      </c>
      <c r="AD264" s="28" t="n">
        <f aca="false">Params!$B$6*Params!$B$7*$R264</f>
        <v>59.70684864</v>
      </c>
      <c r="AE264" s="29" t="n">
        <f aca="false">MIN(Params!$B$9,AD264/Params!$B$4)</f>
        <v>0.06</v>
      </c>
      <c r="AF264" s="29" t="n">
        <f aca="false">MIN(Params!$B$9,AD264/Params!$B$5)</f>
        <v>0.05970684864</v>
      </c>
      <c r="AG264" s="28" t="n">
        <f aca="false">IF($R264&gt;0,Params!$B$9*Params!$B$4/(Params!$B$6*$R264),"n/a")</f>
        <v>1.50736476719197</v>
      </c>
      <c r="AH264" s="28" t="n">
        <f aca="false">IF($R264&gt;0,Params!$B$9*Params!$B$5/(Params!$B$6*$R264),"n/a")</f>
        <v>3.01472953438395</v>
      </c>
      <c r="AI264" s="28" t="n">
        <f aca="false">IF($R264&gt;0,Params!$B$15*Params!$B$4/(Params!$B$6*$R264),"n/a")</f>
        <v>0.502454922397325</v>
      </c>
      <c r="AJ264" s="29" t="n">
        <f aca="false">MIN(Params!$B$9,AD264*Params!$B$8/Params!$B$4)</f>
        <v>0.05970684864</v>
      </c>
      <c r="AK264" s="28" t="n">
        <f aca="false">IF($R264&gt;0,Params!$B$9*Params!$B$4/(Params!$B$6*$R264*Params!$B$8),"n/a")</f>
        <v>3.01472953438395</v>
      </c>
      <c r="AL264" s="27" t="str">
        <f aca="false">IFERROR(ciq($D264,"IQ_PE_EXCL"),"")</f>
        <v/>
      </c>
      <c r="AM264" s="27" t="str">
        <f aca="false">IFERROR(ciq($D264,"IQ_PE_EXCL_FWD_CIQ"),"")</f>
        <v/>
      </c>
      <c r="AN264" s="27" t="str">
        <f aca="false">IFERROR(ciq($D264,"IQ_PBV"),"")</f>
        <v/>
      </c>
      <c r="AO264" s="27" t="str">
        <f aca="false">IFERROR(ciq($D264,"IQ_TEV_EBITDA"),"")</f>
        <v/>
      </c>
      <c r="AP264" s="24" t="str">
        <f aca="false">IFERROR(ciq($D264,"IQ_RETURN_EQUITY"),"")</f>
        <v/>
      </c>
      <c r="AQ264" s="24" t="str">
        <f aca="false">IFERROR(ciq($D264,"IQ_RETURN_CAPITAL"),"")</f>
        <v/>
      </c>
      <c r="AR264" s="24" t="str">
        <f aca="false">IFERROR(ciq($D264,"IQ_TOTAL_REV_1YR_ANN_GROWTH"),"")</f>
        <v/>
      </c>
      <c r="AS264" s="24" t="str">
        <f aca="false">IFERROR(ciq($D264,"IQ_EPS_1YR_ANN_GROWTH"),"")</f>
        <v/>
      </c>
      <c r="AT264" s="24" t="str">
        <f aca="false">IFERROR(ciq($D264,"IQ_DIVIDEND_YIELD"),"")</f>
        <v/>
      </c>
      <c r="AU264" s="24" t="str">
        <f aca="false">IFERROR(ciq($D264,"IQ_NET_DEBT"),"")</f>
        <v/>
      </c>
    </row>
    <row r="265" customFormat="false" ht="15" hidden="false" customHeight="false" outlineLevel="0" collapsed="false">
      <c r="A265" s="8" t="s">
        <v>1478</v>
      </c>
      <c r="B265" s="6" t="s">
        <v>1479</v>
      </c>
      <c r="C265" s="8" t="s">
        <v>74</v>
      </c>
      <c r="D265" s="8" t="s">
        <v>1480</v>
      </c>
      <c r="E265" s="8" t="s">
        <v>1481</v>
      </c>
      <c r="F265" s="8"/>
      <c r="G265" s="8" t="s">
        <v>56</v>
      </c>
      <c r="H265" s="8" t="s">
        <v>66</v>
      </c>
      <c r="I265" s="8"/>
      <c r="J265" s="8"/>
      <c r="K265" s="8"/>
      <c r="L265" s="8" t="s">
        <v>241</v>
      </c>
      <c r="M265" s="23" t="n">
        <v>8830</v>
      </c>
      <c r="N265" s="23" t="n">
        <v>9425.6068995</v>
      </c>
      <c r="O265" s="23" t="n">
        <v>9284.7031497</v>
      </c>
      <c r="P265" s="24" t="n">
        <v>55.50132316</v>
      </c>
      <c r="Q265" s="24" t="n">
        <v>52.8662050241667</v>
      </c>
      <c r="R265" s="24" t="n">
        <v>52.8662050241667</v>
      </c>
      <c r="S265" s="25" t="n">
        <v>0.00588835538674376</v>
      </c>
      <c r="T265" s="26" t="n">
        <v>0.767017364287566</v>
      </c>
      <c r="U265" s="23" t="n">
        <v>0</v>
      </c>
      <c r="V265" s="26" t="n">
        <v>-0.06</v>
      </c>
      <c r="W265" s="26" t="n">
        <v>0.136531830406613</v>
      </c>
      <c r="X265" s="26" t="n">
        <v>0.0242582574233701</v>
      </c>
      <c r="Y265" s="26" t="n">
        <v>-0.324567397131974</v>
      </c>
      <c r="Z265" s="26" t="n">
        <v>-0.407462500697399</v>
      </c>
      <c r="AA265" s="26" t="n">
        <v>-0.464371007333995</v>
      </c>
      <c r="AB265" s="26" t="n">
        <v>-0.502887716825088</v>
      </c>
      <c r="AC265" s="27" t="n">
        <v>1.17496134205401</v>
      </c>
      <c r="AD265" s="28" t="n">
        <f aca="false">Params!$B$6*Params!$B$7*$R265</f>
        <v>31.7197230145</v>
      </c>
      <c r="AE265" s="29" t="n">
        <f aca="false">MIN(Params!$B$9,AD265/Params!$B$4)</f>
        <v>0.06</v>
      </c>
      <c r="AF265" s="29" t="n">
        <f aca="false">MIN(Params!$B$9,AD265/Params!$B$5)</f>
        <v>0.0317197230145</v>
      </c>
      <c r="AG265" s="28" t="n">
        <f aca="false">IF($R265&gt;0,Params!$B$9*Params!$B$4/(Params!$B$6*$R265),"n/a")</f>
        <v>2.83735138414854</v>
      </c>
      <c r="AH265" s="28" t="n">
        <f aca="false">IF($R265&gt;0,Params!$B$9*Params!$B$5/(Params!$B$6*$R265),"n/a")</f>
        <v>5.67470276829709</v>
      </c>
      <c r="AI265" s="28" t="n">
        <f aca="false">IF($R265&gt;0,Params!$B$15*Params!$B$4/(Params!$B$6*$R265),"n/a")</f>
        <v>0.945783794716181</v>
      </c>
      <c r="AJ265" s="29" t="n">
        <f aca="false">MIN(Params!$B$9,AD265*Params!$B$8/Params!$B$4)</f>
        <v>0.0317197230145</v>
      </c>
      <c r="AK265" s="28" t="n">
        <f aca="false">IF($R265&gt;0,Params!$B$9*Params!$B$4/(Params!$B$6*$R265*Params!$B$8),"n/a")</f>
        <v>5.67470276829709</v>
      </c>
      <c r="AL265" s="27" t="str">
        <f aca="false">IFERROR(ciq($D265,"IQ_PE_EXCL"),"")</f>
        <v/>
      </c>
      <c r="AM265" s="27" t="str">
        <f aca="false">IFERROR(ciq($D265,"IQ_PE_EXCL_FWD_CIQ"),"")</f>
        <v/>
      </c>
      <c r="AN265" s="27" t="str">
        <f aca="false">IFERROR(ciq($D265,"IQ_PBV"),"")</f>
        <v/>
      </c>
      <c r="AO265" s="27" t="str">
        <f aca="false">IFERROR(ciq($D265,"IQ_TEV_EBITDA"),"")</f>
        <v/>
      </c>
      <c r="AP265" s="24" t="str">
        <f aca="false">IFERROR(ciq($D265,"IQ_RETURN_EQUITY"),"")</f>
        <v/>
      </c>
      <c r="AQ265" s="24" t="str">
        <f aca="false">IFERROR(ciq($D265,"IQ_RETURN_CAPITAL"),"")</f>
        <v/>
      </c>
      <c r="AR265" s="24" t="str">
        <f aca="false">IFERROR(ciq($D265,"IQ_TOTAL_REV_1YR_ANN_GROWTH"),"")</f>
        <v/>
      </c>
      <c r="AS265" s="24" t="str">
        <f aca="false">IFERROR(ciq($D265,"IQ_EPS_1YR_ANN_GROWTH"),"")</f>
        <v/>
      </c>
      <c r="AT265" s="24" t="str">
        <f aca="false">IFERROR(ciq($D265,"IQ_DIVIDEND_YIELD"),"")</f>
        <v/>
      </c>
      <c r="AU265" s="24" t="str">
        <f aca="false">IFERROR(ciq($D265,"IQ_NET_DEBT"),"")</f>
        <v/>
      </c>
    </row>
    <row r="266" customFormat="false" ht="15" hidden="false" customHeight="false" outlineLevel="0" collapsed="false">
      <c r="A266" s="8" t="s">
        <v>1482</v>
      </c>
      <c r="B266" s="6" t="s">
        <v>1483</v>
      </c>
      <c r="C266" s="8" t="s">
        <v>73</v>
      </c>
      <c r="D266" s="8" t="s">
        <v>1484</v>
      </c>
      <c r="E266" s="8" t="s">
        <v>1485</v>
      </c>
      <c r="F266" s="8"/>
      <c r="G266" s="8" t="s">
        <v>56</v>
      </c>
      <c r="H266" s="8" t="s">
        <v>66</v>
      </c>
      <c r="I266" s="8"/>
      <c r="J266" s="8"/>
      <c r="K266" s="8"/>
      <c r="L266" s="8" t="s">
        <v>115</v>
      </c>
      <c r="M266" s="23" t="n">
        <v>29500</v>
      </c>
      <c r="N266" s="23" t="n">
        <v>9353.732265</v>
      </c>
      <c r="O266" s="23" t="n">
        <v>11023.13566755</v>
      </c>
      <c r="P266" s="24" t="n">
        <v>53.458358175</v>
      </c>
      <c r="Q266" s="24" t="n">
        <v>85.5997847291667</v>
      </c>
      <c r="R266" s="24" t="n">
        <v>53.458358175</v>
      </c>
      <c r="S266" s="25" t="n">
        <v>0.00571519011454194</v>
      </c>
      <c r="T266" s="26" t="n">
        <v>1.13429938891587</v>
      </c>
      <c r="U266" s="23" t="n">
        <v>2</v>
      </c>
      <c r="V266" s="26" t="n">
        <v>-0.04</v>
      </c>
      <c r="W266" s="26" t="n">
        <v>-0.236809693320595</v>
      </c>
      <c r="X266" s="26" t="n">
        <v>-0.379705588599244</v>
      </c>
      <c r="Y266" s="26" t="n">
        <v>-0.429497643282407</v>
      </c>
      <c r="Z266" s="26" t="n">
        <v>-0.465691165976631</v>
      </c>
      <c r="AA266" s="26" t="n">
        <v>1.19351628188887</v>
      </c>
      <c r="AB266" s="26" t="n">
        <v>-0.597080110599155</v>
      </c>
      <c r="AC266" s="27" t="n">
        <v>0.460426673650285</v>
      </c>
      <c r="AD266" s="28" t="n">
        <f aca="false">Params!$B$6*Params!$B$7*$R266</f>
        <v>32.075014905</v>
      </c>
      <c r="AE266" s="29" t="n">
        <f aca="false">MIN(Params!$B$9,AD266/Params!$B$4)</f>
        <v>0.06</v>
      </c>
      <c r="AF266" s="29" t="n">
        <f aca="false">MIN(Params!$B$9,AD266/Params!$B$5)</f>
        <v>0.032075014905</v>
      </c>
      <c r="AG266" s="28" t="n">
        <f aca="false">IF($R266&gt;0,Params!$B$9*Params!$B$4/(Params!$B$6*$R266),"n/a")</f>
        <v>2.80592231263376</v>
      </c>
      <c r="AH266" s="28" t="n">
        <f aca="false">IF($R266&gt;0,Params!$B$9*Params!$B$5/(Params!$B$6*$R266),"n/a")</f>
        <v>5.61184462526752</v>
      </c>
      <c r="AI266" s="28" t="n">
        <f aca="false">IF($R266&gt;0,Params!$B$15*Params!$B$4/(Params!$B$6*$R266),"n/a")</f>
        <v>0.935307437544587</v>
      </c>
      <c r="AJ266" s="29" t="n">
        <f aca="false">MIN(Params!$B$9,AD266*Params!$B$8/Params!$B$4)</f>
        <v>0.032075014905</v>
      </c>
      <c r="AK266" s="28" t="n">
        <f aca="false">IF($R266&gt;0,Params!$B$9*Params!$B$4/(Params!$B$6*$R266*Params!$B$8),"n/a")</f>
        <v>5.61184462526752</v>
      </c>
      <c r="AL266" s="27" t="str">
        <f aca="false">IFERROR(ciq($D266,"IQ_PE_EXCL"),"")</f>
        <v/>
      </c>
      <c r="AM266" s="27" t="str">
        <f aca="false">IFERROR(ciq($D266,"IQ_PE_EXCL_FWD_CIQ"),"")</f>
        <v/>
      </c>
      <c r="AN266" s="27" t="str">
        <f aca="false">IFERROR(ciq($D266,"IQ_PBV"),"")</f>
        <v/>
      </c>
      <c r="AO266" s="27" t="str">
        <f aca="false">IFERROR(ciq($D266,"IQ_TEV_EBITDA"),"")</f>
        <v/>
      </c>
      <c r="AP266" s="24" t="str">
        <f aca="false">IFERROR(ciq($D266,"IQ_RETURN_EQUITY"),"")</f>
        <v/>
      </c>
      <c r="AQ266" s="24" t="str">
        <f aca="false">IFERROR(ciq($D266,"IQ_RETURN_CAPITAL"),"")</f>
        <v/>
      </c>
      <c r="AR266" s="24" t="str">
        <f aca="false">IFERROR(ciq($D266,"IQ_TOTAL_REV_1YR_ANN_GROWTH"),"")</f>
        <v/>
      </c>
      <c r="AS266" s="24" t="str">
        <f aca="false">IFERROR(ciq($D266,"IQ_EPS_1YR_ANN_GROWTH"),"")</f>
        <v/>
      </c>
      <c r="AT266" s="24" t="str">
        <f aca="false">IFERROR(ciq($D266,"IQ_DIVIDEND_YIELD"),"")</f>
        <v/>
      </c>
      <c r="AU266" s="24" t="str">
        <f aca="false">IFERROR(ciq($D266,"IQ_NET_DEBT"),"")</f>
        <v/>
      </c>
    </row>
    <row r="267" customFormat="false" ht="15" hidden="false" customHeight="false" outlineLevel="0" collapsed="false">
      <c r="A267" s="8" t="s">
        <v>1486</v>
      </c>
      <c r="B267" s="6" t="s">
        <v>1487</v>
      </c>
      <c r="C267" s="8" t="s">
        <v>72</v>
      </c>
      <c r="D267" s="8" t="s">
        <v>1488</v>
      </c>
      <c r="E267" s="8" t="s">
        <v>1489</v>
      </c>
      <c r="F267" s="6" t="s">
        <v>1100</v>
      </c>
      <c r="G267" s="8" t="s">
        <v>56</v>
      </c>
      <c r="H267" s="8" t="s">
        <v>66</v>
      </c>
      <c r="I267" s="8"/>
      <c r="J267" s="8"/>
      <c r="K267" s="8"/>
      <c r="L267" s="8"/>
      <c r="M267" s="23" t="n">
        <v>30450</v>
      </c>
      <c r="N267" s="23" t="n">
        <v>8617.35</v>
      </c>
      <c r="O267" s="23" t="n">
        <v>7176.88</v>
      </c>
      <c r="P267" s="24" t="n">
        <v>107.6560335125</v>
      </c>
      <c r="Q267" s="24" t="n">
        <v>90.1586302516667</v>
      </c>
      <c r="R267" s="24" t="n">
        <v>90.1586302516667</v>
      </c>
      <c r="S267" s="25" t="n">
        <v>0.0124929396522713</v>
      </c>
      <c r="T267" s="26" t="n">
        <v>1.04343278439932</v>
      </c>
      <c r="U267" s="23" t="n">
        <v>1</v>
      </c>
      <c r="V267" s="26" t="n">
        <v>-0.06</v>
      </c>
      <c r="W267" s="26" t="n">
        <v>0.279348206830273</v>
      </c>
      <c r="X267" s="26" t="n">
        <v>0.0857030949289317</v>
      </c>
      <c r="Y267" s="26" t="n">
        <v>-0.0674864605182564</v>
      </c>
      <c r="Z267" s="26" t="n">
        <v>0.426748345454181</v>
      </c>
      <c r="AA267" s="26" t="n">
        <v>1.33533040487281</v>
      </c>
      <c r="AB267" s="26" t="n">
        <v>-0.214299397282745</v>
      </c>
      <c r="AC267" s="27" t="n">
        <v>0.927600591476136</v>
      </c>
      <c r="AD267" s="28" t="n">
        <f aca="false">Params!$B$6*Params!$B$7*$R267</f>
        <v>54.095178151</v>
      </c>
      <c r="AE267" s="29" t="n">
        <f aca="false">MIN(Params!$B$9,AD267/Params!$B$4)</f>
        <v>0.06</v>
      </c>
      <c r="AF267" s="29" t="n">
        <f aca="false">MIN(Params!$B$9,AD267/Params!$B$5)</f>
        <v>0.054095178151</v>
      </c>
      <c r="AG267" s="28" t="n">
        <f aca="false">IF($R267&gt;0,Params!$B$9*Params!$B$4/(Params!$B$6*$R267),"n/a")</f>
        <v>1.66373423799024</v>
      </c>
      <c r="AH267" s="28" t="n">
        <f aca="false">IF($R267&gt;0,Params!$B$9*Params!$B$5/(Params!$B$6*$R267),"n/a")</f>
        <v>3.32746847598047</v>
      </c>
      <c r="AI267" s="28" t="n">
        <f aca="false">IF($R267&gt;0,Params!$B$15*Params!$B$4/(Params!$B$6*$R267),"n/a")</f>
        <v>0.554578079330078</v>
      </c>
      <c r="AJ267" s="29" t="n">
        <f aca="false">MIN(Params!$B$9,AD267*Params!$B$8/Params!$B$4)</f>
        <v>0.054095178151</v>
      </c>
      <c r="AK267" s="28" t="n">
        <f aca="false">IF($R267&gt;0,Params!$B$9*Params!$B$4/(Params!$B$6*$R267*Params!$B$8),"n/a")</f>
        <v>3.32746847598047</v>
      </c>
      <c r="AL267" s="27" t="str">
        <f aca="false">IFERROR(ciq($D267,"IQ_PE_EXCL"),"")</f>
        <v/>
      </c>
      <c r="AM267" s="27" t="str">
        <f aca="false">IFERROR(ciq($D267,"IQ_PE_EXCL_FWD_CIQ"),"")</f>
        <v/>
      </c>
      <c r="AN267" s="27" t="str">
        <f aca="false">IFERROR(ciq($D267,"IQ_PBV"),"")</f>
        <v/>
      </c>
      <c r="AO267" s="27" t="str">
        <f aca="false">IFERROR(ciq($D267,"IQ_TEV_EBITDA"),"")</f>
        <v/>
      </c>
      <c r="AP267" s="24" t="str">
        <f aca="false">IFERROR(ciq($D267,"IQ_RETURN_EQUITY"),"")</f>
        <v/>
      </c>
      <c r="AQ267" s="24" t="str">
        <f aca="false">IFERROR(ciq($D267,"IQ_RETURN_CAPITAL"),"")</f>
        <v/>
      </c>
      <c r="AR267" s="24" t="str">
        <f aca="false">IFERROR(ciq($D267,"IQ_TOTAL_REV_1YR_ANN_GROWTH"),"")</f>
        <v/>
      </c>
      <c r="AS267" s="24" t="str">
        <f aca="false">IFERROR(ciq($D267,"IQ_EPS_1YR_ANN_GROWTH"),"")</f>
        <v/>
      </c>
      <c r="AT267" s="24" t="str">
        <f aca="false">IFERROR(ciq($D267,"IQ_DIVIDEND_YIELD"),"")</f>
        <v/>
      </c>
      <c r="AU267" s="24" t="str">
        <f aca="false">IFERROR(ciq($D267,"IQ_NET_DEBT"),"")</f>
        <v/>
      </c>
    </row>
    <row r="268" customFormat="false" ht="15" hidden="false" customHeight="false" outlineLevel="0" collapsed="false">
      <c r="A268" s="8" t="s">
        <v>373</v>
      </c>
      <c r="B268" s="6" t="s">
        <v>374</v>
      </c>
      <c r="C268" s="8" t="s">
        <v>72</v>
      </c>
      <c r="D268" s="8" t="s">
        <v>1490</v>
      </c>
      <c r="E268" s="8" t="s">
        <v>1491</v>
      </c>
      <c r="F268" s="6" t="s">
        <v>1492</v>
      </c>
      <c r="G268" s="8" t="s">
        <v>56</v>
      </c>
      <c r="H268" s="8" t="s">
        <v>66</v>
      </c>
      <c r="I268" s="8" t="s">
        <v>508</v>
      </c>
      <c r="J268" s="8"/>
      <c r="K268" s="8"/>
      <c r="L268" s="6" t="s">
        <v>317</v>
      </c>
      <c r="M268" s="23" t="n">
        <v>92000</v>
      </c>
      <c r="N268" s="23" t="n">
        <v>8527.50852</v>
      </c>
      <c r="O268" s="23" t="n">
        <v>7658.53686375</v>
      </c>
      <c r="P268" s="24" t="n">
        <v>123.541969725</v>
      </c>
      <c r="Q268" s="24" t="n">
        <v>51.3029236666667</v>
      </c>
      <c r="R268" s="24" t="n">
        <v>51.3029236666667</v>
      </c>
      <c r="S268" s="25" t="n">
        <v>0.0144874636519273</v>
      </c>
      <c r="T268" s="26" t="n">
        <v>0.577554688319643</v>
      </c>
      <c r="U268" s="23" t="n">
        <v>1</v>
      </c>
      <c r="V268" s="26" t="n">
        <v>-0.06</v>
      </c>
      <c r="W268" s="26" t="n">
        <v>0.356845030605548</v>
      </c>
      <c r="X268" s="26" t="n">
        <v>0.348879498651101</v>
      </c>
      <c r="Y268" s="26" t="n">
        <v>0.205672804405729</v>
      </c>
      <c r="Z268" s="26" t="n">
        <v>0.23472930780878</v>
      </c>
      <c r="AA268" s="26" t="n">
        <v>0.321792524043567</v>
      </c>
      <c r="AB268" s="26" t="n">
        <v>-0.0244020185046645</v>
      </c>
      <c r="AC268" s="27" t="n">
        <v>3.06052957773882</v>
      </c>
      <c r="AD268" s="28" t="n">
        <f aca="false">Params!$B$6*Params!$B$7*$R268</f>
        <v>30.7817542</v>
      </c>
      <c r="AE268" s="29" t="n">
        <f aca="false">MIN(Params!$B$9,AD268/Params!$B$4)</f>
        <v>0.06</v>
      </c>
      <c r="AF268" s="29" t="n">
        <f aca="false">MIN(Params!$B$9,AD268/Params!$B$5)</f>
        <v>0.0307817542</v>
      </c>
      <c r="AG268" s="28" t="n">
        <f aca="false">IF($R268&gt;0,Params!$B$9*Params!$B$4/(Params!$B$6*$R268),"n/a")</f>
        <v>2.92380997571607</v>
      </c>
      <c r="AH268" s="28" t="n">
        <f aca="false">IF($R268&gt;0,Params!$B$9*Params!$B$5/(Params!$B$6*$R268),"n/a")</f>
        <v>5.84761995143214</v>
      </c>
      <c r="AI268" s="28" t="n">
        <f aca="false">IF($R268&gt;0,Params!$B$15*Params!$B$4/(Params!$B$6*$R268),"n/a")</f>
        <v>0.974603325238689</v>
      </c>
      <c r="AJ268" s="29" t="n">
        <f aca="false">MIN(Params!$B$9,AD268*Params!$B$8/Params!$B$4)</f>
        <v>0.0307817542</v>
      </c>
      <c r="AK268" s="28" t="n">
        <f aca="false">IF($R268&gt;0,Params!$B$9*Params!$B$4/(Params!$B$6*$R268*Params!$B$8),"n/a")</f>
        <v>5.84761995143214</v>
      </c>
      <c r="AL268" s="27" t="str">
        <f aca="false">IFERROR(ciq($D268,"IQ_PE_EXCL"),"")</f>
        <v/>
      </c>
      <c r="AM268" s="27" t="str">
        <f aca="false">IFERROR(ciq($D268,"IQ_PE_EXCL_FWD_CIQ"),"")</f>
        <v/>
      </c>
      <c r="AN268" s="27" t="str">
        <f aca="false">IFERROR(ciq($D268,"IQ_PBV"),"")</f>
        <v/>
      </c>
      <c r="AO268" s="27" t="str">
        <f aca="false">IFERROR(ciq($D268,"IQ_TEV_EBITDA"),"")</f>
        <v/>
      </c>
      <c r="AP268" s="24" t="str">
        <f aca="false">IFERROR(ciq($D268,"IQ_RETURN_EQUITY"),"")</f>
        <v/>
      </c>
      <c r="AQ268" s="24" t="str">
        <f aca="false">IFERROR(ciq($D268,"IQ_RETURN_CAPITAL"),"")</f>
        <v/>
      </c>
      <c r="AR268" s="24" t="str">
        <f aca="false">IFERROR(ciq($D268,"IQ_TOTAL_REV_1YR_ANN_GROWTH"),"")</f>
        <v/>
      </c>
      <c r="AS268" s="24" t="str">
        <f aca="false">IFERROR(ciq($D268,"IQ_EPS_1YR_ANN_GROWTH"),"")</f>
        <v/>
      </c>
      <c r="AT268" s="24" t="str">
        <f aca="false">IFERROR(ciq($D268,"IQ_DIVIDEND_YIELD"),"")</f>
        <v/>
      </c>
      <c r="AU268" s="24" t="str">
        <f aca="false">IFERROR(ciq($D268,"IQ_NET_DEBT"),"")</f>
        <v/>
      </c>
    </row>
    <row r="269" customFormat="false" ht="15" hidden="false" customHeight="false" outlineLevel="0" collapsed="false">
      <c r="A269" s="8" t="s">
        <v>1493</v>
      </c>
      <c r="B269" s="6" t="s">
        <v>1494</v>
      </c>
      <c r="C269" s="8" t="s">
        <v>72</v>
      </c>
      <c r="D269" s="8" t="s">
        <v>1495</v>
      </c>
      <c r="E269" s="8" t="s">
        <v>1496</v>
      </c>
      <c r="F269" s="6" t="s">
        <v>523</v>
      </c>
      <c r="G269" s="8" t="s">
        <v>56</v>
      </c>
      <c r="H269" s="8" t="s">
        <v>66</v>
      </c>
      <c r="I269" s="8"/>
      <c r="J269" s="8"/>
      <c r="K269" s="8"/>
      <c r="L269" s="8" t="s">
        <v>241</v>
      </c>
      <c r="M269" s="23" t="n">
        <v>49600</v>
      </c>
      <c r="N269" s="23" t="n">
        <v>8432</v>
      </c>
      <c r="O269" s="23" t="n">
        <v>9284.55</v>
      </c>
      <c r="P269" s="24" t="n">
        <v>54.505464</v>
      </c>
      <c r="Q269" s="24" t="n">
        <v>111.7846701875</v>
      </c>
      <c r="R269" s="24" t="n">
        <v>54.505464</v>
      </c>
      <c r="S269" s="25" t="n">
        <v>0.00646412049335863</v>
      </c>
      <c r="T269" s="26" t="n">
        <v>1.12042053302033</v>
      </c>
      <c r="U269" s="23" t="n">
        <v>1</v>
      </c>
      <c r="V269" s="26" t="n">
        <v>-0.06</v>
      </c>
      <c r="W269" s="26" t="n">
        <v>-0.0498464761494412</v>
      </c>
      <c r="X269" s="26" t="n">
        <v>-0.326116644407619</v>
      </c>
      <c r="Y269" s="26" t="n">
        <v>-0.0882430424765021</v>
      </c>
      <c r="Z269" s="26" t="n">
        <v>-0.109664056373411</v>
      </c>
      <c r="AA269" s="26" t="n">
        <v>1.16520440697274</v>
      </c>
      <c r="AB269" s="26" t="n">
        <v>-0.515642864025409</v>
      </c>
      <c r="AC269" s="27" t="n">
        <v>0.339169844248297</v>
      </c>
      <c r="AD269" s="28" t="n">
        <f aca="false">Params!$B$6*Params!$B$7*$R269</f>
        <v>32.7032784</v>
      </c>
      <c r="AE269" s="29" t="n">
        <f aca="false">MIN(Params!$B$9,AD269/Params!$B$4)</f>
        <v>0.06</v>
      </c>
      <c r="AF269" s="29" t="n">
        <f aca="false">MIN(Params!$B$9,AD269/Params!$B$5)</f>
        <v>0.0327032784</v>
      </c>
      <c r="AG269" s="28" t="n">
        <f aca="false">IF($R269&gt;0,Params!$B$9*Params!$B$4/(Params!$B$6*$R269),"n/a")</f>
        <v>2.75201766927441</v>
      </c>
      <c r="AH269" s="28" t="n">
        <f aca="false">IF($R269&gt;0,Params!$B$9*Params!$B$5/(Params!$B$6*$R269),"n/a")</f>
        <v>5.50403533854881</v>
      </c>
      <c r="AI269" s="28" t="n">
        <f aca="false">IF($R269&gt;0,Params!$B$15*Params!$B$4/(Params!$B$6*$R269),"n/a")</f>
        <v>0.917339223091468</v>
      </c>
      <c r="AJ269" s="29" t="n">
        <f aca="false">MIN(Params!$B$9,AD269*Params!$B$8/Params!$B$4)</f>
        <v>0.0327032784</v>
      </c>
      <c r="AK269" s="28" t="n">
        <f aca="false">IF($R269&gt;0,Params!$B$9*Params!$B$4/(Params!$B$6*$R269*Params!$B$8),"n/a")</f>
        <v>5.50403533854881</v>
      </c>
      <c r="AL269" s="27" t="str">
        <f aca="false">IFERROR(ciq($D269,"IQ_PE_EXCL"),"")</f>
        <v/>
      </c>
      <c r="AM269" s="27" t="str">
        <f aca="false">IFERROR(ciq($D269,"IQ_PE_EXCL_FWD_CIQ"),"")</f>
        <v/>
      </c>
      <c r="AN269" s="27" t="str">
        <f aca="false">IFERROR(ciq($D269,"IQ_PBV"),"")</f>
        <v/>
      </c>
      <c r="AO269" s="27" t="str">
        <f aca="false">IFERROR(ciq($D269,"IQ_TEV_EBITDA"),"")</f>
        <v/>
      </c>
      <c r="AP269" s="24" t="str">
        <f aca="false">IFERROR(ciq($D269,"IQ_RETURN_EQUITY"),"")</f>
        <v/>
      </c>
      <c r="AQ269" s="24" t="str">
        <f aca="false">IFERROR(ciq($D269,"IQ_RETURN_CAPITAL"),"")</f>
        <v/>
      </c>
      <c r="AR269" s="24" t="str">
        <f aca="false">IFERROR(ciq($D269,"IQ_TOTAL_REV_1YR_ANN_GROWTH"),"")</f>
        <v/>
      </c>
      <c r="AS269" s="24" t="str">
        <f aca="false">IFERROR(ciq($D269,"IQ_EPS_1YR_ANN_GROWTH"),"")</f>
        <v/>
      </c>
      <c r="AT269" s="24" t="str">
        <f aca="false">IFERROR(ciq($D269,"IQ_DIVIDEND_YIELD"),"")</f>
        <v/>
      </c>
      <c r="AU269" s="24" t="str">
        <f aca="false">IFERROR(ciq($D269,"IQ_NET_DEBT"),"")</f>
        <v/>
      </c>
    </row>
    <row r="270" customFormat="false" ht="15" hidden="false" customHeight="false" outlineLevel="0" collapsed="false">
      <c r="A270" s="8" t="s">
        <v>1497</v>
      </c>
      <c r="B270" s="6" t="s">
        <v>1498</v>
      </c>
      <c r="C270" s="8" t="s">
        <v>73</v>
      </c>
      <c r="D270" s="8" t="s">
        <v>1499</v>
      </c>
      <c r="E270" s="8" t="s">
        <v>1500</v>
      </c>
      <c r="F270" s="8"/>
      <c r="G270" s="8" t="s">
        <v>56</v>
      </c>
      <c r="H270" s="8" t="s">
        <v>66</v>
      </c>
      <c r="I270" s="8"/>
      <c r="J270" s="8"/>
      <c r="K270" s="8"/>
      <c r="L270" s="8" t="s">
        <v>115</v>
      </c>
      <c r="M270" s="23" t="n">
        <v>33300</v>
      </c>
      <c r="N270" s="23" t="n">
        <v>8410.005243</v>
      </c>
      <c r="O270" s="23" t="n">
        <v>9835.033909175</v>
      </c>
      <c r="P270" s="24" t="n">
        <v>73.167966325</v>
      </c>
      <c r="Q270" s="24" t="n">
        <v>74.4558785998333</v>
      </c>
      <c r="R270" s="24" t="n">
        <v>73.167966325</v>
      </c>
      <c r="S270" s="25" t="n">
        <v>0.00870010947804114</v>
      </c>
      <c r="T270" s="26" t="n">
        <v>1.14342278990519</v>
      </c>
      <c r="U270" s="23" t="n">
        <v>2</v>
      </c>
      <c r="V270" s="26" t="n">
        <v>-0.04</v>
      </c>
      <c r="W270" s="26" t="n">
        <v>-0.296575726136322</v>
      </c>
      <c r="X270" s="26" t="n">
        <v>-0.188661485074975</v>
      </c>
      <c r="Y270" s="26" t="n">
        <v>-0.620682831297118</v>
      </c>
      <c r="Z270" s="26" t="n">
        <v>-0.355937860011791</v>
      </c>
      <c r="AA270" s="26"/>
      <c r="AB270" s="26" t="n">
        <v>-0.635230661233781</v>
      </c>
      <c r="AC270" s="27" t="n">
        <v>0.417215981456486</v>
      </c>
      <c r="AD270" s="28" t="n">
        <f aca="false">Params!$B$6*Params!$B$7*$R270</f>
        <v>43.900779795</v>
      </c>
      <c r="AE270" s="29" t="n">
        <f aca="false">MIN(Params!$B$9,AD270/Params!$B$4)</f>
        <v>0.06</v>
      </c>
      <c r="AF270" s="29" t="n">
        <f aca="false">MIN(Params!$B$9,AD270/Params!$B$5)</f>
        <v>0.043900779795</v>
      </c>
      <c r="AG270" s="28" t="n">
        <f aca="false">IF($R270&gt;0,Params!$B$9*Params!$B$4/(Params!$B$6*$R270),"n/a")</f>
        <v>2.05007747972282</v>
      </c>
      <c r="AH270" s="28" t="n">
        <f aca="false">IF($R270&gt;0,Params!$B$9*Params!$B$5/(Params!$B$6*$R270),"n/a")</f>
        <v>4.10015495944564</v>
      </c>
      <c r="AI270" s="28" t="n">
        <f aca="false">IF($R270&gt;0,Params!$B$15*Params!$B$4/(Params!$B$6*$R270),"n/a")</f>
        <v>0.683359159907606</v>
      </c>
      <c r="AJ270" s="29" t="n">
        <f aca="false">MIN(Params!$B$9,AD270*Params!$B$8/Params!$B$4)</f>
        <v>0.043900779795</v>
      </c>
      <c r="AK270" s="28" t="n">
        <f aca="false">IF($R270&gt;0,Params!$B$9*Params!$B$4/(Params!$B$6*$R270*Params!$B$8),"n/a")</f>
        <v>4.10015495944564</v>
      </c>
      <c r="AL270" s="27" t="str">
        <f aca="false">IFERROR(ciq($D270,"IQ_PE_EXCL"),"")</f>
        <v/>
      </c>
      <c r="AM270" s="27" t="str">
        <f aca="false">IFERROR(ciq($D270,"IQ_PE_EXCL_FWD_CIQ"),"")</f>
        <v/>
      </c>
      <c r="AN270" s="27" t="str">
        <f aca="false">IFERROR(ciq($D270,"IQ_PBV"),"")</f>
        <v/>
      </c>
      <c r="AO270" s="27" t="str">
        <f aca="false">IFERROR(ciq($D270,"IQ_TEV_EBITDA"),"")</f>
        <v/>
      </c>
      <c r="AP270" s="24" t="str">
        <f aca="false">IFERROR(ciq($D270,"IQ_RETURN_EQUITY"),"")</f>
        <v/>
      </c>
      <c r="AQ270" s="24" t="str">
        <f aca="false">IFERROR(ciq($D270,"IQ_RETURN_CAPITAL"),"")</f>
        <v/>
      </c>
      <c r="AR270" s="24" t="str">
        <f aca="false">IFERROR(ciq($D270,"IQ_TOTAL_REV_1YR_ANN_GROWTH"),"")</f>
        <v/>
      </c>
      <c r="AS270" s="24" t="str">
        <f aca="false">IFERROR(ciq($D270,"IQ_EPS_1YR_ANN_GROWTH"),"")</f>
        <v/>
      </c>
      <c r="AT270" s="24" t="str">
        <f aca="false">IFERROR(ciq($D270,"IQ_DIVIDEND_YIELD"),"")</f>
        <v/>
      </c>
      <c r="AU270" s="24" t="str">
        <f aca="false">IFERROR(ciq($D270,"IQ_NET_DEBT"),"")</f>
        <v/>
      </c>
    </row>
    <row r="271" customFormat="false" ht="15" hidden="false" customHeight="false" outlineLevel="0" collapsed="false">
      <c r="A271" s="8" t="s">
        <v>1501</v>
      </c>
      <c r="B271" s="6" t="s">
        <v>1502</v>
      </c>
      <c r="C271" s="8" t="s">
        <v>74</v>
      </c>
      <c r="D271" s="8" t="s">
        <v>1503</v>
      </c>
      <c r="E271" s="8" t="s">
        <v>1504</v>
      </c>
      <c r="F271" s="6" t="s">
        <v>523</v>
      </c>
      <c r="G271" s="8" t="s">
        <v>56</v>
      </c>
      <c r="H271" s="8" t="s">
        <v>66</v>
      </c>
      <c r="I271" s="8"/>
      <c r="J271" s="8"/>
      <c r="K271" s="8"/>
      <c r="L271" s="8" t="s">
        <v>241</v>
      </c>
      <c r="M271" s="23" t="n">
        <v>39300</v>
      </c>
      <c r="N271" s="23" t="n">
        <v>8384.607447</v>
      </c>
      <c r="O271" s="23" t="n">
        <v>9054.5226476</v>
      </c>
      <c r="P271" s="24" t="n">
        <v>80.5208866625</v>
      </c>
      <c r="Q271" s="24" t="n">
        <v>108.663798116667</v>
      </c>
      <c r="R271" s="24" t="n">
        <v>80.5208866625</v>
      </c>
      <c r="S271" s="25" t="n">
        <v>0.00960341759247301</v>
      </c>
      <c r="T271" s="26" t="n">
        <v>0.860785768717814</v>
      </c>
      <c r="U271" s="23" t="n">
        <v>1</v>
      </c>
      <c r="V271" s="26" t="n">
        <v>-0.06</v>
      </c>
      <c r="W271" s="26" t="n">
        <v>-0.109925737641936</v>
      </c>
      <c r="X271" s="26" t="n">
        <v>-0.366058117617429</v>
      </c>
      <c r="Y271" s="26" t="n">
        <v>-0.543642815133229</v>
      </c>
      <c r="Z271" s="26" t="n">
        <v>-0.18656245846533</v>
      </c>
      <c r="AA271" s="26" t="n">
        <v>-0.279037394541764</v>
      </c>
      <c r="AB271" s="26" t="n">
        <v>-0.626149664549363</v>
      </c>
      <c r="AC271" s="27" t="n">
        <v>0.471228431275139</v>
      </c>
      <c r="AD271" s="28" t="n">
        <f aca="false">Params!$B$6*Params!$B$7*$R271</f>
        <v>48.3125319975</v>
      </c>
      <c r="AE271" s="29" t="n">
        <f aca="false">MIN(Params!$B$9,AD271/Params!$B$4)</f>
        <v>0.06</v>
      </c>
      <c r="AF271" s="29" t="n">
        <f aca="false">MIN(Params!$B$9,AD271/Params!$B$5)</f>
        <v>0.0483125319975</v>
      </c>
      <c r="AG271" s="28" t="n">
        <f aca="false">IF($R271&gt;0,Params!$B$9*Params!$B$4/(Params!$B$6*$R271),"n/a")</f>
        <v>1.86287069377066</v>
      </c>
      <c r="AH271" s="28" t="n">
        <f aca="false">IF($R271&gt;0,Params!$B$9*Params!$B$5/(Params!$B$6*$R271),"n/a")</f>
        <v>3.72574138754132</v>
      </c>
      <c r="AI271" s="28" t="n">
        <f aca="false">IF($R271&gt;0,Params!$B$15*Params!$B$4/(Params!$B$6*$R271),"n/a")</f>
        <v>0.620956897923553</v>
      </c>
      <c r="AJ271" s="29" t="n">
        <f aca="false">MIN(Params!$B$9,AD271*Params!$B$8/Params!$B$4)</f>
        <v>0.0483125319975</v>
      </c>
      <c r="AK271" s="28" t="n">
        <f aca="false">IF($R271&gt;0,Params!$B$9*Params!$B$4/(Params!$B$6*$R271*Params!$B$8),"n/a")</f>
        <v>3.72574138754132</v>
      </c>
      <c r="AL271" s="27" t="str">
        <f aca="false">IFERROR(ciq($D271,"IQ_PE_EXCL"),"")</f>
        <v/>
      </c>
      <c r="AM271" s="27" t="str">
        <f aca="false">IFERROR(ciq($D271,"IQ_PE_EXCL_FWD_CIQ"),"")</f>
        <v/>
      </c>
      <c r="AN271" s="27" t="str">
        <f aca="false">IFERROR(ciq($D271,"IQ_PBV"),"")</f>
        <v/>
      </c>
      <c r="AO271" s="27" t="str">
        <f aca="false">IFERROR(ciq($D271,"IQ_TEV_EBITDA"),"")</f>
        <v/>
      </c>
      <c r="AP271" s="24" t="str">
        <f aca="false">IFERROR(ciq($D271,"IQ_RETURN_EQUITY"),"")</f>
        <v/>
      </c>
      <c r="AQ271" s="24" t="str">
        <f aca="false">IFERROR(ciq($D271,"IQ_RETURN_CAPITAL"),"")</f>
        <v/>
      </c>
      <c r="AR271" s="24" t="str">
        <f aca="false">IFERROR(ciq($D271,"IQ_TOTAL_REV_1YR_ANN_GROWTH"),"")</f>
        <v/>
      </c>
      <c r="AS271" s="24" t="str">
        <f aca="false">IFERROR(ciq($D271,"IQ_EPS_1YR_ANN_GROWTH"),"")</f>
        <v/>
      </c>
      <c r="AT271" s="24" t="str">
        <f aca="false">IFERROR(ciq($D271,"IQ_DIVIDEND_YIELD"),"")</f>
        <v/>
      </c>
      <c r="AU271" s="24" t="str">
        <f aca="false">IFERROR(ciq($D271,"IQ_NET_DEBT"),"")</f>
        <v/>
      </c>
    </row>
    <row r="272" customFormat="false" ht="15" hidden="false" customHeight="false" outlineLevel="0" collapsed="false">
      <c r="A272" s="8" t="s">
        <v>1505</v>
      </c>
      <c r="B272" s="6" t="s">
        <v>1506</v>
      </c>
      <c r="C272" s="8" t="s">
        <v>73</v>
      </c>
      <c r="D272" s="8" t="s">
        <v>1507</v>
      </c>
      <c r="E272" s="8" t="s">
        <v>1508</v>
      </c>
      <c r="F272" s="8"/>
      <c r="G272" s="8" t="s">
        <v>56</v>
      </c>
      <c r="H272" s="8" t="s">
        <v>66</v>
      </c>
      <c r="I272" s="8"/>
      <c r="J272" s="8"/>
      <c r="K272" s="8"/>
      <c r="L272" s="8" t="s">
        <v>115</v>
      </c>
      <c r="M272" s="23" t="n">
        <v>48400</v>
      </c>
      <c r="N272" s="23" t="n">
        <v>8330.359708</v>
      </c>
      <c r="O272" s="23" t="n">
        <v>8190.477071</v>
      </c>
      <c r="P272" s="24" t="n">
        <v>66.9467029125</v>
      </c>
      <c r="Q272" s="24" t="n">
        <v>62.0534279125</v>
      </c>
      <c r="R272" s="24" t="n">
        <v>62.0534279125</v>
      </c>
      <c r="S272" s="25" t="n">
        <v>0.0080364720443234</v>
      </c>
      <c r="T272" s="26" t="n">
        <v>1.27472853931696</v>
      </c>
      <c r="U272" s="23" t="n">
        <v>2</v>
      </c>
      <c r="V272" s="26" t="n">
        <v>-0.04</v>
      </c>
      <c r="W272" s="26" t="n">
        <v>0.151013381058945</v>
      </c>
      <c r="X272" s="26" t="n">
        <v>-0.351364681486985</v>
      </c>
      <c r="Y272" s="26" t="n">
        <v>-0.467135464823426</v>
      </c>
      <c r="Z272" s="26" t="n">
        <v>-0.586493088954445</v>
      </c>
      <c r="AA272" s="26" t="n">
        <v>0.191820547569339</v>
      </c>
      <c r="AB272" s="26" t="n">
        <v>-0.653399356336716</v>
      </c>
      <c r="AC272" s="27" t="n">
        <v>0.505937851945566</v>
      </c>
      <c r="AD272" s="28" t="n">
        <f aca="false">Params!$B$6*Params!$B$7*$R272</f>
        <v>37.2320567475</v>
      </c>
      <c r="AE272" s="29" t="n">
        <f aca="false">MIN(Params!$B$9,AD272/Params!$B$4)</f>
        <v>0.06</v>
      </c>
      <c r="AF272" s="29" t="n">
        <f aca="false">MIN(Params!$B$9,AD272/Params!$B$5)</f>
        <v>0.0372320567475</v>
      </c>
      <c r="AG272" s="28" t="n">
        <f aca="false">IF($R272&gt;0,Params!$B$9*Params!$B$4/(Params!$B$6*$R272),"n/a")</f>
        <v>2.41727177766088</v>
      </c>
      <c r="AH272" s="28" t="n">
        <f aca="false">IF($R272&gt;0,Params!$B$9*Params!$B$5/(Params!$B$6*$R272),"n/a")</f>
        <v>4.83454355532176</v>
      </c>
      <c r="AI272" s="28" t="n">
        <f aca="false">IF($R272&gt;0,Params!$B$15*Params!$B$4/(Params!$B$6*$R272),"n/a")</f>
        <v>0.805757259220293</v>
      </c>
      <c r="AJ272" s="29" t="n">
        <f aca="false">MIN(Params!$B$9,AD272*Params!$B$8/Params!$B$4)</f>
        <v>0.0372320567475</v>
      </c>
      <c r="AK272" s="28" t="n">
        <f aca="false">IF($R272&gt;0,Params!$B$9*Params!$B$4/(Params!$B$6*$R272*Params!$B$8),"n/a")</f>
        <v>4.83454355532176</v>
      </c>
      <c r="AL272" s="27" t="str">
        <f aca="false">IFERROR(ciq($D272,"IQ_PE_EXCL"),"")</f>
        <v/>
      </c>
      <c r="AM272" s="27" t="str">
        <f aca="false">IFERROR(ciq($D272,"IQ_PE_EXCL_FWD_CIQ"),"")</f>
        <v/>
      </c>
      <c r="AN272" s="27" t="str">
        <f aca="false">IFERROR(ciq($D272,"IQ_PBV"),"")</f>
        <v/>
      </c>
      <c r="AO272" s="27" t="str">
        <f aca="false">IFERROR(ciq($D272,"IQ_TEV_EBITDA"),"")</f>
        <v/>
      </c>
      <c r="AP272" s="24" t="str">
        <f aca="false">IFERROR(ciq($D272,"IQ_RETURN_EQUITY"),"")</f>
        <v/>
      </c>
      <c r="AQ272" s="24" t="str">
        <f aca="false">IFERROR(ciq($D272,"IQ_RETURN_CAPITAL"),"")</f>
        <v/>
      </c>
      <c r="AR272" s="24" t="str">
        <f aca="false">IFERROR(ciq($D272,"IQ_TOTAL_REV_1YR_ANN_GROWTH"),"")</f>
        <v/>
      </c>
      <c r="AS272" s="24" t="str">
        <f aca="false">IFERROR(ciq($D272,"IQ_EPS_1YR_ANN_GROWTH"),"")</f>
        <v/>
      </c>
      <c r="AT272" s="24" t="str">
        <f aca="false">IFERROR(ciq($D272,"IQ_DIVIDEND_YIELD"),"")</f>
        <v/>
      </c>
      <c r="AU272" s="24" t="str">
        <f aca="false">IFERROR(ciq($D272,"IQ_NET_DEBT"),"")</f>
        <v/>
      </c>
    </row>
    <row r="273" customFormat="false" ht="15" hidden="false" customHeight="false" outlineLevel="0" collapsed="false">
      <c r="A273" s="8" t="s">
        <v>1509</v>
      </c>
      <c r="B273" s="6" t="s">
        <v>1510</v>
      </c>
      <c r="C273" s="8" t="s">
        <v>73</v>
      </c>
      <c r="D273" s="8" t="s">
        <v>1511</v>
      </c>
      <c r="E273" s="8" t="s">
        <v>1512</v>
      </c>
      <c r="F273" s="6" t="s">
        <v>1137</v>
      </c>
      <c r="G273" s="8" t="s">
        <v>56</v>
      </c>
      <c r="H273" s="8" t="s">
        <v>66</v>
      </c>
      <c r="I273" s="8"/>
      <c r="J273" s="8"/>
      <c r="K273" s="8"/>
      <c r="L273" s="8"/>
      <c r="M273" s="23" t="n">
        <v>59600</v>
      </c>
      <c r="N273" s="23" t="n">
        <v>8034.605672</v>
      </c>
      <c r="O273" s="23" t="n">
        <v>8551.5974967</v>
      </c>
      <c r="P273" s="24" t="n">
        <v>98.317353525</v>
      </c>
      <c r="Q273" s="24" t="n">
        <v>73.6761444375</v>
      </c>
      <c r="R273" s="24" t="n">
        <v>73.6761444375</v>
      </c>
      <c r="S273" s="25" t="n">
        <v>0.0122367366288589</v>
      </c>
      <c r="T273" s="26" t="n">
        <v>0.930681460990015</v>
      </c>
      <c r="U273" s="23" t="n">
        <v>1</v>
      </c>
      <c r="V273" s="26" t="n">
        <v>-0.06</v>
      </c>
      <c r="W273" s="26" t="n">
        <v>0.0511194645396331</v>
      </c>
      <c r="X273" s="26" t="n">
        <v>0.441603359761131</v>
      </c>
      <c r="Y273" s="26" t="n">
        <v>0.970312026002857</v>
      </c>
      <c r="Z273" s="26" t="n">
        <v>0.819423369137885</v>
      </c>
      <c r="AA273" s="26" t="n">
        <v>1.15175475080719</v>
      </c>
      <c r="AB273" s="26" t="n">
        <v>-0.158211755708211</v>
      </c>
      <c r="AC273" s="27" t="n">
        <v>1.97910420210808</v>
      </c>
      <c r="AD273" s="28" t="n">
        <f aca="false">Params!$B$6*Params!$B$7*$R273</f>
        <v>44.2056866625</v>
      </c>
      <c r="AE273" s="29" t="n">
        <f aca="false">MIN(Params!$B$9,AD273/Params!$B$4)</f>
        <v>0.06</v>
      </c>
      <c r="AF273" s="29" t="n">
        <f aca="false">MIN(Params!$B$9,AD273/Params!$B$5)</f>
        <v>0.0442056866625</v>
      </c>
      <c r="AG273" s="28" t="n">
        <f aca="false">IF($R273&gt;0,Params!$B$9*Params!$B$4/(Params!$B$6*$R273),"n/a")</f>
        <v>2.03593715639186</v>
      </c>
      <c r="AH273" s="28" t="n">
        <f aca="false">IF($R273&gt;0,Params!$B$9*Params!$B$5/(Params!$B$6*$R273),"n/a")</f>
        <v>4.07187431278373</v>
      </c>
      <c r="AI273" s="28" t="n">
        <f aca="false">IF($R273&gt;0,Params!$B$15*Params!$B$4/(Params!$B$6*$R273),"n/a")</f>
        <v>0.678645718797288</v>
      </c>
      <c r="AJ273" s="29" t="n">
        <f aca="false">MIN(Params!$B$9,AD273*Params!$B$8/Params!$B$4)</f>
        <v>0.0442056866625</v>
      </c>
      <c r="AK273" s="28" t="n">
        <f aca="false">IF($R273&gt;0,Params!$B$9*Params!$B$4/(Params!$B$6*$R273*Params!$B$8),"n/a")</f>
        <v>4.07187431278373</v>
      </c>
      <c r="AL273" s="27" t="str">
        <f aca="false">IFERROR(ciq($D273,"IQ_PE_EXCL"),"")</f>
        <v/>
      </c>
      <c r="AM273" s="27" t="str">
        <f aca="false">IFERROR(ciq($D273,"IQ_PE_EXCL_FWD_CIQ"),"")</f>
        <v/>
      </c>
      <c r="AN273" s="27" t="str">
        <f aca="false">IFERROR(ciq($D273,"IQ_PBV"),"")</f>
        <v/>
      </c>
      <c r="AO273" s="27" t="str">
        <f aca="false">IFERROR(ciq($D273,"IQ_TEV_EBITDA"),"")</f>
        <v/>
      </c>
      <c r="AP273" s="24" t="str">
        <f aca="false">IFERROR(ciq($D273,"IQ_RETURN_EQUITY"),"")</f>
        <v/>
      </c>
      <c r="AQ273" s="24" t="str">
        <f aca="false">IFERROR(ciq($D273,"IQ_RETURN_CAPITAL"),"")</f>
        <v/>
      </c>
      <c r="AR273" s="24" t="str">
        <f aca="false">IFERROR(ciq($D273,"IQ_TOTAL_REV_1YR_ANN_GROWTH"),"")</f>
        <v/>
      </c>
      <c r="AS273" s="24" t="str">
        <f aca="false">IFERROR(ciq($D273,"IQ_EPS_1YR_ANN_GROWTH"),"")</f>
        <v/>
      </c>
      <c r="AT273" s="24" t="str">
        <f aca="false">IFERROR(ciq($D273,"IQ_DIVIDEND_YIELD"),"")</f>
        <v/>
      </c>
      <c r="AU273" s="24" t="str">
        <f aca="false">IFERROR(ciq($D273,"IQ_NET_DEBT"),"")</f>
        <v/>
      </c>
    </row>
    <row r="274" customFormat="false" ht="15" hidden="false" customHeight="false" outlineLevel="0" collapsed="false">
      <c r="A274" s="8" t="s">
        <v>375</v>
      </c>
      <c r="B274" s="6" t="s">
        <v>376</v>
      </c>
      <c r="C274" s="8" t="s">
        <v>73</v>
      </c>
      <c r="D274" s="8" t="s">
        <v>1513</v>
      </c>
      <c r="E274" s="8" t="s">
        <v>1514</v>
      </c>
      <c r="F274" s="8"/>
      <c r="G274" s="8" t="s">
        <v>56</v>
      </c>
      <c r="H274" s="8" t="s">
        <v>66</v>
      </c>
      <c r="I274" s="8" t="s">
        <v>508</v>
      </c>
      <c r="J274" s="8"/>
      <c r="K274" s="8"/>
      <c r="L274" s="6" t="s">
        <v>370</v>
      </c>
      <c r="M274" s="23" t="n">
        <v>20700</v>
      </c>
      <c r="N274" s="23" t="n">
        <v>7937.489934</v>
      </c>
      <c r="O274" s="23" t="n">
        <v>8586.55906105</v>
      </c>
      <c r="P274" s="24" t="n">
        <v>77.860568935</v>
      </c>
      <c r="Q274" s="24" t="n">
        <v>85.6253982408333</v>
      </c>
      <c r="R274" s="24" t="n">
        <v>77.860568935</v>
      </c>
      <c r="S274" s="25" t="n">
        <v>0.00980921797475126</v>
      </c>
      <c r="T274" s="26" t="n">
        <v>1.02443410910527</v>
      </c>
      <c r="U274" s="23" t="n">
        <v>2</v>
      </c>
      <c r="V274" s="26" t="n">
        <v>-0.04</v>
      </c>
      <c r="W274" s="26" t="n">
        <v>-0.269841412802783</v>
      </c>
      <c r="X274" s="26" t="n">
        <v>-0.267146737768219</v>
      </c>
      <c r="Y274" s="26" t="n">
        <v>-0.580085875631343</v>
      </c>
      <c r="Z274" s="26" t="n">
        <v>-0.52290118060536</v>
      </c>
      <c r="AA274" s="26" t="n">
        <v>0.33150841162288</v>
      </c>
      <c r="AB274" s="26" t="n">
        <v>-0.671627613161264</v>
      </c>
      <c r="AC274" s="27" t="n">
        <v>0.621665795035073</v>
      </c>
      <c r="AD274" s="28" t="n">
        <f aca="false">Params!$B$6*Params!$B$7*$R274</f>
        <v>46.716341361</v>
      </c>
      <c r="AE274" s="29" t="n">
        <f aca="false">MIN(Params!$B$9,AD274/Params!$B$4)</f>
        <v>0.06</v>
      </c>
      <c r="AF274" s="29" t="n">
        <f aca="false">MIN(Params!$B$9,AD274/Params!$B$5)</f>
        <v>0.046716341361</v>
      </c>
      <c r="AG274" s="28" t="n">
        <f aca="false">IF($R274&gt;0,Params!$B$9*Params!$B$4/(Params!$B$6*$R274),"n/a")</f>
        <v>1.92652072867877</v>
      </c>
      <c r="AH274" s="28" t="n">
        <f aca="false">IF($R274&gt;0,Params!$B$9*Params!$B$5/(Params!$B$6*$R274),"n/a")</f>
        <v>3.85304145735755</v>
      </c>
      <c r="AI274" s="28" t="n">
        <f aca="false">IF($R274&gt;0,Params!$B$15*Params!$B$4/(Params!$B$6*$R274),"n/a")</f>
        <v>0.642173576226258</v>
      </c>
      <c r="AJ274" s="29" t="n">
        <f aca="false">MIN(Params!$B$9,AD274*Params!$B$8/Params!$B$4)</f>
        <v>0.046716341361</v>
      </c>
      <c r="AK274" s="28" t="n">
        <f aca="false">IF($R274&gt;0,Params!$B$9*Params!$B$4/(Params!$B$6*$R274*Params!$B$8),"n/a")</f>
        <v>3.85304145735755</v>
      </c>
      <c r="AL274" s="27" t="str">
        <f aca="false">IFERROR(ciq($D274,"IQ_PE_EXCL"),"")</f>
        <v/>
      </c>
      <c r="AM274" s="27" t="str">
        <f aca="false">IFERROR(ciq($D274,"IQ_PE_EXCL_FWD_CIQ"),"")</f>
        <v/>
      </c>
      <c r="AN274" s="27" t="str">
        <f aca="false">IFERROR(ciq($D274,"IQ_PBV"),"")</f>
        <v/>
      </c>
      <c r="AO274" s="27" t="str">
        <f aca="false">IFERROR(ciq($D274,"IQ_TEV_EBITDA"),"")</f>
        <v/>
      </c>
      <c r="AP274" s="24" t="str">
        <f aca="false">IFERROR(ciq($D274,"IQ_RETURN_EQUITY"),"")</f>
        <v/>
      </c>
      <c r="AQ274" s="24" t="str">
        <f aca="false">IFERROR(ciq($D274,"IQ_RETURN_CAPITAL"),"")</f>
        <v/>
      </c>
      <c r="AR274" s="24" t="str">
        <f aca="false">IFERROR(ciq($D274,"IQ_TOTAL_REV_1YR_ANN_GROWTH"),"")</f>
        <v/>
      </c>
      <c r="AS274" s="24" t="str">
        <f aca="false">IFERROR(ciq($D274,"IQ_EPS_1YR_ANN_GROWTH"),"")</f>
        <v/>
      </c>
      <c r="AT274" s="24" t="str">
        <f aca="false">IFERROR(ciq($D274,"IQ_DIVIDEND_YIELD"),"")</f>
        <v/>
      </c>
      <c r="AU274" s="24" t="str">
        <f aca="false">IFERROR(ciq($D274,"IQ_NET_DEBT"),"")</f>
        <v/>
      </c>
    </row>
    <row r="275" customFormat="false" ht="15" hidden="false" customHeight="false" outlineLevel="0" collapsed="false">
      <c r="A275" s="8" t="s">
        <v>1515</v>
      </c>
      <c r="B275" s="6" t="s">
        <v>1516</v>
      </c>
      <c r="C275" s="8" t="s">
        <v>73</v>
      </c>
      <c r="D275" s="8" t="s">
        <v>1517</v>
      </c>
      <c r="E275" s="8" t="s">
        <v>1518</v>
      </c>
      <c r="F275" s="8"/>
      <c r="G275" s="8" t="s">
        <v>56</v>
      </c>
      <c r="H275" s="8" t="s">
        <v>66</v>
      </c>
      <c r="I275" s="8"/>
      <c r="J275" s="8"/>
      <c r="K275" s="8"/>
      <c r="L275" s="8" t="s">
        <v>514</v>
      </c>
      <c r="M275" s="23" t="n">
        <v>13040</v>
      </c>
      <c r="N275" s="23" t="n">
        <v>7852.4127256</v>
      </c>
      <c r="O275" s="23" t="n">
        <v>8414.546719415</v>
      </c>
      <c r="P275" s="24" t="n">
        <v>66.844815125</v>
      </c>
      <c r="Q275" s="24" t="n">
        <v>102.1119636375</v>
      </c>
      <c r="R275" s="24" t="n">
        <v>66.844815125</v>
      </c>
      <c r="S275" s="25" t="n">
        <v>0.00851264668081904</v>
      </c>
      <c r="T275" s="26" t="n">
        <v>1.16418470874161</v>
      </c>
      <c r="U275" s="23" t="n">
        <v>2</v>
      </c>
      <c r="V275" s="26" t="n">
        <v>-0.04</v>
      </c>
      <c r="W275" s="26" t="n">
        <v>-0.0195011857766602</v>
      </c>
      <c r="X275" s="26" t="n">
        <v>-0.0385304825724727</v>
      </c>
      <c r="Y275" s="26" t="n">
        <v>0.309169624338325</v>
      </c>
      <c r="Z275" s="26" t="n">
        <v>0.93846377770671</v>
      </c>
      <c r="AA275" s="26" t="n">
        <v>1.87296887915752</v>
      </c>
      <c r="AB275" s="26" t="n">
        <v>-0.201118451790535</v>
      </c>
      <c r="AC275" s="27" t="n">
        <v>0.623777578977208</v>
      </c>
      <c r="AD275" s="28" t="n">
        <f aca="false">Params!$B$6*Params!$B$7*$R275</f>
        <v>40.106889075</v>
      </c>
      <c r="AE275" s="29" t="n">
        <f aca="false">MIN(Params!$B$9,AD275/Params!$B$4)</f>
        <v>0.06</v>
      </c>
      <c r="AF275" s="29" t="n">
        <f aca="false">MIN(Params!$B$9,AD275/Params!$B$5)</f>
        <v>0.040106889075</v>
      </c>
      <c r="AG275" s="28" t="n">
        <f aca="false">IF($R275&gt;0,Params!$B$9*Params!$B$4/(Params!$B$6*$R275),"n/a")</f>
        <v>2.24400351350362</v>
      </c>
      <c r="AH275" s="28" t="n">
        <f aca="false">IF($R275&gt;0,Params!$B$9*Params!$B$5/(Params!$B$6*$R275),"n/a")</f>
        <v>4.48800702700724</v>
      </c>
      <c r="AI275" s="28" t="n">
        <f aca="false">IF($R275&gt;0,Params!$B$15*Params!$B$4/(Params!$B$6*$R275),"n/a")</f>
        <v>0.748001171167874</v>
      </c>
      <c r="AJ275" s="29" t="n">
        <f aca="false">MIN(Params!$B$9,AD275*Params!$B$8/Params!$B$4)</f>
        <v>0.040106889075</v>
      </c>
      <c r="AK275" s="28" t="n">
        <f aca="false">IF($R275&gt;0,Params!$B$9*Params!$B$4/(Params!$B$6*$R275*Params!$B$8),"n/a")</f>
        <v>4.48800702700724</v>
      </c>
      <c r="AL275" s="27" t="str">
        <f aca="false">IFERROR(ciq($D275,"IQ_PE_EXCL"),"")</f>
        <v/>
      </c>
      <c r="AM275" s="27" t="str">
        <f aca="false">IFERROR(ciq($D275,"IQ_PE_EXCL_FWD_CIQ"),"")</f>
        <v/>
      </c>
      <c r="AN275" s="27" t="str">
        <f aca="false">IFERROR(ciq($D275,"IQ_PBV"),"")</f>
        <v/>
      </c>
      <c r="AO275" s="27" t="str">
        <f aca="false">IFERROR(ciq($D275,"IQ_TEV_EBITDA"),"")</f>
        <v/>
      </c>
      <c r="AP275" s="24" t="str">
        <f aca="false">IFERROR(ciq($D275,"IQ_RETURN_EQUITY"),"")</f>
        <v/>
      </c>
      <c r="AQ275" s="24" t="str">
        <f aca="false">IFERROR(ciq($D275,"IQ_RETURN_CAPITAL"),"")</f>
        <v/>
      </c>
      <c r="AR275" s="24" t="str">
        <f aca="false">IFERROR(ciq($D275,"IQ_TOTAL_REV_1YR_ANN_GROWTH"),"")</f>
        <v/>
      </c>
      <c r="AS275" s="24" t="str">
        <f aca="false">IFERROR(ciq($D275,"IQ_EPS_1YR_ANN_GROWTH"),"")</f>
        <v/>
      </c>
      <c r="AT275" s="24" t="str">
        <f aca="false">IFERROR(ciq($D275,"IQ_DIVIDEND_YIELD"),"")</f>
        <v/>
      </c>
      <c r="AU275" s="24" t="str">
        <f aca="false">IFERROR(ciq($D275,"IQ_NET_DEBT"),"")</f>
        <v/>
      </c>
    </row>
    <row r="276" customFormat="false" ht="15" hidden="false" customHeight="false" outlineLevel="0" collapsed="false">
      <c r="A276" s="8" t="s">
        <v>1519</v>
      </c>
      <c r="B276" s="6" t="s">
        <v>1520</v>
      </c>
      <c r="C276" s="8" t="s">
        <v>73</v>
      </c>
      <c r="D276" s="8" t="s">
        <v>1521</v>
      </c>
      <c r="E276" s="8" t="s">
        <v>1522</v>
      </c>
      <c r="F276" s="6" t="s">
        <v>1523</v>
      </c>
      <c r="G276" s="8" t="s">
        <v>56</v>
      </c>
      <c r="H276" s="8" t="s">
        <v>66</v>
      </c>
      <c r="I276" s="8"/>
      <c r="J276" s="8"/>
      <c r="K276" s="8"/>
      <c r="L276" s="8" t="s">
        <v>115</v>
      </c>
      <c r="M276" s="23" t="n">
        <v>7720</v>
      </c>
      <c r="N276" s="23" t="n">
        <v>7719.6191724</v>
      </c>
      <c r="O276" s="23" t="n">
        <v>8865.062664885</v>
      </c>
      <c r="P276" s="24" t="n">
        <v>74.43339263</v>
      </c>
      <c r="Q276" s="24" t="n">
        <v>128.563037178333</v>
      </c>
      <c r="R276" s="24" t="n">
        <v>74.43339263</v>
      </c>
      <c r="S276" s="25" t="n">
        <v>0.00964210681481829</v>
      </c>
      <c r="T276" s="26" t="n">
        <v>1.05491849510853</v>
      </c>
      <c r="U276" s="23" t="n">
        <v>3</v>
      </c>
      <c r="V276" s="26" t="n">
        <v>-0.04</v>
      </c>
      <c r="W276" s="26" t="n">
        <v>-0.233134068960201</v>
      </c>
      <c r="X276" s="26" t="n">
        <v>-0.50815243799369</v>
      </c>
      <c r="Y276" s="26" t="n">
        <v>0.520388062345875</v>
      </c>
      <c r="Z276" s="26" t="n">
        <v>0.861874227468477</v>
      </c>
      <c r="AA276" s="26" t="n">
        <v>1.60620483564931</v>
      </c>
      <c r="AB276" s="26" t="n">
        <v>-0.590542525296457</v>
      </c>
      <c r="AC276" s="27" t="n">
        <v>0.481530072538783</v>
      </c>
      <c r="AD276" s="28" t="n">
        <f aca="false">Params!$B$6*Params!$B$7*$R276</f>
        <v>44.660035578</v>
      </c>
      <c r="AE276" s="29" t="n">
        <f aca="false">MIN(Params!$B$9,AD276/Params!$B$4)</f>
        <v>0.06</v>
      </c>
      <c r="AF276" s="29" t="n">
        <f aca="false">MIN(Params!$B$9,AD276/Params!$B$5)</f>
        <v>0.044660035578</v>
      </c>
      <c r="AG276" s="28" t="n">
        <f aca="false">IF($R276&gt;0,Params!$B$9*Params!$B$4/(Params!$B$6*$R276),"n/a")</f>
        <v>2.01522454774611</v>
      </c>
      <c r="AH276" s="28" t="n">
        <f aca="false">IF($R276&gt;0,Params!$B$9*Params!$B$5/(Params!$B$6*$R276),"n/a")</f>
        <v>4.03044909549221</v>
      </c>
      <c r="AI276" s="28" t="n">
        <f aca="false">IF($R276&gt;0,Params!$B$15*Params!$B$4/(Params!$B$6*$R276),"n/a")</f>
        <v>0.671741515915368</v>
      </c>
      <c r="AJ276" s="29" t="n">
        <f aca="false">MIN(Params!$B$9,AD276*Params!$B$8/Params!$B$4)</f>
        <v>0.044660035578</v>
      </c>
      <c r="AK276" s="28" t="n">
        <f aca="false">IF($R276&gt;0,Params!$B$9*Params!$B$4/(Params!$B$6*$R276*Params!$B$8),"n/a")</f>
        <v>4.03044909549221</v>
      </c>
      <c r="AL276" s="27" t="str">
        <f aca="false">IFERROR(ciq($D276,"IQ_PE_EXCL"),"")</f>
        <v/>
      </c>
      <c r="AM276" s="27" t="str">
        <f aca="false">IFERROR(ciq($D276,"IQ_PE_EXCL_FWD_CIQ"),"")</f>
        <v/>
      </c>
      <c r="AN276" s="27" t="str">
        <f aca="false">IFERROR(ciq($D276,"IQ_PBV"),"")</f>
        <v/>
      </c>
      <c r="AO276" s="27" t="str">
        <f aca="false">IFERROR(ciq($D276,"IQ_TEV_EBITDA"),"")</f>
        <v/>
      </c>
      <c r="AP276" s="24" t="str">
        <f aca="false">IFERROR(ciq($D276,"IQ_RETURN_EQUITY"),"")</f>
        <v/>
      </c>
      <c r="AQ276" s="24" t="str">
        <f aca="false">IFERROR(ciq($D276,"IQ_RETURN_CAPITAL"),"")</f>
        <v/>
      </c>
      <c r="AR276" s="24" t="str">
        <f aca="false">IFERROR(ciq($D276,"IQ_TOTAL_REV_1YR_ANN_GROWTH"),"")</f>
        <v/>
      </c>
      <c r="AS276" s="24" t="str">
        <f aca="false">IFERROR(ciq($D276,"IQ_EPS_1YR_ANN_GROWTH"),"")</f>
        <v/>
      </c>
      <c r="AT276" s="24" t="str">
        <f aca="false">IFERROR(ciq($D276,"IQ_DIVIDEND_YIELD"),"")</f>
        <v/>
      </c>
      <c r="AU276" s="24" t="str">
        <f aca="false">IFERROR(ciq($D276,"IQ_NET_DEBT"),"")</f>
        <v/>
      </c>
    </row>
    <row r="277" customFormat="false" ht="15" hidden="false" customHeight="false" outlineLevel="0" collapsed="false">
      <c r="A277" s="8" t="s">
        <v>1524</v>
      </c>
      <c r="B277" s="6" t="s">
        <v>1525</v>
      </c>
      <c r="C277" s="8" t="s">
        <v>73</v>
      </c>
      <c r="D277" s="8" t="s">
        <v>1526</v>
      </c>
      <c r="E277" s="8" t="s">
        <v>1527</v>
      </c>
      <c r="F277" s="6" t="s">
        <v>523</v>
      </c>
      <c r="G277" s="8" t="s">
        <v>56</v>
      </c>
      <c r="H277" s="8" t="s">
        <v>66</v>
      </c>
      <c r="I277" s="8"/>
      <c r="J277" s="8"/>
      <c r="K277" s="8"/>
      <c r="L277" s="8"/>
      <c r="M277" s="23" t="n">
        <v>31050</v>
      </c>
      <c r="N277" s="23" t="n">
        <v>7710.0810795</v>
      </c>
      <c r="O277" s="23" t="n">
        <v>8314.099508675</v>
      </c>
      <c r="P277" s="24" t="n">
        <v>50.8338208375</v>
      </c>
      <c r="Q277" s="24" t="n">
        <v>53.3637223583333</v>
      </c>
      <c r="R277" s="24" t="n">
        <v>50.8338208375</v>
      </c>
      <c r="S277" s="25" t="n">
        <v>0.00659316293996698</v>
      </c>
      <c r="T277" s="26" t="n">
        <v>0.755075187164289</v>
      </c>
      <c r="U277" s="23" t="n">
        <v>0</v>
      </c>
      <c r="V277" s="26" t="n">
        <v>-0.06</v>
      </c>
      <c r="W277" s="26" t="n">
        <v>-0.0202862186756831</v>
      </c>
      <c r="X277" s="26" t="n">
        <v>-0.0674029430249936</v>
      </c>
      <c r="Y277" s="26" t="n">
        <v>-0.259371986229708</v>
      </c>
      <c r="Z277" s="26" t="n">
        <v>-0.148760250963124</v>
      </c>
      <c r="AA277" s="26" t="n">
        <v>-0.32377443442381</v>
      </c>
      <c r="AB277" s="26" t="n">
        <v>-0.443224619318048</v>
      </c>
      <c r="AC277" s="27" t="n">
        <v>0.575558118767052</v>
      </c>
      <c r="AD277" s="28" t="n">
        <f aca="false">Params!$B$6*Params!$B$7*$R277</f>
        <v>30.5002925025</v>
      </c>
      <c r="AE277" s="29" t="n">
        <f aca="false">MIN(Params!$B$9,AD277/Params!$B$4)</f>
        <v>0.06</v>
      </c>
      <c r="AF277" s="29" t="n">
        <f aca="false">MIN(Params!$B$9,AD277/Params!$B$5)</f>
        <v>0.0305002925025</v>
      </c>
      <c r="AG277" s="28" t="n">
        <f aca="false">IF($R277&gt;0,Params!$B$9*Params!$B$4/(Params!$B$6*$R277),"n/a")</f>
        <v>2.95079137331627</v>
      </c>
      <c r="AH277" s="28" t="n">
        <f aca="false">IF($R277&gt;0,Params!$B$9*Params!$B$5/(Params!$B$6*$R277),"n/a")</f>
        <v>5.90158274663255</v>
      </c>
      <c r="AI277" s="28" t="n">
        <f aca="false">IF($R277&gt;0,Params!$B$15*Params!$B$4/(Params!$B$6*$R277),"n/a")</f>
        <v>0.983597124438758</v>
      </c>
      <c r="AJ277" s="29" t="n">
        <f aca="false">MIN(Params!$B$9,AD277*Params!$B$8/Params!$B$4)</f>
        <v>0.0305002925025</v>
      </c>
      <c r="AK277" s="28" t="n">
        <f aca="false">IF($R277&gt;0,Params!$B$9*Params!$B$4/(Params!$B$6*$R277*Params!$B$8),"n/a")</f>
        <v>5.90158274663255</v>
      </c>
      <c r="AL277" s="27" t="str">
        <f aca="false">IFERROR(ciq($D277,"IQ_PE_EXCL"),"")</f>
        <v/>
      </c>
      <c r="AM277" s="27" t="str">
        <f aca="false">IFERROR(ciq($D277,"IQ_PE_EXCL_FWD_CIQ"),"")</f>
        <v/>
      </c>
      <c r="AN277" s="27" t="str">
        <f aca="false">IFERROR(ciq($D277,"IQ_PBV"),"")</f>
        <v/>
      </c>
      <c r="AO277" s="27" t="str">
        <f aca="false">IFERROR(ciq($D277,"IQ_TEV_EBITDA"),"")</f>
        <v/>
      </c>
      <c r="AP277" s="24" t="str">
        <f aca="false">IFERROR(ciq($D277,"IQ_RETURN_EQUITY"),"")</f>
        <v/>
      </c>
      <c r="AQ277" s="24" t="str">
        <f aca="false">IFERROR(ciq($D277,"IQ_RETURN_CAPITAL"),"")</f>
        <v/>
      </c>
      <c r="AR277" s="24" t="str">
        <f aca="false">IFERROR(ciq($D277,"IQ_TOTAL_REV_1YR_ANN_GROWTH"),"")</f>
        <v/>
      </c>
      <c r="AS277" s="24" t="str">
        <f aca="false">IFERROR(ciq($D277,"IQ_EPS_1YR_ANN_GROWTH"),"")</f>
        <v/>
      </c>
      <c r="AT277" s="24" t="str">
        <f aca="false">IFERROR(ciq($D277,"IQ_DIVIDEND_YIELD"),"")</f>
        <v/>
      </c>
      <c r="AU277" s="24" t="str">
        <f aca="false">IFERROR(ciq($D277,"IQ_NET_DEBT"),"")</f>
        <v/>
      </c>
    </row>
    <row r="278" customFormat="false" ht="15" hidden="false" customHeight="false" outlineLevel="0" collapsed="false">
      <c r="A278" s="8" t="s">
        <v>1528</v>
      </c>
      <c r="B278" s="8" t="s">
        <v>1529</v>
      </c>
      <c r="C278" s="8" t="s">
        <v>72</v>
      </c>
      <c r="D278" s="8" t="s">
        <v>1530</v>
      </c>
      <c r="E278" s="8" t="s">
        <v>1531</v>
      </c>
      <c r="F278" s="6" t="s">
        <v>1532</v>
      </c>
      <c r="G278" s="8" t="s">
        <v>56</v>
      </c>
      <c r="H278" s="8" t="s">
        <v>66</v>
      </c>
      <c r="I278" s="8"/>
      <c r="J278" s="8"/>
      <c r="K278" s="8"/>
      <c r="L278" s="8"/>
      <c r="M278" s="23" t="n">
        <v>53400</v>
      </c>
      <c r="N278" s="23" t="n">
        <v>7694.583822</v>
      </c>
      <c r="O278" s="23" t="n">
        <v>8480.252703825</v>
      </c>
      <c r="P278" s="24" t="n">
        <v>116.778728</v>
      </c>
      <c r="Q278" s="24" t="n">
        <v>77.0252512666667</v>
      </c>
      <c r="R278" s="24" t="n">
        <v>77.0252512666667</v>
      </c>
      <c r="S278" s="25" t="n">
        <v>0.0151767438891382</v>
      </c>
      <c r="T278" s="26" t="n">
        <v>1.17007443296483</v>
      </c>
      <c r="U278" s="23" t="n">
        <v>1</v>
      </c>
      <c r="V278" s="26" t="n">
        <v>-0.06</v>
      </c>
      <c r="W278" s="26" t="n">
        <v>0.038890384451435</v>
      </c>
      <c r="X278" s="26" t="n">
        <v>0.0574817557836456</v>
      </c>
      <c r="Y278" s="26" t="n">
        <v>-0.0545562504737419</v>
      </c>
      <c r="Z278" s="26" t="n">
        <v>1.43313661857345</v>
      </c>
      <c r="AA278" s="26" t="n">
        <v>1.29228319272042</v>
      </c>
      <c r="AB278" s="26" t="n">
        <v>-0.221413181148149</v>
      </c>
      <c r="AC278" s="27" t="n">
        <v>1.38431526459139</v>
      </c>
      <c r="AD278" s="28" t="n">
        <f aca="false">Params!$B$6*Params!$B$7*$R278</f>
        <v>46.21515076</v>
      </c>
      <c r="AE278" s="29" t="n">
        <f aca="false">MIN(Params!$B$9,AD278/Params!$B$4)</f>
        <v>0.06</v>
      </c>
      <c r="AF278" s="29" t="n">
        <f aca="false">MIN(Params!$B$9,AD278/Params!$B$5)</f>
        <v>0.04621515076</v>
      </c>
      <c r="AG278" s="28" t="n">
        <f aca="false">IF($R278&gt;0,Params!$B$9*Params!$B$4/(Params!$B$6*$R278),"n/a")</f>
        <v>1.94741331619536</v>
      </c>
      <c r="AH278" s="28" t="n">
        <f aca="false">IF($R278&gt;0,Params!$B$9*Params!$B$5/(Params!$B$6*$R278),"n/a")</f>
        <v>3.89482663239071</v>
      </c>
      <c r="AI278" s="28" t="n">
        <f aca="false">IF($R278&gt;0,Params!$B$15*Params!$B$4/(Params!$B$6*$R278),"n/a")</f>
        <v>0.649137772065119</v>
      </c>
      <c r="AJ278" s="29" t="n">
        <f aca="false">MIN(Params!$B$9,AD278*Params!$B$8/Params!$B$4)</f>
        <v>0.04621515076</v>
      </c>
      <c r="AK278" s="28" t="n">
        <f aca="false">IF($R278&gt;0,Params!$B$9*Params!$B$4/(Params!$B$6*$R278*Params!$B$8),"n/a")</f>
        <v>3.89482663239071</v>
      </c>
      <c r="AL278" s="27" t="str">
        <f aca="false">IFERROR(ciq($D278,"IQ_PE_EXCL"),"")</f>
        <v/>
      </c>
      <c r="AM278" s="27" t="str">
        <f aca="false">IFERROR(ciq($D278,"IQ_PE_EXCL_FWD_CIQ"),"")</f>
        <v/>
      </c>
      <c r="AN278" s="27" t="str">
        <f aca="false">IFERROR(ciq($D278,"IQ_PBV"),"")</f>
        <v/>
      </c>
      <c r="AO278" s="27" t="str">
        <f aca="false">IFERROR(ciq($D278,"IQ_TEV_EBITDA"),"")</f>
        <v/>
      </c>
      <c r="AP278" s="24" t="str">
        <f aca="false">IFERROR(ciq($D278,"IQ_RETURN_EQUITY"),"")</f>
        <v/>
      </c>
      <c r="AQ278" s="24" t="str">
        <f aca="false">IFERROR(ciq($D278,"IQ_RETURN_CAPITAL"),"")</f>
        <v/>
      </c>
      <c r="AR278" s="24" t="str">
        <f aca="false">IFERROR(ciq($D278,"IQ_TOTAL_REV_1YR_ANN_GROWTH"),"")</f>
        <v/>
      </c>
      <c r="AS278" s="24" t="str">
        <f aca="false">IFERROR(ciq($D278,"IQ_EPS_1YR_ANN_GROWTH"),"")</f>
        <v/>
      </c>
      <c r="AT278" s="24" t="str">
        <f aca="false">IFERROR(ciq($D278,"IQ_DIVIDEND_YIELD"),"")</f>
        <v/>
      </c>
      <c r="AU278" s="24" t="str">
        <f aca="false">IFERROR(ciq($D278,"IQ_NET_DEBT"),"")</f>
        <v/>
      </c>
    </row>
    <row r="279" customFormat="false" ht="15" hidden="false" customHeight="false" outlineLevel="0" collapsed="false">
      <c r="A279" s="8" t="s">
        <v>1533</v>
      </c>
      <c r="B279" s="6" t="s">
        <v>1534</v>
      </c>
      <c r="C279" s="8" t="s">
        <v>74</v>
      </c>
      <c r="D279" s="8" t="s">
        <v>1535</v>
      </c>
      <c r="E279" s="8" t="s">
        <v>1536</v>
      </c>
      <c r="F279" s="6" t="s">
        <v>1221</v>
      </c>
      <c r="G279" s="8" t="s">
        <v>56</v>
      </c>
      <c r="H279" s="8" t="s">
        <v>66</v>
      </c>
      <c r="I279" s="8"/>
      <c r="J279" s="8"/>
      <c r="K279" s="8"/>
      <c r="L279" s="8" t="s">
        <v>241</v>
      </c>
      <c r="M279" s="23" t="n">
        <v>40650</v>
      </c>
      <c r="N279" s="23" t="n">
        <v>7597.9114185</v>
      </c>
      <c r="O279" s="23" t="n">
        <v>7596.97686605</v>
      </c>
      <c r="P279" s="24" t="n">
        <v>55.1168742625</v>
      </c>
      <c r="Q279" s="24" t="n">
        <v>51.0370734316667</v>
      </c>
      <c r="R279" s="24" t="n">
        <v>51.0370734316667</v>
      </c>
      <c r="S279" s="25" t="n">
        <v>0.00725421385254598</v>
      </c>
      <c r="T279" s="26" t="n">
        <v>0.637704976259212</v>
      </c>
      <c r="U279" s="23" t="n">
        <v>0</v>
      </c>
      <c r="V279" s="26" t="n">
        <v>-0.06</v>
      </c>
      <c r="W279" s="26" t="n">
        <v>0.0137617228813949</v>
      </c>
      <c r="X279" s="26" t="n">
        <v>-0.0121311079029576</v>
      </c>
      <c r="Y279" s="26" t="n">
        <v>-0.360914394548057</v>
      </c>
      <c r="Z279" s="26" t="n">
        <v>-0.414094186616337</v>
      </c>
      <c r="AA279" s="26" t="n">
        <v>-0.607884624880511</v>
      </c>
      <c r="AB279" s="26" t="n">
        <v>-0.614503004208464</v>
      </c>
      <c r="AC279" s="27" t="n">
        <v>0.882511425255919</v>
      </c>
      <c r="AD279" s="28" t="n">
        <f aca="false">Params!$B$6*Params!$B$7*$R279</f>
        <v>30.622244059</v>
      </c>
      <c r="AE279" s="29" t="n">
        <f aca="false">MIN(Params!$B$9,AD279/Params!$B$4)</f>
        <v>0.06</v>
      </c>
      <c r="AF279" s="29" t="n">
        <f aca="false">MIN(Params!$B$9,AD279/Params!$B$5)</f>
        <v>0.030622244059</v>
      </c>
      <c r="AG279" s="28" t="n">
        <f aca="false">IF($R279&gt;0,Params!$B$9*Params!$B$4/(Params!$B$6*$R279),"n/a")</f>
        <v>2.93903999414924</v>
      </c>
      <c r="AH279" s="28" t="n">
        <f aca="false">IF($R279&gt;0,Params!$B$9*Params!$B$5/(Params!$B$6*$R279),"n/a")</f>
        <v>5.87807998829848</v>
      </c>
      <c r="AI279" s="28" t="n">
        <f aca="false">IF($R279&gt;0,Params!$B$15*Params!$B$4/(Params!$B$6*$R279),"n/a")</f>
        <v>0.979679998049747</v>
      </c>
      <c r="AJ279" s="29" t="n">
        <f aca="false">MIN(Params!$B$9,AD279*Params!$B$8/Params!$B$4)</f>
        <v>0.030622244059</v>
      </c>
      <c r="AK279" s="28" t="n">
        <f aca="false">IF($R279&gt;0,Params!$B$9*Params!$B$4/(Params!$B$6*$R279*Params!$B$8),"n/a")</f>
        <v>5.87807998829848</v>
      </c>
      <c r="AL279" s="27" t="str">
        <f aca="false">IFERROR(ciq($D279,"IQ_PE_EXCL"),"")</f>
        <v/>
      </c>
      <c r="AM279" s="27" t="str">
        <f aca="false">IFERROR(ciq($D279,"IQ_PE_EXCL_FWD_CIQ"),"")</f>
        <v/>
      </c>
      <c r="AN279" s="27" t="str">
        <f aca="false">IFERROR(ciq($D279,"IQ_PBV"),"")</f>
        <v/>
      </c>
      <c r="AO279" s="27" t="str">
        <f aca="false">IFERROR(ciq($D279,"IQ_TEV_EBITDA"),"")</f>
        <v/>
      </c>
      <c r="AP279" s="24" t="str">
        <f aca="false">IFERROR(ciq($D279,"IQ_RETURN_EQUITY"),"")</f>
        <v/>
      </c>
      <c r="AQ279" s="24" t="str">
        <f aca="false">IFERROR(ciq($D279,"IQ_RETURN_CAPITAL"),"")</f>
        <v/>
      </c>
      <c r="AR279" s="24" t="str">
        <f aca="false">IFERROR(ciq($D279,"IQ_TOTAL_REV_1YR_ANN_GROWTH"),"")</f>
        <v/>
      </c>
      <c r="AS279" s="24" t="str">
        <f aca="false">IFERROR(ciq($D279,"IQ_EPS_1YR_ANN_GROWTH"),"")</f>
        <v/>
      </c>
      <c r="AT279" s="24" t="str">
        <f aca="false">IFERROR(ciq($D279,"IQ_DIVIDEND_YIELD"),"")</f>
        <v/>
      </c>
      <c r="AU279" s="24" t="str">
        <f aca="false">IFERROR(ciq($D279,"IQ_NET_DEBT"),"")</f>
        <v/>
      </c>
    </row>
    <row r="280" customFormat="false" ht="15" hidden="false" customHeight="false" outlineLevel="0" collapsed="false">
      <c r="A280" s="8" t="s">
        <v>1537</v>
      </c>
      <c r="B280" s="8" t="s">
        <v>1538</v>
      </c>
      <c r="C280" s="8" t="s">
        <v>73</v>
      </c>
      <c r="D280" s="8" t="s">
        <v>1539</v>
      </c>
      <c r="E280" s="8" t="s">
        <v>1540</v>
      </c>
      <c r="F280" s="6" t="s">
        <v>627</v>
      </c>
      <c r="G280" s="8" t="s">
        <v>56</v>
      </c>
      <c r="H280" s="8" t="s">
        <v>66</v>
      </c>
      <c r="I280" s="8"/>
      <c r="J280" s="8"/>
      <c r="K280" s="8"/>
      <c r="L280" s="8"/>
      <c r="M280" s="23" t="n">
        <v>41150</v>
      </c>
      <c r="N280" s="23" t="n">
        <v>7583.945</v>
      </c>
      <c r="O280" s="23" t="n">
        <v>8520.189</v>
      </c>
      <c r="P280" s="24" t="n">
        <v>61.8531852875</v>
      </c>
      <c r="Q280" s="24" t="n">
        <v>102.945359116667</v>
      </c>
      <c r="R280" s="24" t="n">
        <v>61.8531852875</v>
      </c>
      <c r="S280" s="25" t="n">
        <v>0.00815580615200928</v>
      </c>
      <c r="T280" s="26" t="n">
        <v>0.915061176782316</v>
      </c>
      <c r="U280" s="23" t="n">
        <v>1</v>
      </c>
      <c r="V280" s="26" t="n">
        <v>-0.06</v>
      </c>
      <c r="W280" s="26" t="n">
        <v>-0.135356161004342</v>
      </c>
      <c r="X280" s="26" t="n">
        <v>-0.252990805710927</v>
      </c>
      <c r="Y280" s="26" t="n">
        <v>0.397805752125783</v>
      </c>
      <c r="Z280" s="26" t="n">
        <v>0.427126840407778</v>
      </c>
      <c r="AA280" s="26" t="n">
        <v>1.19703589174589</v>
      </c>
      <c r="AB280" s="26" t="n">
        <v>-0.380909274825563</v>
      </c>
      <c r="AC280" s="27" t="n">
        <v>0.415243169785707</v>
      </c>
      <c r="AD280" s="28" t="n">
        <f aca="false">Params!$B$6*Params!$B$7*$R280</f>
        <v>37.1119111725</v>
      </c>
      <c r="AE280" s="29" t="n">
        <f aca="false">MIN(Params!$B$9,AD280/Params!$B$4)</f>
        <v>0.06</v>
      </c>
      <c r="AF280" s="29" t="n">
        <f aca="false">MIN(Params!$B$9,AD280/Params!$B$5)</f>
        <v>0.0371119111725</v>
      </c>
      <c r="AG280" s="28" t="n">
        <f aca="false">IF($R280&gt;0,Params!$B$9*Params!$B$4/(Params!$B$6*$R280),"n/a")</f>
        <v>2.42509741903807</v>
      </c>
      <c r="AH280" s="28" t="n">
        <f aca="false">IF($R280&gt;0,Params!$B$9*Params!$B$5/(Params!$B$6*$R280),"n/a")</f>
        <v>4.85019483807615</v>
      </c>
      <c r="AI280" s="28" t="n">
        <f aca="false">IF($R280&gt;0,Params!$B$15*Params!$B$4/(Params!$B$6*$R280),"n/a")</f>
        <v>0.808365806346025</v>
      </c>
      <c r="AJ280" s="29" t="n">
        <f aca="false">MIN(Params!$B$9,AD280*Params!$B$8/Params!$B$4)</f>
        <v>0.0371119111725</v>
      </c>
      <c r="AK280" s="28" t="n">
        <f aca="false">IF($R280&gt;0,Params!$B$9*Params!$B$4/(Params!$B$6*$R280*Params!$B$8),"n/a")</f>
        <v>4.85019483807615</v>
      </c>
      <c r="AL280" s="27" t="str">
        <f aca="false">IFERROR(ciq($D280,"IQ_PE_EXCL"),"")</f>
        <v/>
      </c>
      <c r="AM280" s="27" t="str">
        <f aca="false">IFERROR(ciq($D280,"IQ_PE_EXCL_FWD_CIQ"),"")</f>
        <v/>
      </c>
      <c r="AN280" s="27" t="str">
        <f aca="false">IFERROR(ciq($D280,"IQ_PBV"),"")</f>
        <v/>
      </c>
      <c r="AO280" s="27" t="str">
        <f aca="false">IFERROR(ciq($D280,"IQ_TEV_EBITDA"),"")</f>
        <v/>
      </c>
      <c r="AP280" s="24" t="str">
        <f aca="false">IFERROR(ciq($D280,"IQ_RETURN_EQUITY"),"")</f>
        <v/>
      </c>
      <c r="AQ280" s="24" t="str">
        <f aca="false">IFERROR(ciq($D280,"IQ_RETURN_CAPITAL"),"")</f>
        <v/>
      </c>
      <c r="AR280" s="24" t="str">
        <f aca="false">IFERROR(ciq($D280,"IQ_TOTAL_REV_1YR_ANN_GROWTH"),"")</f>
        <v/>
      </c>
      <c r="AS280" s="24" t="str">
        <f aca="false">IFERROR(ciq($D280,"IQ_EPS_1YR_ANN_GROWTH"),"")</f>
        <v/>
      </c>
      <c r="AT280" s="24" t="str">
        <f aca="false">IFERROR(ciq($D280,"IQ_DIVIDEND_YIELD"),"")</f>
        <v/>
      </c>
      <c r="AU280" s="24" t="str">
        <f aca="false">IFERROR(ciq($D280,"IQ_NET_DEBT"),"")</f>
        <v/>
      </c>
    </row>
    <row r="281" customFormat="false" ht="15" hidden="false" customHeight="false" outlineLevel="0" collapsed="false">
      <c r="A281" s="8" t="s">
        <v>1541</v>
      </c>
      <c r="B281" s="6" t="s">
        <v>1542</v>
      </c>
      <c r="C281" s="8" t="s">
        <v>73</v>
      </c>
      <c r="D281" s="8" t="s">
        <v>1543</v>
      </c>
      <c r="E281" s="8" t="s">
        <v>1544</v>
      </c>
      <c r="F281" s="6" t="s">
        <v>627</v>
      </c>
      <c r="G281" s="8" t="s">
        <v>56</v>
      </c>
      <c r="H281" s="8" t="s">
        <v>66</v>
      </c>
      <c r="I281" s="8"/>
      <c r="J281" s="8"/>
      <c r="K281" s="8"/>
      <c r="L281" s="8" t="s">
        <v>241</v>
      </c>
      <c r="M281" s="23" t="n">
        <v>6060</v>
      </c>
      <c r="N281" s="23" t="n">
        <v>7245.2771574</v>
      </c>
      <c r="O281" s="23" t="n">
        <v>8186.804510775</v>
      </c>
      <c r="P281" s="24" t="n">
        <v>80.623558995</v>
      </c>
      <c r="Q281" s="24" t="n">
        <v>202.2849671275</v>
      </c>
      <c r="R281" s="24" t="n">
        <v>80.623558995</v>
      </c>
      <c r="S281" s="25" t="n">
        <v>0.0111277398011827</v>
      </c>
      <c r="T281" s="26" t="n">
        <v>0.882086440881188</v>
      </c>
      <c r="U281" s="23" t="n">
        <v>0</v>
      </c>
      <c r="V281" s="26" t="n">
        <v>-0.06</v>
      </c>
      <c r="W281" s="26" t="n">
        <v>-0.206645000951389</v>
      </c>
      <c r="X281" s="26" t="n">
        <v>-0.432428033888622</v>
      </c>
      <c r="Y281" s="26" t="n">
        <v>-0.523893827864308</v>
      </c>
      <c r="Z281" s="26" t="n">
        <v>-0.186352985190965</v>
      </c>
      <c r="AA281" s="26" t="n">
        <v>1.3400253951785</v>
      </c>
      <c r="AB281" s="26" t="n">
        <v>-0.718066100939294</v>
      </c>
      <c r="AC281" s="27" t="n">
        <v>0.106146091720805</v>
      </c>
      <c r="AD281" s="28" t="n">
        <f aca="false">Params!$B$6*Params!$B$7*$R281</f>
        <v>48.374135397</v>
      </c>
      <c r="AE281" s="29" t="n">
        <f aca="false">MIN(Params!$B$9,AD281/Params!$B$4)</f>
        <v>0.06</v>
      </c>
      <c r="AF281" s="29" t="n">
        <f aca="false">MIN(Params!$B$9,AD281/Params!$B$5)</f>
        <v>0.048374135397</v>
      </c>
      <c r="AG281" s="28" t="n">
        <f aca="false">IF($R281&gt;0,Params!$B$9*Params!$B$4/(Params!$B$6*$R281),"n/a")</f>
        <v>1.86049836883661</v>
      </c>
      <c r="AH281" s="28" t="n">
        <f aca="false">IF($R281&gt;0,Params!$B$9*Params!$B$5/(Params!$B$6*$R281),"n/a")</f>
        <v>3.72099673767323</v>
      </c>
      <c r="AI281" s="28" t="n">
        <f aca="false">IF($R281&gt;0,Params!$B$15*Params!$B$4/(Params!$B$6*$R281),"n/a")</f>
        <v>0.620166122945538</v>
      </c>
      <c r="AJ281" s="29" t="n">
        <f aca="false">MIN(Params!$B$9,AD281*Params!$B$8/Params!$B$4)</f>
        <v>0.048374135397</v>
      </c>
      <c r="AK281" s="28" t="n">
        <f aca="false">IF($R281&gt;0,Params!$B$9*Params!$B$4/(Params!$B$6*$R281*Params!$B$8),"n/a")</f>
        <v>3.72099673767323</v>
      </c>
      <c r="AL281" s="27" t="str">
        <f aca="false">IFERROR(ciq($D281,"IQ_PE_EXCL"),"")</f>
        <v/>
      </c>
      <c r="AM281" s="27" t="str">
        <f aca="false">IFERROR(ciq($D281,"IQ_PE_EXCL_FWD_CIQ"),"")</f>
        <v/>
      </c>
      <c r="AN281" s="27" t="str">
        <f aca="false">IFERROR(ciq($D281,"IQ_PBV"),"")</f>
        <v/>
      </c>
      <c r="AO281" s="27" t="str">
        <f aca="false">IFERROR(ciq($D281,"IQ_TEV_EBITDA"),"")</f>
        <v/>
      </c>
      <c r="AP281" s="24" t="str">
        <f aca="false">IFERROR(ciq($D281,"IQ_RETURN_EQUITY"),"")</f>
        <v/>
      </c>
      <c r="AQ281" s="24" t="str">
        <f aca="false">IFERROR(ciq($D281,"IQ_RETURN_CAPITAL"),"")</f>
        <v/>
      </c>
      <c r="AR281" s="24" t="str">
        <f aca="false">IFERROR(ciq($D281,"IQ_TOTAL_REV_1YR_ANN_GROWTH"),"")</f>
        <v/>
      </c>
      <c r="AS281" s="24" t="str">
        <f aca="false">IFERROR(ciq($D281,"IQ_EPS_1YR_ANN_GROWTH"),"")</f>
        <v/>
      </c>
      <c r="AT281" s="24" t="str">
        <f aca="false">IFERROR(ciq($D281,"IQ_DIVIDEND_YIELD"),"")</f>
        <v/>
      </c>
      <c r="AU281" s="24" t="str">
        <f aca="false">IFERROR(ciq($D281,"IQ_NET_DEBT"),"")</f>
        <v/>
      </c>
    </row>
    <row r="282" customFormat="false" ht="15" hidden="false" customHeight="false" outlineLevel="0" collapsed="false">
      <c r="A282" s="8" t="s">
        <v>1545</v>
      </c>
      <c r="B282" s="8" t="s">
        <v>1546</v>
      </c>
      <c r="C282" s="8" t="s">
        <v>73</v>
      </c>
      <c r="D282" s="8" t="s">
        <v>1547</v>
      </c>
      <c r="E282" s="8" t="s">
        <v>1548</v>
      </c>
      <c r="F282" s="8"/>
      <c r="G282" s="8" t="s">
        <v>56</v>
      </c>
      <c r="H282" s="8" t="s">
        <v>66</v>
      </c>
      <c r="I282" s="8"/>
      <c r="J282" s="8"/>
      <c r="K282" s="8"/>
      <c r="L282" s="8" t="s">
        <v>241</v>
      </c>
      <c r="M282" s="23" t="n">
        <v>10550</v>
      </c>
      <c r="N282" s="23" t="n">
        <v>7137.3555245</v>
      </c>
      <c r="O282" s="23" t="n">
        <v>7865.97466193</v>
      </c>
      <c r="P282" s="24" t="n">
        <v>52.137654345</v>
      </c>
      <c r="Q282" s="24" t="n">
        <v>87.0973676691667</v>
      </c>
      <c r="R282" s="24" t="n">
        <v>52.137654345</v>
      </c>
      <c r="S282" s="25" t="n">
        <v>0.00730489803485759</v>
      </c>
      <c r="T282" s="26" t="n">
        <v>0.87003463899482</v>
      </c>
      <c r="U282" s="23" t="n">
        <v>0</v>
      </c>
      <c r="V282" s="26" t="n">
        <v>-0.06</v>
      </c>
      <c r="W282" s="26" t="n">
        <v>-0.120738209388667</v>
      </c>
      <c r="X282" s="26" t="n">
        <v>-0.363652796305685</v>
      </c>
      <c r="Y282" s="26" t="n">
        <v>-0.402252210006066</v>
      </c>
      <c r="Z282" s="26" t="n">
        <v>-0.133789308669</v>
      </c>
      <c r="AA282" s="26" t="n">
        <v>0.0348098547415947</v>
      </c>
      <c r="AB282" s="26" t="n">
        <v>-0.662403155465022</v>
      </c>
      <c r="AC282" s="27" t="n">
        <v>0.0918131933112376</v>
      </c>
      <c r="AD282" s="28" t="n">
        <f aca="false">Params!$B$6*Params!$B$7*$R282</f>
        <v>31.282592607</v>
      </c>
      <c r="AE282" s="29" t="n">
        <f aca="false">MIN(Params!$B$9,AD282/Params!$B$4)</f>
        <v>0.06</v>
      </c>
      <c r="AF282" s="29" t="n">
        <f aca="false">MIN(Params!$B$9,AD282/Params!$B$5)</f>
        <v>0.031282592607</v>
      </c>
      <c r="AG282" s="28" t="n">
        <f aca="false">IF($R282&gt;0,Params!$B$9*Params!$B$4/(Params!$B$6*$R282),"n/a")</f>
        <v>2.87699939486029</v>
      </c>
      <c r="AH282" s="28" t="n">
        <f aca="false">IF($R282&gt;0,Params!$B$9*Params!$B$5/(Params!$B$6*$R282),"n/a")</f>
        <v>5.75399878972058</v>
      </c>
      <c r="AI282" s="28" t="n">
        <f aca="false">IF($R282&gt;0,Params!$B$15*Params!$B$4/(Params!$B$6*$R282),"n/a")</f>
        <v>0.958999798286763</v>
      </c>
      <c r="AJ282" s="29" t="n">
        <f aca="false">MIN(Params!$B$9,AD282*Params!$B$8/Params!$B$4)</f>
        <v>0.031282592607</v>
      </c>
      <c r="AK282" s="28" t="n">
        <f aca="false">IF($R282&gt;0,Params!$B$9*Params!$B$4/(Params!$B$6*$R282*Params!$B$8),"n/a")</f>
        <v>5.75399878972058</v>
      </c>
      <c r="AL282" s="27" t="str">
        <f aca="false">IFERROR(ciq($D282,"IQ_PE_EXCL"),"")</f>
        <v/>
      </c>
      <c r="AM282" s="27" t="str">
        <f aca="false">IFERROR(ciq($D282,"IQ_PE_EXCL_FWD_CIQ"),"")</f>
        <v/>
      </c>
      <c r="AN282" s="27" t="str">
        <f aca="false">IFERROR(ciq($D282,"IQ_PBV"),"")</f>
        <v/>
      </c>
      <c r="AO282" s="27" t="str">
        <f aca="false">IFERROR(ciq($D282,"IQ_TEV_EBITDA"),"")</f>
        <v/>
      </c>
      <c r="AP282" s="24" t="str">
        <f aca="false">IFERROR(ciq($D282,"IQ_RETURN_EQUITY"),"")</f>
        <v/>
      </c>
      <c r="AQ282" s="24" t="str">
        <f aca="false">IFERROR(ciq($D282,"IQ_RETURN_CAPITAL"),"")</f>
        <v/>
      </c>
      <c r="AR282" s="24" t="str">
        <f aca="false">IFERROR(ciq($D282,"IQ_TOTAL_REV_1YR_ANN_GROWTH"),"")</f>
        <v/>
      </c>
      <c r="AS282" s="24" t="str">
        <f aca="false">IFERROR(ciq($D282,"IQ_EPS_1YR_ANN_GROWTH"),"")</f>
        <v/>
      </c>
      <c r="AT282" s="24" t="str">
        <f aca="false">IFERROR(ciq($D282,"IQ_DIVIDEND_YIELD"),"")</f>
        <v/>
      </c>
      <c r="AU282" s="24" t="str">
        <f aca="false">IFERROR(ciq($D282,"IQ_NET_DEBT"),"")</f>
        <v/>
      </c>
    </row>
    <row r="283" customFormat="false" ht="15" hidden="false" customHeight="false" outlineLevel="0" collapsed="false">
      <c r="A283" s="8" t="s">
        <v>1549</v>
      </c>
      <c r="B283" s="6" t="s">
        <v>1550</v>
      </c>
      <c r="C283" s="8" t="s">
        <v>74</v>
      </c>
      <c r="D283" s="8" t="s">
        <v>1551</v>
      </c>
      <c r="E283" s="8" t="s">
        <v>1552</v>
      </c>
      <c r="F283" s="6" t="s">
        <v>584</v>
      </c>
      <c r="G283" s="8" t="s">
        <v>56</v>
      </c>
      <c r="H283" s="8" t="s">
        <v>66</v>
      </c>
      <c r="I283" s="8"/>
      <c r="J283" s="8"/>
      <c r="K283" s="8"/>
      <c r="L283" s="8" t="s">
        <v>241</v>
      </c>
      <c r="M283" s="23" t="n">
        <v>43900</v>
      </c>
      <c r="N283" s="23" t="n">
        <v>7051.397551</v>
      </c>
      <c r="O283" s="23" t="n">
        <v>7603.9444206</v>
      </c>
      <c r="P283" s="24" t="n">
        <v>56.828723375</v>
      </c>
      <c r="Q283" s="24" t="n">
        <v>88.2140291958333</v>
      </c>
      <c r="R283" s="24" t="n">
        <v>56.828723375</v>
      </c>
      <c r="S283" s="25" t="n">
        <v>0.00805921421448444</v>
      </c>
      <c r="T283" s="26" t="n">
        <v>0.868201328756319</v>
      </c>
      <c r="U283" s="23" t="n">
        <v>0</v>
      </c>
      <c r="V283" s="26" t="n">
        <v>-0.06</v>
      </c>
      <c r="W283" s="26" t="n">
        <v>-0.07379073777976</v>
      </c>
      <c r="X283" s="26" t="n">
        <v>-0.125380889405902</v>
      </c>
      <c r="Y283" s="26" t="n">
        <v>-0.110209049689949</v>
      </c>
      <c r="Z283" s="26" t="n">
        <v>0.251175823923851</v>
      </c>
      <c r="AA283" s="26" t="n">
        <v>0.246100042706257</v>
      </c>
      <c r="AB283" s="26" t="n">
        <v>-0.520097224849431</v>
      </c>
      <c r="AC283" s="27" t="n">
        <v>0.332872807407676</v>
      </c>
      <c r="AD283" s="28" t="n">
        <f aca="false">Params!$B$6*Params!$B$7*$R283</f>
        <v>34.097234025</v>
      </c>
      <c r="AE283" s="29" t="n">
        <f aca="false">MIN(Params!$B$9,AD283/Params!$B$4)</f>
        <v>0.06</v>
      </c>
      <c r="AF283" s="29" t="n">
        <f aca="false">MIN(Params!$B$9,AD283/Params!$B$5)</f>
        <v>0.034097234025</v>
      </c>
      <c r="AG283" s="28" t="n">
        <f aca="false">IF($R283&gt;0,Params!$B$9*Params!$B$4/(Params!$B$6*$R283),"n/a")</f>
        <v>2.63951028796096</v>
      </c>
      <c r="AH283" s="28" t="n">
        <f aca="false">IF($R283&gt;0,Params!$B$9*Params!$B$5/(Params!$B$6*$R283),"n/a")</f>
        <v>5.27902057592192</v>
      </c>
      <c r="AI283" s="28" t="n">
        <f aca="false">IF($R283&gt;0,Params!$B$15*Params!$B$4/(Params!$B$6*$R283),"n/a")</f>
        <v>0.879836762653653</v>
      </c>
      <c r="AJ283" s="29" t="n">
        <f aca="false">MIN(Params!$B$9,AD283*Params!$B$8/Params!$B$4)</f>
        <v>0.034097234025</v>
      </c>
      <c r="AK283" s="28" t="n">
        <f aca="false">IF($R283&gt;0,Params!$B$9*Params!$B$4/(Params!$B$6*$R283*Params!$B$8),"n/a")</f>
        <v>5.27902057592192</v>
      </c>
      <c r="AL283" s="27" t="str">
        <f aca="false">IFERROR(ciq($D283,"IQ_PE_EXCL"),"")</f>
        <v/>
      </c>
      <c r="AM283" s="27" t="str">
        <f aca="false">IFERROR(ciq($D283,"IQ_PE_EXCL_FWD_CIQ"),"")</f>
        <v/>
      </c>
      <c r="AN283" s="27" t="str">
        <f aca="false">IFERROR(ciq($D283,"IQ_PBV"),"")</f>
        <v/>
      </c>
      <c r="AO283" s="27" t="str">
        <f aca="false">IFERROR(ciq($D283,"IQ_TEV_EBITDA"),"")</f>
        <v/>
      </c>
      <c r="AP283" s="24" t="str">
        <f aca="false">IFERROR(ciq($D283,"IQ_RETURN_EQUITY"),"")</f>
        <v/>
      </c>
      <c r="AQ283" s="24" t="str">
        <f aca="false">IFERROR(ciq($D283,"IQ_RETURN_CAPITAL"),"")</f>
        <v/>
      </c>
      <c r="AR283" s="24" t="str">
        <f aca="false">IFERROR(ciq($D283,"IQ_TOTAL_REV_1YR_ANN_GROWTH"),"")</f>
        <v/>
      </c>
      <c r="AS283" s="24" t="str">
        <f aca="false">IFERROR(ciq($D283,"IQ_EPS_1YR_ANN_GROWTH"),"")</f>
        <v/>
      </c>
      <c r="AT283" s="24" t="str">
        <f aca="false">IFERROR(ciq($D283,"IQ_DIVIDEND_YIELD"),"")</f>
        <v/>
      </c>
      <c r="AU283" s="24" t="str">
        <f aca="false">IFERROR(ciq($D283,"IQ_NET_DEBT"),"")</f>
        <v/>
      </c>
    </row>
    <row r="284" customFormat="false" ht="15" hidden="false" customHeight="false" outlineLevel="0" collapsed="false">
      <c r="A284" s="8" t="s">
        <v>1553</v>
      </c>
      <c r="B284" s="6" t="s">
        <v>1554</v>
      </c>
      <c r="C284" s="8" t="s">
        <v>73</v>
      </c>
      <c r="D284" s="8" t="s">
        <v>1555</v>
      </c>
      <c r="E284" s="8" t="s">
        <v>1556</v>
      </c>
      <c r="F284" s="6" t="s">
        <v>1532</v>
      </c>
      <c r="G284" s="8" t="s">
        <v>56</v>
      </c>
      <c r="H284" s="8" t="s">
        <v>66</v>
      </c>
      <c r="I284" s="8"/>
      <c r="J284" s="8"/>
      <c r="K284" s="8"/>
      <c r="L284" s="8"/>
      <c r="M284" s="23" t="n">
        <v>25250</v>
      </c>
      <c r="N284" s="23" t="n">
        <v>6637.72</v>
      </c>
      <c r="O284" s="23" t="n">
        <v>7244.9728</v>
      </c>
      <c r="P284" s="24" t="n">
        <v>63.0066114375</v>
      </c>
      <c r="Q284" s="24" t="n">
        <v>111.71848175</v>
      </c>
      <c r="R284" s="24" t="n">
        <v>63.0066114375</v>
      </c>
      <c r="S284" s="25" t="n">
        <v>0.00949220687788879</v>
      </c>
      <c r="T284" s="26" t="n">
        <v>0.982002082292659</v>
      </c>
      <c r="U284" s="23" t="n">
        <v>1</v>
      </c>
      <c r="V284" s="26" t="n">
        <v>-0.06</v>
      </c>
      <c r="W284" s="26" t="n">
        <v>-0.0949149662068586</v>
      </c>
      <c r="X284" s="26" t="n">
        <v>-0.250756850885577</v>
      </c>
      <c r="Y284" s="26" t="n">
        <v>-0.245226275313326</v>
      </c>
      <c r="Z284" s="26" t="n">
        <v>0.177137166588884</v>
      </c>
      <c r="AA284" s="26" t="n">
        <v>0.450179142117955</v>
      </c>
      <c r="AB284" s="26" t="n">
        <v>-0.400983502657082</v>
      </c>
      <c r="AC284" s="27" t="n">
        <v>0.501698970401791</v>
      </c>
      <c r="AD284" s="28" t="n">
        <f aca="false">Params!$B$6*Params!$B$7*$R284</f>
        <v>37.8039668625</v>
      </c>
      <c r="AE284" s="29" t="n">
        <f aca="false">MIN(Params!$B$9,AD284/Params!$B$4)</f>
        <v>0.06</v>
      </c>
      <c r="AF284" s="29" t="n">
        <f aca="false">MIN(Params!$B$9,AD284/Params!$B$5)</f>
        <v>0.0378039668625</v>
      </c>
      <c r="AG284" s="28" t="n">
        <f aca="false">IF($R284&gt;0,Params!$B$9*Params!$B$4/(Params!$B$6*$R284),"n/a")</f>
        <v>2.38070254180855</v>
      </c>
      <c r="AH284" s="28" t="n">
        <f aca="false">IF($R284&gt;0,Params!$B$9*Params!$B$5/(Params!$B$6*$R284),"n/a")</f>
        <v>4.7614050836171</v>
      </c>
      <c r="AI284" s="28" t="n">
        <f aca="false">IF($R284&gt;0,Params!$B$15*Params!$B$4/(Params!$B$6*$R284),"n/a")</f>
        <v>0.793567513936184</v>
      </c>
      <c r="AJ284" s="29" t="n">
        <f aca="false">MIN(Params!$B$9,AD284*Params!$B$8/Params!$B$4)</f>
        <v>0.0378039668625</v>
      </c>
      <c r="AK284" s="28" t="n">
        <f aca="false">IF($R284&gt;0,Params!$B$9*Params!$B$4/(Params!$B$6*$R284*Params!$B$8),"n/a")</f>
        <v>4.7614050836171</v>
      </c>
      <c r="AL284" s="27" t="str">
        <f aca="false">IFERROR(ciq($D284,"IQ_PE_EXCL"),"")</f>
        <v/>
      </c>
      <c r="AM284" s="27" t="str">
        <f aca="false">IFERROR(ciq($D284,"IQ_PE_EXCL_FWD_CIQ"),"")</f>
        <v/>
      </c>
      <c r="AN284" s="27" t="str">
        <f aca="false">IFERROR(ciq($D284,"IQ_PBV"),"")</f>
        <v/>
      </c>
      <c r="AO284" s="27" t="str">
        <f aca="false">IFERROR(ciq($D284,"IQ_TEV_EBITDA"),"")</f>
        <v/>
      </c>
      <c r="AP284" s="24" t="str">
        <f aca="false">IFERROR(ciq($D284,"IQ_RETURN_EQUITY"),"")</f>
        <v/>
      </c>
      <c r="AQ284" s="24" t="str">
        <f aca="false">IFERROR(ciq($D284,"IQ_RETURN_CAPITAL"),"")</f>
        <v/>
      </c>
      <c r="AR284" s="24" t="str">
        <f aca="false">IFERROR(ciq($D284,"IQ_TOTAL_REV_1YR_ANN_GROWTH"),"")</f>
        <v/>
      </c>
      <c r="AS284" s="24" t="str">
        <f aca="false">IFERROR(ciq($D284,"IQ_EPS_1YR_ANN_GROWTH"),"")</f>
        <v/>
      </c>
      <c r="AT284" s="24" t="str">
        <f aca="false">IFERROR(ciq($D284,"IQ_DIVIDEND_YIELD"),"")</f>
        <v/>
      </c>
      <c r="AU284" s="24" t="str">
        <f aca="false">IFERROR(ciq($D284,"IQ_NET_DEBT"),"")</f>
        <v/>
      </c>
    </row>
    <row r="285" customFormat="false" ht="15" hidden="false" customHeight="false" outlineLevel="0" collapsed="false">
      <c r="A285" s="8" t="s">
        <v>1557</v>
      </c>
      <c r="B285" s="6" t="s">
        <v>1558</v>
      </c>
      <c r="C285" s="8" t="s">
        <v>73</v>
      </c>
      <c r="D285" s="8" t="s">
        <v>1559</v>
      </c>
      <c r="E285" s="8" t="s">
        <v>1560</v>
      </c>
      <c r="F285" s="6" t="s">
        <v>507</v>
      </c>
      <c r="G285" s="8" t="s">
        <v>56</v>
      </c>
      <c r="H285" s="8" t="s">
        <v>66</v>
      </c>
      <c r="I285" s="8"/>
      <c r="J285" s="8"/>
      <c r="K285" s="8"/>
      <c r="L285" s="8" t="s">
        <v>241</v>
      </c>
      <c r="M285" s="23" t="n">
        <v>60700</v>
      </c>
      <c r="N285" s="23" t="n">
        <v>6517.660679</v>
      </c>
      <c r="O285" s="23" t="n">
        <v>7409.40980485</v>
      </c>
      <c r="P285" s="24" t="n">
        <v>52.7107902715</v>
      </c>
      <c r="Q285" s="24" t="n">
        <v>74.9006422863333</v>
      </c>
      <c r="R285" s="24" t="n">
        <v>52.7107902715</v>
      </c>
      <c r="S285" s="25" t="n">
        <v>0.00808737871876868</v>
      </c>
      <c r="T285" s="26" t="n">
        <v>0.950410535648246</v>
      </c>
      <c r="U285" s="23" t="n">
        <v>1</v>
      </c>
      <c r="V285" s="26" t="n">
        <v>-0.06</v>
      </c>
      <c r="W285" s="26" t="n">
        <v>-0.135274713141898</v>
      </c>
      <c r="X285" s="26" t="n">
        <v>-0.404647255837403</v>
      </c>
      <c r="Y285" s="26" t="n">
        <v>-0.566481303149193</v>
      </c>
      <c r="Z285" s="26" t="n">
        <v>0.0207966957834829</v>
      </c>
      <c r="AA285" s="26" t="n">
        <v>0.277368003503737</v>
      </c>
      <c r="AB285" s="26" t="n">
        <v>-0.647763091388903</v>
      </c>
      <c r="AC285" s="27" t="n">
        <v>0.33533666428201</v>
      </c>
      <c r="AD285" s="28" t="n">
        <f aca="false">Params!$B$6*Params!$B$7*$R285</f>
        <v>31.6264741629</v>
      </c>
      <c r="AE285" s="29" t="n">
        <f aca="false">MIN(Params!$B$9,AD285/Params!$B$4)</f>
        <v>0.06</v>
      </c>
      <c r="AF285" s="29" t="n">
        <f aca="false">MIN(Params!$B$9,AD285/Params!$B$5)</f>
        <v>0.0316264741629</v>
      </c>
      <c r="AG285" s="28" t="n">
        <f aca="false">IF($R285&gt;0,Params!$B$9*Params!$B$4/(Params!$B$6*$R285),"n/a")</f>
        <v>2.84571715254861</v>
      </c>
      <c r="AH285" s="28" t="n">
        <f aca="false">IF($R285&gt;0,Params!$B$9*Params!$B$5/(Params!$B$6*$R285),"n/a")</f>
        <v>5.69143430509722</v>
      </c>
      <c r="AI285" s="28" t="n">
        <f aca="false">IF($R285&gt;0,Params!$B$15*Params!$B$4/(Params!$B$6*$R285),"n/a")</f>
        <v>0.94857238418287</v>
      </c>
      <c r="AJ285" s="29" t="n">
        <f aca="false">MIN(Params!$B$9,AD285*Params!$B$8/Params!$B$4)</f>
        <v>0.0316264741629</v>
      </c>
      <c r="AK285" s="28" t="n">
        <f aca="false">IF($R285&gt;0,Params!$B$9*Params!$B$4/(Params!$B$6*$R285*Params!$B$8),"n/a")</f>
        <v>5.69143430509722</v>
      </c>
      <c r="AL285" s="27" t="str">
        <f aca="false">IFERROR(ciq($D285,"IQ_PE_EXCL"),"")</f>
        <v/>
      </c>
      <c r="AM285" s="27" t="str">
        <f aca="false">IFERROR(ciq($D285,"IQ_PE_EXCL_FWD_CIQ"),"")</f>
        <v/>
      </c>
      <c r="AN285" s="27" t="str">
        <f aca="false">IFERROR(ciq($D285,"IQ_PBV"),"")</f>
        <v/>
      </c>
      <c r="AO285" s="27" t="str">
        <f aca="false">IFERROR(ciq($D285,"IQ_TEV_EBITDA"),"")</f>
        <v/>
      </c>
      <c r="AP285" s="24" t="str">
        <f aca="false">IFERROR(ciq($D285,"IQ_RETURN_EQUITY"),"")</f>
        <v/>
      </c>
      <c r="AQ285" s="24" t="str">
        <f aca="false">IFERROR(ciq($D285,"IQ_RETURN_CAPITAL"),"")</f>
        <v/>
      </c>
      <c r="AR285" s="24" t="str">
        <f aca="false">IFERROR(ciq($D285,"IQ_TOTAL_REV_1YR_ANN_GROWTH"),"")</f>
        <v/>
      </c>
      <c r="AS285" s="24" t="str">
        <f aca="false">IFERROR(ciq($D285,"IQ_EPS_1YR_ANN_GROWTH"),"")</f>
        <v/>
      </c>
      <c r="AT285" s="24" t="str">
        <f aca="false">IFERROR(ciq($D285,"IQ_DIVIDEND_YIELD"),"")</f>
        <v/>
      </c>
      <c r="AU285" s="24" t="str">
        <f aca="false">IFERROR(ciq($D285,"IQ_NET_DEBT"),"")</f>
        <v/>
      </c>
    </row>
    <row r="286" customFormat="false" ht="15" hidden="false" customHeight="false" outlineLevel="0" collapsed="false">
      <c r="A286" s="8" t="s">
        <v>1561</v>
      </c>
      <c r="B286" s="6" t="s">
        <v>1562</v>
      </c>
      <c r="C286" s="8" t="s">
        <v>72</v>
      </c>
      <c r="D286" s="8" t="s">
        <v>1563</v>
      </c>
      <c r="E286" s="8" t="s">
        <v>1564</v>
      </c>
      <c r="F286" s="6" t="s">
        <v>1565</v>
      </c>
      <c r="G286" s="8" t="s">
        <v>57</v>
      </c>
      <c r="H286" s="8" t="s">
        <v>66</v>
      </c>
      <c r="I286" s="8"/>
      <c r="J286" s="8"/>
      <c r="K286" s="8"/>
      <c r="L286" s="8"/>
      <c r="M286" s="23" t="n">
        <v>14720</v>
      </c>
      <c r="N286" s="23" t="n">
        <v>31492.0416</v>
      </c>
      <c r="O286" s="23" t="n">
        <v>31105.8789975</v>
      </c>
      <c r="P286" s="24" t="n">
        <v>42.9251098125</v>
      </c>
      <c r="Q286" s="24" t="n">
        <v>73.5550451285</v>
      </c>
      <c r="R286" s="24" t="n">
        <v>42.9251098125</v>
      </c>
      <c r="S286" s="25" t="n">
        <v>0.00136304626920409</v>
      </c>
      <c r="T286" s="26" t="n">
        <v>0.239201023465868</v>
      </c>
      <c r="U286" s="23" t="n">
        <v>0</v>
      </c>
      <c r="V286" s="26" t="n">
        <v>-0.06</v>
      </c>
      <c r="W286" s="26" t="n">
        <v>0.0379787730098622</v>
      </c>
      <c r="X286" s="26" t="n">
        <v>-9.00833454839933E-005</v>
      </c>
      <c r="Y286" s="26" t="n">
        <v>-0.181397392338717</v>
      </c>
      <c r="Z286" s="26" t="n">
        <v>-0.223283204793564</v>
      </c>
      <c r="AA286" s="26" t="n">
        <v>-0.187758260478267</v>
      </c>
      <c r="AB286" s="26" t="n">
        <v>-0.246435555535393</v>
      </c>
      <c r="AC286" s="27" t="n">
        <v>0.471083553290867</v>
      </c>
      <c r="AD286" s="28" t="n">
        <f aca="false">Params!$B$6*Params!$B$7*$R286</f>
        <v>25.7550658875</v>
      </c>
      <c r="AE286" s="29" t="n">
        <f aca="false">MIN(Params!$B$9,AD286/Params!$B$4)</f>
        <v>0.051510131775</v>
      </c>
      <c r="AF286" s="29" t="n">
        <f aca="false">MIN(Params!$B$9,AD286/Params!$B$5)</f>
        <v>0.0257550658875</v>
      </c>
      <c r="AG286" s="28" t="n">
        <f aca="false">IF($R286&gt;0,Params!$B$9*Params!$B$4/(Params!$B$6*$R286),"n/a")</f>
        <v>3.49445815410167</v>
      </c>
      <c r="AH286" s="28" t="n">
        <f aca="false">IF($R286&gt;0,Params!$B$9*Params!$B$5/(Params!$B$6*$R286),"n/a")</f>
        <v>6.98891630820333</v>
      </c>
      <c r="AI286" s="28" t="n">
        <f aca="false">IF($R286&gt;0,Params!$B$15*Params!$B$4/(Params!$B$6*$R286),"n/a")</f>
        <v>1.16481938470056</v>
      </c>
      <c r="AJ286" s="29" t="n">
        <f aca="false">MIN(Params!$B$9,AD286*Params!$B$8/Params!$B$4)</f>
        <v>0.0257550658875</v>
      </c>
      <c r="AK286" s="28" t="n">
        <f aca="false">IF($R286&gt;0,Params!$B$9*Params!$B$4/(Params!$B$6*$R286*Params!$B$8),"n/a")</f>
        <v>6.98891630820333</v>
      </c>
      <c r="AL286" s="27" t="str">
        <f aca="false">IFERROR(ciq($D286,"IQ_PE_EXCL"),"")</f>
        <v/>
      </c>
      <c r="AM286" s="27" t="str">
        <f aca="false">IFERROR(ciq($D286,"IQ_PE_EXCL_FWD_CIQ"),"")</f>
        <v/>
      </c>
      <c r="AN286" s="27" t="str">
        <f aca="false">IFERROR(ciq($D286,"IQ_PBV"),"")</f>
        <v/>
      </c>
      <c r="AO286" s="27" t="str">
        <f aca="false">IFERROR(ciq($D286,"IQ_TEV_EBITDA"),"")</f>
        <v/>
      </c>
      <c r="AP286" s="24" t="str">
        <f aca="false">IFERROR(ciq($D286,"IQ_RETURN_EQUITY"),"")</f>
        <v/>
      </c>
      <c r="AQ286" s="24" t="str">
        <f aca="false">IFERROR(ciq($D286,"IQ_RETURN_CAPITAL"),"")</f>
        <v/>
      </c>
      <c r="AR286" s="24" t="str">
        <f aca="false">IFERROR(ciq($D286,"IQ_TOTAL_REV_1YR_ANN_GROWTH"),"")</f>
        <v/>
      </c>
      <c r="AS286" s="24" t="str">
        <f aca="false">IFERROR(ciq($D286,"IQ_EPS_1YR_ANN_GROWTH"),"")</f>
        <v/>
      </c>
      <c r="AT286" s="24" t="str">
        <f aca="false">IFERROR(ciq($D286,"IQ_DIVIDEND_YIELD"),"")</f>
        <v/>
      </c>
      <c r="AU286" s="24" t="str">
        <f aca="false">IFERROR(ciq($D286,"IQ_NET_DEBT"),"")</f>
        <v/>
      </c>
    </row>
    <row r="287" customFormat="false" ht="15" hidden="false" customHeight="false" outlineLevel="0" collapsed="false">
      <c r="A287" s="8" t="s">
        <v>1566</v>
      </c>
      <c r="B287" s="6" t="s">
        <v>1567</v>
      </c>
      <c r="C287" s="8" t="s">
        <v>72</v>
      </c>
      <c r="D287" s="8" t="s">
        <v>1568</v>
      </c>
      <c r="E287" s="8" t="s">
        <v>1569</v>
      </c>
      <c r="F287" s="8"/>
      <c r="G287" s="8" t="s">
        <v>57</v>
      </c>
      <c r="H287" s="8" t="s">
        <v>66</v>
      </c>
      <c r="I287" s="8"/>
      <c r="J287" s="8"/>
      <c r="K287" s="8"/>
      <c r="L287" s="8"/>
      <c r="M287" s="23" t="n">
        <v>44850</v>
      </c>
      <c r="N287" s="23" t="n">
        <v>31314.986703</v>
      </c>
      <c r="O287" s="23" t="n">
        <v>30487.6007667</v>
      </c>
      <c r="P287" s="24" t="n">
        <v>26.857932325</v>
      </c>
      <c r="Q287" s="24" t="n">
        <v>19.7596761208333</v>
      </c>
      <c r="R287" s="24" t="n">
        <v>19.7596761208333</v>
      </c>
      <c r="S287" s="25" t="n">
        <v>0.000857670245232037</v>
      </c>
      <c r="T287" s="26" t="n">
        <v>0.31603401361675</v>
      </c>
      <c r="U287" s="23" t="n">
        <v>0</v>
      </c>
      <c r="V287" s="26" t="n">
        <v>-0.06</v>
      </c>
      <c r="W287" s="26" t="n">
        <v>0.0440555363177135</v>
      </c>
      <c r="X287" s="26" t="n">
        <v>0.0120507971219066</v>
      </c>
      <c r="Y287" s="26" t="n">
        <v>-0.224372988046231</v>
      </c>
      <c r="Z287" s="26" t="n">
        <v>-0.0987642323148426</v>
      </c>
      <c r="AA287" s="26" t="n">
        <v>0.0563046056370082</v>
      </c>
      <c r="AB287" s="26" t="n">
        <v>-0.276883421285112</v>
      </c>
      <c r="AC287" s="27" t="n">
        <v>0.60729427724648</v>
      </c>
      <c r="AD287" s="28" t="n">
        <f aca="false">Params!$B$6*Params!$B$7*$R287</f>
        <v>11.8558056725</v>
      </c>
      <c r="AE287" s="29" t="n">
        <f aca="false">MIN(Params!$B$9,AD287/Params!$B$4)</f>
        <v>0.023711611345</v>
      </c>
      <c r="AF287" s="29" t="n">
        <f aca="false">MIN(Params!$B$9,AD287/Params!$B$5)</f>
        <v>0.0118558056725</v>
      </c>
      <c r="AG287" s="28" t="n">
        <f aca="false">IF($R287&gt;0,Params!$B$9*Params!$B$4/(Params!$B$6*$R287),"n/a")</f>
        <v>7.59121754236901</v>
      </c>
      <c r="AH287" s="28" t="n">
        <f aca="false">IF($R287&gt;0,Params!$B$9*Params!$B$5/(Params!$B$6*$R287),"n/a")</f>
        <v>15.182435084738</v>
      </c>
      <c r="AI287" s="28" t="n">
        <f aca="false">IF($R287&gt;0,Params!$B$15*Params!$B$4/(Params!$B$6*$R287),"n/a")</f>
        <v>2.53040584745634</v>
      </c>
      <c r="AJ287" s="29" t="n">
        <f aca="false">MIN(Params!$B$9,AD287*Params!$B$8/Params!$B$4)</f>
        <v>0.0118558056725</v>
      </c>
      <c r="AK287" s="28" t="n">
        <f aca="false">IF($R287&gt;0,Params!$B$9*Params!$B$4/(Params!$B$6*$R287*Params!$B$8),"n/a")</f>
        <v>15.182435084738</v>
      </c>
      <c r="AL287" s="27" t="str">
        <f aca="false">IFERROR(ciq($D287,"IQ_PE_EXCL"),"")</f>
        <v/>
      </c>
      <c r="AM287" s="27" t="str">
        <f aca="false">IFERROR(ciq($D287,"IQ_PE_EXCL_FWD_CIQ"),"")</f>
        <v/>
      </c>
      <c r="AN287" s="27" t="str">
        <f aca="false">IFERROR(ciq($D287,"IQ_PBV"),"")</f>
        <v/>
      </c>
      <c r="AO287" s="27" t="str">
        <f aca="false">IFERROR(ciq($D287,"IQ_TEV_EBITDA"),"")</f>
        <v/>
      </c>
      <c r="AP287" s="24" t="str">
        <f aca="false">IFERROR(ciq($D287,"IQ_RETURN_EQUITY"),"")</f>
        <v/>
      </c>
      <c r="AQ287" s="24" t="str">
        <f aca="false">IFERROR(ciq($D287,"IQ_RETURN_CAPITAL"),"")</f>
        <v/>
      </c>
      <c r="AR287" s="24" t="str">
        <f aca="false">IFERROR(ciq($D287,"IQ_TOTAL_REV_1YR_ANN_GROWTH"),"")</f>
        <v/>
      </c>
      <c r="AS287" s="24" t="str">
        <f aca="false">IFERROR(ciq($D287,"IQ_EPS_1YR_ANN_GROWTH"),"")</f>
        <v/>
      </c>
      <c r="AT287" s="24" t="str">
        <f aca="false">IFERROR(ciq($D287,"IQ_DIVIDEND_YIELD"),"")</f>
        <v/>
      </c>
      <c r="AU287" s="24" t="str">
        <f aca="false">IFERROR(ciq($D287,"IQ_NET_DEBT"),"")</f>
        <v/>
      </c>
    </row>
    <row r="288" customFormat="false" ht="15" hidden="false" customHeight="false" outlineLevel="0" collapsed="false">
      <c r="A288" s="8" t="s">
        <v>1570</v>
      </c>
      <c r="B288" s="6" t="s">
        <v>1571</v>
      </c>
      <c r="C288" s="8" t="s">
        <v>72</v>
      </c>
      <c r="D288" s="8" t="s">
        <v>1572</v>
      </c>
      <c r="E288" s="8" t="s">
        <v>1573</v>
      </c>
      <c r="F288" s="6" t="s">
        <v>1574</v>
      </c>
      <c r="G288" s="8" t="s">
        <v>57</v>
      </c>
      <c r="H288" s="8" t="s">
        <v>66</v>
      </c>
      <c r="I288" s="8"/>
      <c r="J288" s="8"/>
      <c r="K288" s="8"/>
      <c r="L288" s="8"/>
      <c r="M288" s="23" t="n">
        <v>80300</v>
      </c>
      <c r="N288" s="23" t="n">
        <v>30513.339934</v>
      </c>
      <c r="O288" s="23" t="n">
        <v>29922.4527161</v>
      </c>
      <c r="P288" s="24" t="n">
        <v>45.7087629995</v>
      </c>
      <c r="Q288" s="24" t="n">
        <v>56.9137891716667</v>
      </c>
      <c r="R288" s="24" t="n">
        <v>45.7087629995</v>
      </c>
      <c r="S288" s="25" t="n">
        <v>0.00149799278277526</v>
      </c>
      <c r="T288" s="26" t="n">
        <v>0.689689163073494</v>
      </c>
      <c r="U288" s="23" t="n">
        <v>0</v>
      </c>
      <c r="V288" s="26" t="n">
        <v>-0.06</v>
      </c>
      <c r="W288" s="26" t="n">
        <v>0.0909457345716023</v>
      </c>
      <c r="X288" s="26" t="n">
        <v>0.114894117232509</v>
      </c>
      <c r="Y288" s="26" t="n">
        <v>-0.0464566379482113</v>
      </c>
      <c r="Z288" s="26" t="n">
        <v>0.113583212140079</v>
      </c>
      <c r="AA288" s="26" t="n">
        <v>0.0189406976764415</v>
      </c>
      <c r="AB288" s="26" t="n">
        <v>-0.146722042982065</v>
      </c>
      <c r="AC288" s="27" t="n">
        <v>0.832235280938118</v>
      </c>
      <c r="AD288" s="28" t="n">
        <f aca="false">Params!$B$6*Params!$B$7*$R288</f>
        <v>27.4252577997</v>
      </c>
      <c r="AE288" s="29" t="n">
        <f aca="false">MIN(Params!$B$9,AD288/Params!$B$4)</f>
        <v>0.0548505155994</v>
      </c>
      <c r="AF288" s="29" t="n">
        <f aca="false">MIN(Params!$B$9,AD288/Params!$B$5)</f>
        <v>0.0274252577997</v>
      </c>
      <c r="AG288" s="28" t="n">
        <f aca="false">IF($R288&gt;0,Params!$B$9*Params!$B$4/(Params!$B$6*$R288),"n/a")</f>
        <v>3.28164645369293</v>
      </c>
      <c r="AH288" s="28" t="n">
        <f aca="false">IF($R288&gt;0,Params!$B$9*Params!$B$5/(Params!$B$6*$R288),"n/a")</f>
        <v>6.56329290738587</v>
      </c>
      <c r="AI288" s="28" t="n">
        <f aca="false">IF($R288&gt;0,Params!$B$15*Params!$B$4/(Params!$B$6*$R288),"n/a")</f>
        <v>1.09388215123098</v>
      </c>
      <c r="AJ288" s="29" t="n">
        <f aca="false">MIN(Params!$B$9,AD288*Params!$B$8/Params!$B$4)</f>
        <v>0.0274252577997</v>
      </c>
      <c r="AK288" s="28" t="n">
        <f aca="false">IF($R288&gt;0,Params!$B$9*Params!$B$4/(Params!$B$6*$R288*Params!$B$8),"n/a")</f>
        <v>6.56329290738587</v>
      </c>
      <c r="AL288" s="27" t="str">
        <f aca="false">IFERROR(ciq($D288,"IQ_PE_EXCL"),"")</f>
        <v/>
      </c>
      <c r="AM288" s="27" t="str">
        <f aca="false">IFERROR(ciq($D288,"IQ_PE_EXCL_FWD_CIQ"),"")</f>
        <v/>
      </c>
      <c r="AN288" s="27" t="str">
        <f aca="false">IFERROR(ciq($D288,"IQ_PBV"),"")</f>
        <v/>
      </c>
      <c r="AO288" s="27" t="str">
        <f aca="false">IFERROR(ciq($D288,"IQ_TEV_EBITDA"),"")</f>
        <v/>
      </c>
      <c r="AP288" s="24" t="str">
        <f aca="false">IFERROR(ciq($D288,"IQ_RETURN_EQUITY"),"")</f>
        <v/>
      </c>
      <c r="AQ288" s="24" t="str">
        <f aca="false">IFERROR(ciq($D288,"IQ_RETURN_CAPITAL"),"")</f>
        <v/>
      </c>
      <c r="AR288" s="24" t="str">
        <f aca="false">IFERROR(ciq($D288,"IQ_TOTAL_REV_1YR_ANN_GROWTH"),"")</f>
        <v/>
      </c>
      <c r="AS288" s="24" t="str">
        <f aca="false">IFERROR(ciq($D288,"IQ_EPS_1YR_ANN_GROWTH"),"")</f>
        <v/>
      </c>
      <c r="AT288" s="24" t="str">
        <f aca="false">IFERROR(ciq($D288,"IQ_DIVIDEND_YIELD"),"")</f>
        <v/>
      </c>
      <c r="AU288" s="24" t="str">
        <f aca="false">IFERROR(ciq($D288,"IQ_NET_DEBT"),"")</f>
        <v/>
      </c>
    </row>
    <row r="289" customFormat="false" ht="15" hidden="false" customHeight="false" outlineLevel="0" collapsed="false">
      <c r="A289" s="8" t="s">
        <v>1575</v>
      </c>
      <c r="B289" s="8" t="s">
        <v>1576</v>
      </c>
      <c r="C289" s="8" t="s">
        <v>72</v>
      </c>
      <c r="D289" s="8" t="s">
        <v>1577</v>
      </c>
      <c r="E289" s="8" t="s">
        <v>1578</v>
      </c>
      <c r="F289" s="8"/>
      <c r="G289" s="8" t="s">
        <v>57</v>
      </c>
      <c r="H289" s="8" t="s">
        <v>66</v>
      </c>
      <c r="I289" s="8"/>
      <c r="J289" s="8"/>
      <c r="K289" s="8"/>
      <c r="L289" s="8"/>
      <c r="M289" s="23" t="n">
        <v>37750</v>
      </c>
      <c r="N289" s="23" t="n">
        <v>29617.3487575</v>
      </c>
      <c r="O289" s="23" t="n">
        <v>29356.480718775</v>
      </c>
      <c r="P289" s="24" t="n">
        <v>31.948683275</v>
      </c>
      <c r="Q289" s="24" t="n">
        <v>37.4353785625</v>
      </c>
      <c r="R289" s="24" t="n">
        <v>31.948683275</v>
      </c>
      <c r="S289" s="25" t="n">
        <v>0.00107871516578302</v>
      </c>
      <c r="T289" s="26" t="n">
        <v>0.476402558589381</v>
      </c>
      <c r="U289" s="23" t="n">
        <v>0</v>
      </c>
      <c r="V289" s="26" t="n">
        <v>-0.06</v>
      </c>
      <c r="W289" s="26" t="n">
        <v>0.0910842139362944</v>
      </c>
      <c r="X289" s="26" t="n">
        <v>-0.0318078193413867</v>
      </c>
      <c r="Y289" s="26" t="n">
        <v>-0.138997393199361</v>
      </c>
      <c r="Z289" s="26" t="n">
        <v>-0.216690207901095</v>
      </c>
      <c r="AA289" s="26" t="n">
        <v>-0.215043322335408</v>
      </c>
      <c r="AB289" s="26" t="n">
        <v>-0.371949625069335</v>
      </c>
      <c r="AC289" s="27" t="n">
        <v>0.676274890992388</v>
      </c>
      <c r="AD289" s="28" t="n">
        <f aca="false">Params!$B$6*Params!$B$7*$R289</f>
        <v>19.169209965</v>
      </c>
      <c r="AE289" s="29" t="n">
        <f aca="false">MIN(Params!$B$9,AD289/Params!$B$4)</f>
        <v>0.03833841993</v>
      </c>
      <c r="AF289" s="29" t="n">
        <f aca="false">MIN(Params!$B$9,AD289/Params!$B$5)</f>
        <v>0.019169209965</v>
      </c>
      <c r="AG289" s="28" t="n">
        <f aca="false">IF($R289&gt;0,Params!$B$9*Params!$B$4/(Params!$B$6*$R289),"n/a")</f>
        <v>4.69502917252855</v>
      </c>
      <c r="AH289" s="28" t="n">
        <f aca="false">IF($R289&gt;0,Params!$B$9*Params!$B$5/(Params!$B$6*$R289),"n/a")</f>
        <v>9.3900583450571</v>
      </c>
      <c r="AI289" s="28" t="n">
        <f aca="false">IF($R289&gt;0,Params!$B$15*Params!$B$4/(Params!$B$6*$R289),"n/a")</f>
        <v>1.56500972417618</v>
      </c>
      <c r="AJ289" s="29" t="n">
        <f aca="false">MIN(Params!$B$9,AD289*Params!$B$8/Params!$B$4)</f>
        <v>0.019169209965</v>
      </c>
      <c r="AK289" s="28" t="n">
        <f aca="false">IF($R289&gt;0,Params!$B$9*Params!$B$4/(Params!$B$6*$R289*Params!$B$8),"n/a")</f>
        <v>9.3900583450571</v>
      </c>
      <c r="AL289" s="27" t="str">
        <f aca="false">IFERROR(ciq($D289,"IQ_PE_EXCL"),"")</f>
        <v/>
      </c>
      <c r="AM289" s="27" t="str">
        <f aca="false">IFERROR(ciq($D289,"IQ_PE_EXCL_FWD_CIQ"),"")</f>
        <v/>
      </c>
      <c r="AN289" s="27" t="str">
        <f aca="false">IFERROR(ciq($D289,"IQ_PBV"),"")</f>
        <v/>
      </c>
      <c r="AO289" s="27" t="str">
        <f aca="false">IFERROR(ciq($D289,"IQ_TEV_EBITDA"),"")</f>
        <v/>
      </c>
      <c r="AP289" s="24" t="str">
        <f aca="false">IFERROR(ciq($D289,"IQ_RETURN_EQUITY"),"")</f>
        <v/>
      </c>
      <c r="AQ289" s="24" t="str">
        <f aca="false">IFERROR(ciq($D289,"IQ_RETURN_CAPITAL"),"")</f>
        <v/>
      </c>
      <c r="AR289" s="24" t="str">
        <f aca="false">IFERROR(ciq($D289,"IQ_TOTAL_REV_1YR_ANN_GROWTH"),"")</f>
        <v/>
      </c>
      <c r="AS289" s="24" t="str">
        <f aca="false">IFERROR(ciq($D289,"IQ_EPS_1YR_ANN_GROWTH"),"")</f>
        <v/>
      </c>
      <c r="AT289" s="24" t="str">
        <f aca="false">IFERROR(ciq($D289,"IQ_DIVIDEND_YIELD"),"")</f>
        <v/>
      </c>
      <c r="AU289" s="24" t="str">
        <f aca="false">IFERROR(ciq($D289,"IQ_NET_DEBT"),"")</f>
        <v/>
      </c>
    </row>
    <row r="290" customFormat="false" ht="15" hidden="false" customHeight="false" outlineLevel="0" collapsed="false">
      <c r="A290" s="8" t="s">
        <v>1579</v>
      </c>
      <c r="B290" s="6" t="s">
        <v>1580</v>
      </c>
      <c r="C290" s="8" t="s">
        <v>72</v>
      </c>
      <c r="D290" s="8" t="s">
        <v>1581</v>
      </c>
      <c r="E290" s="8" t="s">
        <v>1582</v>
      </c>
      <c r="F290" s="6" t="s">
        <v>1583</v>
      </c>
      <c r="G290" s="8" t="s">
        <v>57</v>
      </c>
      <c r="H290" s="8" t="s">
        <v>66</v>
      </c>
      <c r="I290" s="8"/>
      <c r="J290" s="8"/>
      <c r="K290" s="8"/>
      <c r="L290" s="8"/>
      <c r="M290" s="23" t="n">
        <v>15470</v>
      </c>
      <c r="N290" s="23" t="n">
        <v>27338.7434957</v>
      </c>
      <c r="O290" s="23" t="n">
        <v>25972.68992607</v>
      </c>
      <c r="P290" s="24" t="n">
        <v>40.14493508</v>
      </c>
      <c r="Q290" s="24" t="n">
        <v>47.9339992283333</v>
      </c>
      <c r="R290" s="24" t="n">
        <v>40.14493508</v>
      </c>
      <c r="S290" s="25" t="n">
        <v>0.0014684264873517</v>
      </c>
      <c r="T290" s="26" t="n">
        <v>0.346032896251405</v>
      </c>
      <c r="U290" s="23" t="n">
        <v>0</v>
      </c>
      <c r="V290" s="26" t="n">
        <v>-0.06</v>
      </c>
      <c r="W290" s="26" t="n">
        <v>0.118680808403123</v>
      </c>
      <c r="X290" s="26" t="n">
        <v>0.151081478358897</v>
      </c>
      <c r="Y290" s="26" t="n">
        <v>0.140735599039956</v>
      </c>
      <c r="Z290" s="26" t="n">
        <v>0.340238334538166</v>
      </c>
      <c r="AA290" s="26" t="n">
        <v>0.464589274747097</v>
      </c>
      <c r="AB290" s="26" t="n">
        <v>0</v>
      </c>
      <c r="AC290" s="27" t="n">
        <v>0.730198532786547</v>
      </c>
      <c r="AD290" s="28" t="n">
        <f aca="false">Params!$B$6*Params!$B$7*$R290</f>
        <v>24.086961048</v>
      </c>
      <c r="AE290" s="29" t="n">
        <f aca="false">MIN(Params!$B$9,AD290/Params!$B$4)</f>
        <v>0.048173922096</v>
      </c>
      <c r="AF290" s="29" t="n">
        <f aca="false">MIN(Params!$B$9,AD290/Params!$B$5)</f>
        <v>0.024086961048</v>
      </c>
      <c r="AG290" s="28" t="n">
        <f aca="false">IF($R290&gt;0,Params!$B$9*Params!$B$4/(Params!$B$6*$R290),"n/a")</f>
        <v>3.73646139173181</v>
      </c>
      <c r="AH290" s="28" t="n">
        <f aca="false">IF($R290&gt;0,Params!$B$9*Params!$B$5/(Params!$B$6*$R290),"n/a")</f>
        <v>7.47292278346362</v>
      </c>
      <c r="AI290" s="28" t="n">
        <f aca="false">IF($R290&gt;0,Params!$B$15*Params!$B$4/(Params!$B$6*$R290),"n/a")</f>
        <v>1.24548713057727</v>
      </c>
      <c r="AJ290" s="29" t="n">
        <f aca="false">MIN(Params!$B$9,AD290*Params!$B$8/Params!$B$4)</f>
        <v>0.024086961048</v>
      </c>
      <c r="AK290" s="28" t="n">
        <f aca="false">IF($R290&gt;0,Params!$B$9*Params!$B$4/(Params!$B$6*$R290*Params!$B$8),"n/a")</f>
        <v>7.47292278346362</v>
      </c>
      <c r="AL290" s="27" t="str">
        <f aca="false">IFERROR(ciq($D290,"IQ_PE_EXCL"),"")</f>
        <v/>
      </c>
      <c r="AM290" s="27" t="str">
        <f aca="false">IFERROR(ciq($D290,"IQ_PE_EXCL_FWD_CIQ"),"")</f>
        <v/>
      </c>
      <c r="AN290" s="27" t="str">
        <f aca="false">IFERROR(ciq($D290,"IQ_PBV"),"")</f>
        <v/>
      </c>
      <c r="AO290" s="27" t="str">
        <f aca="false">IFERROR(ciq($D290,"IQ_TEV_EBITDA"),"")</f>
        <v/>
      </c>
      <c r="AP290" s="24" t="str">
        <f aca="false">IFERROR(ciq($D290,"IQ_RETURN_EQUITY"),"")</f>
        <v/>
      </c>
      <c r="AQ290" s="24" t="str">
        <f aca="false">IFERROR(ciq($D290,"IQ_RETURN_CAPITAL"),"")</f>
        <v/>
      </c>
      <c r="AR290" s="24" t="str">
        <f aca="false">IFERROR(ciq($D290,"IQ_TOTAL_REV_1YR_ANN_GROWTH"),"")</f>
        <v/>
      </c>
      <c r="AS290" s="24" t="str">
        <f aca="false">IFERROR(ciq($D290,"IQ_EPS_1YR_ANN_GROWTH"),"")</f>
        <v/>
      </c>
      <c r="AT290" s="24" t="str">
        <f aca="false">IFERROR(ciq($D290,"IQ_DIVIDEND_YIELD"),"")</f>
        <v/>
      </c>
      <c r="AU290" s="24" t="str">
        <f aca="false">IFERROR(ciq($D290,"IQ_NET_DEBT"),"")</f>
        <v/>
      </c>
    </row>
    <row r="291" customFormat="false" ht="15" hidden="false" customHeight="false" outlineLevel="0" collapsed="false">
      <c r="A291" s="8" t="s">
        <v>305</v>
      </c>
      <c r="B291" s="6" t="s">
        <v>306</v>
      </c>
      <c r="C291" s="8" t="s">
        <v>72</v>
      </c>
      <c r="D291" s="8" t="s">
        <v>1584</v>
      </c>
      <c r="E291" s="8" t="s">
        <v>1585</v>
      </c>
      <c r="F291" s="6" t="s">
        <v>1191</v>
      </c>
      <c r="G291" s="8" t="s">
        <v>57</v>
      </c>
      <c r="H291" s="8" t="s">
        <v>66</v>
      </c>
      <c r="I291" s="8" t="s">
        <v>508</v>
      </c>
      <c r="J291" s="6" t="s">
        <v>307</v>
      </c>
      <c r="K291" s="6" t="s">
        <v>308</v>
      </c>
      <c r="L291" s="8"/>
      <c r="M291" s="23" t="n">
        <v>159000</v>
      </c>
      <c r="N291" s="23" t="n">
        <v>26617.24713</v>
      </c>
      <c r="O291" s="23" t="n">
        <v>27206.5094564</v>
      </c>
      <c r="P291" s="24" t="n">
        <v>29.583181475</v>
      </c>
      <c r="Q291" s="24" t="n">
        <v>45.7162991606667</v>
      </c>
      <c r="R291" s="24" t="n">
        <v>29.583181475</v>
      </c>
      <c r="S291" s="25" t="n">
        <v>0.00111142904187327</v>
      </c>
      <c r="T291" s="26" t="n">
        <v>0.739842586647288</v>
      </c>
      <c r="U291" s="23" t="n">
        <v>1</v>
      </c>
      <c r="V291" s="26" t="n">
        <v>-0.06</v>
      </c>
      <c r="W291" s="26" t="n">
        <v>-0.017436217416843</v>
      </c>
      <c r="X291" s="26" t="n">
        <v>-0.094298145886933</v>
      </c>
      <c r="Y291" s="26" t="n">
        <v>0.135364490106274</v>
      </c>
      <c r="Z291" s="26" t="n">
        <v>0.385492309374154</v>
      </c>
      <c r="AA291" s="26" t="n">
        <v>0.89925705301395</v>
      </c>
      <c r="AB291" s="26" t="n">
        <v>-0.424033641892172</v>
      </c>
      <c r="AC291" s="27" t="n">
        <v>0.351137267915656</v>
      </c>
      <c r="AD291" s="28" t="n">
        <f aca="false">Params!$B$6*Params!$B$7*$R291</f>
        <v>17.749908885</v>
      </c>
      <c r="AE291" s="29" t="n">
        <f aca="false">MIN(Params!$B$9,AD291/Params!$B$4)</f>
        <v>0.03549981777</v>
      </c>
      <c r="AF291" s="29" t="n">
        <f aca="false">MIN(Params!$B$9,AD291/Params!$B$5)</f>
        <v>0.017749908885</v>
      </c>
      <c r="AG291" s="28" t="n">
        <f aca="false">IF($R291&gt;0,Params!$B$9*Params!$B$4/(Params!$B$6*$R291),"n/a")</f>
        <v>5.07044856303779</v>
      </c>
      <c r="AH291" s="28" t="n">
        <f aca="false">IF($R291&gt;0,Params!$B$9*Params!$B$5/(Params!$B$6*$R291),"n/a")</f>
        <v>10.1408971260756</v>
      </c>
      <c r="AI291" s="28" t="n">
        <f aca="false">IF($R291&gt;0,Params!$B$15*Params!$B$4/(Params!$B$6*$R291),"n/a")</f>
        <v>1.6901495210126</v>
      </c>
      <c r="AJ291" s="29" t="n">
        <f aca="false">MIN(Params!$B$9,AD291*Params!$B$8/Params!$B$4)</f>
        <v>0.017749908885</v>
      </c>
      <c r="AK291" s="28" t="n">
        <f aca="false">IF($R291&gt;0,Params!$B$9*Params!$B$4/(Params!$B$6*$R291*Params!$B$8),"n/a")</f>
        <v>10.1408971260756</v>
      </c>
      <c r="AL291" s="27" t="str">
        <f aca="false">IFERROR(ciq($D291,"IQ_PE_EXCL"),"")</f>
        <v/>
      </c>
      <c r="AM291" s="27" t="str">
        <f aca="false">IFERROR(ciq($D291,"IQ_PE_EXCL_FWD_CIQ"),"")</f>
        <v/>
      </c>
      <c r="AN291" s="27" t="str">
        <f aca="false">IFERROR(ciq($D291,"IQ_PBV"),"")</f>
        <v/>
      </c>
      <c r="AO291" s="27" t="str">
        <f aca="false">IFERROR(ciq($D291,"IQ_TEV_EBITDA"),"")</f>
        <v/>
      </c>
      <c r="AP291" s="24" t="str">
        <f aca="false">IFERROR(ciq($D291,"IQ_RETURN_EQUITY"),"")</f>
        <v/>
      </c>
      <c r="AQ291" s="24" t="str">
        <f aca="false">IFERROR(ciq($D291,"IQ_RETURN_CAPITAL"),"")</f>
        <v/>
      </c>
      <c r="AR291" s="24" t="str">
        <f aca="false">IFERROR(ciq($D291,"IQ_TOTAL_REV_1YR_ANN_GROWTH"),"")</f>
        <v/>
      </c>
      <c r="AS291" s="24" t="str">
        <f aca="false">IFERROR(ciq($D291,"IQ_EPS_1YR_ANN_GROWTH"),"")</f>
        <v/>
      </c>
      <c r="AT291" s="24" t="str">
        <f aca="false">IFERROR(ciq($D291,"IQ_DIVIDEND_YIELD"),"")</f>
        <v/>
      </c>
      <c r="AU291" s="24" t="str">
        <f aca="false">IFERROR(ciq($D291,"IQ_NET_DEBT"),"")</f>
        <v/>
      </c>
    </row>
    <row r="292" customFormat="false" ht="15" hidden="false" customHeight="false" outlineLevel="0" collapsed="false">
      <c r="A292" s="8" t="s">
        <v>1586</v>
      </c>
      <c r="B292" s="8" t="s">
        <v>1587</v>
      </c>
      <c r="C292" s="8" t="s">
        <v>72</v>
      </c>
      <c r="D292" s="8" t="s">
        <v>1588</v>
      </c>
      <c r="E292" s="8" t="s">
        <v>1589</v>
      </c>
      <c r="F292" s="8"/>
      <c r="G292" s="8" t="s">
        <v>57</v>
      </c>
      <c r="H292" s="8" t="s">
        <v>66</v>
      </c>
      <c r="I292" s="8"/>
      <c r="J292" s="8"/>
      <c r="K292" s="8"/>
      <c r="L292" s="8"/>
      <c r="M292" s="23" t="n">
        <v>66300</v>
      </c>
      <c r="N292" s="23" t="n">
        <v>25397.590725</v>
      </c>
      <c r="O292" s="23" t="n">
        <v>25131.35655375</v>
      </c>
      <c r="P292" s="24" t="n">
        <v>44.405986375</v>
      </c>
      <c r="Q292" s="24" t="n">
        <v>67.5759289083333</v>
      </c>
      <c r="R292" s="24" t="n">
        <v>44.405986375</v>
      </c>
      <c r="S292" s="25" t="n">
        <v>0.00174843302484157</v>
      </c>
      <c r="T292" s="26" t="n">
        <v>0.664667825690754</v>
      </c>
      <c r="U292" s="23" t="n">
        <v>1</v>
      </c>
      <c r="V292" s="26" t="n">
        <v>-0.06</v>
      </c>
      <c r="W292" s="26" t="n">
        <v>0.0198784074729044</v>
      </c>
      <c r="X292" s="26" t="n">
        <v>-0.111253758283606</v>
      </c>
      <c r="Y292" s="26" t="n">
        <v>0.0249875355137896</v>
      </c>
      <c r="Z292" s="26" t="n">
        <v>-0.0320432647958</v>
      </c>
      <c r="AA292" s="26" t="n">
        <v>0.0137741962616704</v>
      </c>
      <c r="AB292" s="26" t="n">
        <v>-0.229930993068874</v>
      </c>
      <c r="AC292" s="27" t="n">
        <v>0.65116135055434</v>
      </c>
      <c r="AD292" s="28" t="n">
        <f aca="false">Params!$B$6*Params!$B$7*$R292</f>
        <v>26.643591825</v>
      </c>
      <c r="AE292" s="29" t="n">
        <f aca="false">MIN(Params!$B$9,AD292/Params!$B$4)</f>
        <v>0.05328718365</v>
      </c>
      <c r="AF292" s="29" t="n">
        <f aca="false">MIN(Params!$B$9,AD292/Params!$B$5)</f>
        <v>0.026643591825</v>
      </c>
      <c r="AG292" s="28" t="n">
        <f aca="false">IF($R292&gt;0,Params!$B$9*Params!$B$4/(Params!$B$6*$R292),"n/a")</f>
        <v>3.37792293888664</v>
      </c>
      <c r="AH292" s="28" t="n">
        <f aca="false">IF($R292&gt;0,Params!$B$9*Params!$B$5/(Params!$B$6*$R292),"n/a")</f>
        <v>6.75584587777328</v>
      </c>
      <c r="AI292" s="28" t="n">
        <f aca="false">IF($R292&gt;0,Params!$B$15*Params!$B$4/(Params!$B$6*$R292),"n/a")</f>
        <v>1.12597431296221</v>
      </c>
      <c r="AJ292" s="29" t="n">
        <f aca="false">MIN(Params!$B$9,AD292*Params!$B$8/Params!$B$4)</f>
        <v>0.026643591825</v>
      </c>
      <c r="AK292" s="28" t="n">
        <f aca="false">IF($R292&gt;0,Params!$B$9*Params!$B$4/(Params!$B$6*$R292*Params!$B$8),"n/a")</f>
        <v>6.75584587777328</v>
      </c>
      <c r="AL292" s="27" t="str">
        <f aca="false">IFERROR(ciq($D292,"IQ_PE_EXCL"),"")</f>
        <v/>
      </c>
      <c r="AM292" s="27" t="str">
        <f aca="false">IFERROR(ciq($D292,"IQ_PE_EXCL_FWD_CIQ"),"")</f>
        <v/>
      </c>
      <c r="AN292" s="27" t="str">
        <f aca="false">IFERROR(ciq($D292,"IQ_PBV"),"")</f>
        <v/>
      </c>
      <c r="AO292" s="27" t="str">
        <f aca="false">IFERROR(ciq($D292,"IQ_TEV_EBITDA"),"")</f>
        <v/>
      </c>
      <c r="AP292" s="24" t="str">
        <f aca="false">IFERROR(ciq($D292,"IQ_RETURN_EQUITY"),"")</f>
        <v/>
      </c>
      <c r="AQ292" s="24" t="str">
        <f aca="false">IFERROR(ciq($D292,"IQ_RETURN_CAPITAL"),"")</f>
        <v/>
      </c>
      <c r="AR292" s="24" t="str">
        <f aca="false">IFERROR(ciq($D292,"IQ_TOTAL_REV_1YR_ANN_GROWTH"),"")</f>
        <v/>
      </c>
      <c r="AS292" s="24" t="str">
        <f aca="false">IFERROR(ciq($D292,"IQ_EPS_1YR_ANN_GROWTH"),"")</f>
        <v/>
      </c>
      <c r="AT292" s="24" t="str">
        <f aca="false">IFERROR(ciq($D292,"IQ_DIVIDEND_YIELD"),"")</f>
        <v/>
      </c>
      <c r="AU292" s="24" t="str">
        <f aca="false">IFERROR(ciq($D292,"IQ_NET_DEBT"),"")</f>
        <v/>
      </c>
    </row>
    <row r="293" customFormat="false" ht="15" hidden="false" customHeight="false" outlineLevel="0" collapsed="false">
      <c r="A293" s="8" t="s">
        <v>309</v>
      </c>
      <c r="B293" s="6" t="s">
        <v>310</v>
      </c>
      <c r="C293" s="8" t="s">
        <v>72</v>
      </c>
      <c r="D293" s="8" t="s">
        <v>1590</v>
      </c>
      <c r="E293" s="8" t="s">
        <v>1591</v>
      </c>
      <c r="F293" s="6" t="s">
        <v>536</v>
      </c>
      <c r="G293" s="8" t="s">
        <v>57</v>
      </c>
      <c r="H293" s="8" t="s">
        <v>66</v>
      </c>
      <c r="I293" s="8" t="s">
        <v>508</v>
      </c>
      <c r="J293" s="6" t="s">
        <v>311</v>
      </c>
      <c r="K293" s="6" t="s">
        <v>312</v>
      </c>
      <c r="L293" s="8"/>
      <c r="M293" s="23" t="n">
        <v>24850</v>
      </c>
      <c r="N293" s="23" t="n">
        <v>24766.448336</v>
      </c>
      <c r="O293" s="23" t="n">
        <v>23582.940996</v>
      </c>
      <c r="P293" s="24" t="n">
        <v>29.60188955</v>
      </c>
      <c r="Q293" s="24" t="n">
        <v>48.7338504291667</v>
      </c>
      <c r="R293" s="24" t="n">
        <v>29.60188955</v>
      </c>
      <c r="S293" s="25" t="n">
        <v>0.00119524160866342</v>
      </c>
      <c r="T293" s="26" t="n">
        <v>0.385169211505184</v>
      </c>
      <c r="U293" s="23" t="n">
        <v>0</v>
      </c>
      <c r="V293" s="26" t="n">
        <v>-0.06</v>
      </c>
      <c r="W293" s="26" t="n">
        <v>0.0876592986099072</v>
      </c>
      <c r="X293" s="26" t="n">
        <v>-0.0497459510184495</v>
      </c>
      <c r="Y293" s="26" t="n">
        <v>-0.196120999123618</v>
      </c>
      <c r="Z293" s="26" t="n">
        <v>-0.0607104339285176</v>
      </c>
      <c r="AA293" s="26" t="n">
        <v>-0.115584231173551</v>
      </c>
      <c r="AB293" s="26" t="n">
        <v>-0.356469077279469</v>
      </c>
      <c r="AC293" s="27" t="n">
        <v>0.47135628978367</v>
      </c>
      <c r="AD293" s="28" t="n">
        <f aca="false">Params!$B$6*Params!$B$7*$R293</f>
        <v>17.76113373</v>
      </c>
      <c r="AE293" s="29" t="n">
        <f aca="false">MIN(Params!$B$9,AD293/Params!$B$4)</f>
        <v>0.03552226746</v>
      </c>
      <c r="AF293" s="29" t="n">
        <f aca="false">MIN(Params!$B$9,AD293/Params!$B$5)</f>
        <v>0.01776113373</v>
      </c>
      <c r="AG293" s="28" t="n">
        <f aca="false">IF($R293&gt;0,Params!$B$9*Params!$B$4/(Params!$B$6*$R293),"n/a")</f>
        <v>5.06724409422033</v>
      </c>
      <c r="AH293" s="28" t="n">
        <f aca="false">IF($R293&gt;0,Params!$B$9*Params!$B$5/(Params!$B$6*$R293),"n/a")</f>
        <v>10.1344881884407</v>
      </c>
      <c r="AI293" s="28" t="n">
        <f aca="false">IF($R293&gt;0,Params!$B$15*Params!$B$4/(Params!$B$6*$R293),"n/a")</f>
        <v>1.68908136474011</v>
      </c>
      <c r="AJ293" s="29" t="n">
        <f aca="false">MIN(Params!$B$9,AD293*Params!$B$8/Params!$B$4)</f>
        <v>0.01776113373</v>
      </c>
      <c r="AK293" s="28" t="n">
        <f aca="false">IF($R293&gt;0,Params!$B$9*Params!$B$4/(Params!$B$6*$R293*Params!$B$8),"n/a")</f>
        <v>10.1344881884407</v>
      </c>
      <c r="AL293" s="27" t="str">
        <f aca="false">IFERROR(ciq($D293,"IQ_PE_EXCL"),"")</f>
        <v/>
      </c>
      <c r="AM293" s="27" t="str">
        <f aca="false">IFERROR(ciq($D293,"IQ_PE_EXCL_FWD_CIQ"),"")</f>
        <v/>
      </c>
      <c r="AN293" s="27" t="str">
        <f aca="false">IFERROR(ciq($D293,"IQ_PBV"),"")</f>
        <v/>
      </c>
      <c r="AO293" s="27" t="str">
        <f aca="false">IFERROR(ciq($D293,"IQ_TEV_EBITDA"),"")</f>
        <v/>
      </c>
      <c r="AP293" s="24" t="str">
        <f aca="false">IFERROR(ciq($D293,"IQ_RETURN_EQUITY"),"")</f>
        <v/>
      </c>
      <c r="AQ293" s="24" t="str">
        <f aca="false">IFERROR(ciq($D293,"IQ_RETURN_CAPITAL"),"")</f>
        <v/>
      </c>
      <c r="AR293" s="24" t="str">
        <f aca="false">IFERROR(ciq($D293,"IQ_TOTAL_REV_1YR_ANN_GROWTH"),"")</f>
        <v/>
      </c>
      <c r="AS293" s="24" t="str">
        <f aca="false">IFERROR(ciq($D293,"IQ_EPS_1YR_ANN_GROWTH"),"")</f>
        <v/>
      </c>
      <c r="AT293" s="24" t="str">
        <f aca="false">IFERROR(ciq($D293,"IQ_DIVIDEND_YIELD"),"")</f>
        <v/>
      </c>
      <c r="AU293" s="24" t="str">
        <f aca="false">IFERROR(ciq($D293,"IQ_NET_DEBT"),"")</f>
        <v/>
      </c>
    </row>
    <row r="294" customFormat="false" ht="15" hidden="false" customHeight="false" outlineLevel="0" collapsed="false">
      <c r="A294" s="8" t="s">
        <v>1592</v>
      </c>
      <c r="B294" s="6" t="s">
        <v>1593</v>
      </c>
      <c r="C294" s="8" t="s">
        <v>72</v>
      </c>
      <c r="D294" s="8" t="s">
        <v>1594</v>
      </c>
      <c r="E294" s="8" t="s">
        <v>1595</v>
      </c>
      <c r="F294" s="6" t="s">
        <v>572</v>
      </c>
      <c r="G294" s="8" t="s">
        <v>57</v>
      </c>
      <c r="H294" s="8" t="s">
        <v>66</v>
      </c>
      <c r="I294" s="8"/>
      <c r="J294" s="8"/>
      <c r="K294" s="8"/>
      <c r="L294" s="8"/>
      <c r="M294" s="23" t="n">
        <v>50800</v>
      </c>
      <c r="N294" s="23" t="n">
        <v>23595.84816</v>
      </c>
      <c r="O294" s="23" t="n">
        <v>25435.209552</v>
      </c>
      <c r="P294" s="24" t="n">
        <v>48.852964</v>
      </c>
      <c r="Q294" s="24" t="n">
        <v>70.951472388</v>
      </c>
      <c r="R294" s="24" t="n">
        <v>48.852964</v>
      </c>
      <c r="S294" s="25" t="n">
        <v>0.00207040508434938</v>
      </c>
      <c r="T294" s="26" t="n">
        <v>0.591189515944517</v>
      </c>
      <c r="U294" s="23" t="n">
        <v>0</v>
      </c>
      <c r="V294" s="26" t="n">
        <v>-0.06</v>
      </c>
      <c r="W294" s="26" t="n">
        <v>-0.0942357300157415</v>
      </c>
      <c r="X294" s="26" t="n">
        <v>-0.220727964963223</v>
      </c>
      <c r="Y294" s="26" t="n">
        <v>-0.206073013561626</v>
      </c>
      <c r="Z294" s="26" t="n">
        <v>0.185547261550572</v>
      </c>
      <c r="AA294" s="26" t="n">
        <v>0.513563940983616</v>
      </c>
      <c r="AB294" s="26" t="n">
        <v>-0.333162800394463</v>
      </c>
      <c r="AC294" s="27" t="n">
        <v>0.441101258915772</v>
      </c>
      <c r="AD294" s="28" t="n">
        <f aca="false">Params!$B$6*Params!$B$7*$R294</f>
        <v>29.3117784</v>
      </c>
      <c r="AE294" s="29" t="n">
        <f aca="false">MIN(Params!$B$9,AD294/Params!$B$4)</f>
        <v>0.0586235568</v>
      </c>
      <c r="AF294" s="29" t="n">
        <f aca="false">MIN(Params!$B$9,AD294/Params!$B$5)</f>
        <v>0.0293117784</v>
      </c>
      <c r="AG294" s="28" t="n">
        <f aca="false">IF($R294&gt;0,Params!$B$9*Params!$B$4/(Params!$B$6*$R294),"n/a")</f>
        <v>3.07043805980738</v>
      </c>
      <c r="AH294" s="28" t="n">
        <f aca="false">IF($R294&gt;0,Params!$B$9*Params!$B$5/(Params!$B$6*$R294),"n/a")</f>
        <v>6.14087611961477</v>
      </c>
      <c r="AI294" s="28" t="n">
        <f aca="false">IF($R294&gt;0,Params!$B$15*Params!$B$4/(Params!$B$6*$R294),"n/a")</f>
        <v>1.02347935326913</v>
      </c>
      <c r="AJ294" s="29" t="n">
        <f aca="false">MIN(Params!$B$9,AD294*Params!$B$8/Params!$B$4)</f>
        <v>0.0293117784</v>
      </c>
      <c r="AK294" s="28" t="n">
        <f aca="false">IF($R294&gt;0,Params!$B$9*Params!$B$4/(Params!$B$6*$R294*Params!$B$8),"n/a")</f>
        <v>6.14087611961477</v>
      </c>
      <c r="AL294" s="27" t="str">
        <f aca="false">IFERROR(ciq($D294,"IQ_PE_EXCL"),"")</f>
        <v/>
      </c>
      <c r="AM294" s="27" t="str">
        <f aca="false">IFERROR(ciq($D294,"IQ_PE_EXCL_FWD_CIQ"),"")</f>
        <v/>
      </c>
      <c r="AN294" s="27" t="str">
        <f aca="false">IFERROR(ciq($D294,"IQ_PBV"),"")</f>
        <v/>
      </c>
      <c r="AO294" s="27" t="str">
        <f aca="false">IFERROR(ciq($D294,"IQ_TEV_EBITDA"),"")</f>
        <v/>
      </c>
      <c r="AP294" s="24" t="str">
        <f aca="false">IFERROR(ciq($D294,"IQ_RETURN_EQUITY"),"")</f>
        <v/>
      </c>
      <c r="AQ294" s="24" t="str">
        <f aca="false">IFERROR(ciq($D294,"IQ_RETURN_CAPITAL"),"")</f>
        <v/>
      </c>
      <c r="AR294" s="24" t="str">
        <f aca="false">IFERROR(ciq($D294,"IQ_TOTAL_REV_1YR_ANN_GROWTH"),"")</f>
        <v/>
      </c>
      <c r="AS294" s="24" t="str">
        <f aca="false">IFERROR(ciq($D294,"IQ_EPS_1YR_ANN_GROWTH"),"")</f>
        <v/>
      </c>
      <c r="AT294" s="24" t="str">
        <f aca="false">IFERROR(ciq($D294,"IQ_DIVIDEND_YIELD"),"")</f>
        <v/>
      </c>
      <c r="AU294" s="24" t="str">
        <f aca="false">IFERROR(ciq($D294,"IQ_NET_DEBT"),"")</f>
        <v/>
      </c>
    </row>
    <row r="295" customFormat="false" ht="15" hidden="false" customHeight="false" outlineLevel="0" collapsed="false">
      <c r="A295" s="8" t="s">
        <v>377</v>
      </c>
      <c r="B295" s="6" t="s">
        <v>378</v>
      </c>
      <c r="C295" s="8" t="s">
        <v>73</v>
      </c>
      <c r="D295" s="8" t="s">
        <v>1596</v>
      </c>
      <c r="E295" s="8" t="s">
        <v>1597</v>
      </c>
      <c r="F295" s="6" t="s">
        <v>533</v>
      </c>
      <c r="G295" s="8" t="s">
        <v>57</v>
      </c>
      <c r="H295" s="8" t="s">
        <v>66</v>
      </c>
      <c r="I295" s="8" t="s">
        <v>508</v>
      </c>
      <c r="J295" s="8"/>
      <c r="K295" s="8"/>
      <c r="L295" s="8" t="s">
        <v>379</v>
      </c>
      <c r="M295" s="23" t="n">
        <v>43850</v>
      </c>
      <c r="N295" s="23" t="n">
        <v>23554.0275</v>
      </c>
      <c r="O295" s="23" t="n">
        <v>30489.976875</v>
      </c>
      <c r="P295" s="24" t="n">
        <v>48.10289715</v>
      </c>
      <c r="Q295" s="24" t="n">
        <v>56.6151008125</v>
      </c>
      <c r="R295" s="24" t="n">
        <v>48.10289715</v>
      </c>
      <c r="S295" s="25" t="n">
        <v>0.002042236604759</v>
      </c>
      <c r="T295" s="26" t="n">
        <v>0.91600669361406</v>
      </c>
      <c r="U295" s="23" t="n">
        <v>0</v>
      </c>
      <c r="V295" s="26" t="n">
        <v>-0.06</v>
      </c>
      <c r="W295" s="26" t="n">
        <v>-0.310436607964828</v>
      </c>
      <c r="X295" s="26" t="n">
        <v>-0.411333153847349</v>
      </c>
      <c r="Y295" s="26" t="n">
        <v>-0.644040480062232</v>
      </c>
      <c r="Z295" s="26" t="n">
        <v>-0.389224592129802</v>
      </c>
      <c r="AA295" s="26" t="n">
        <v>-0.130392904282539</v>
      </c>
      <c r="AB295" s="26" t="n">
        <v>-0.707828033355144</v>
      </c>
      <c r="AC295" s="27" t="n">
        <v>0.501365929255985</v>
      </c>
      <c r="AD295" s="28" t="n">
        <f aca="false">Params!$B$6*Params!$B$7*$R295</f>
        <v>28.86173829</v>
      </c>
      <c r="AE295" s="29" t="n">
        <f aca="false">MIN(Params!$B$9,AD295/Params!$B$4)</f>
        <v>0.05772347658</v>
      </c>
      <c r="AF295" s="29" t="n">
        <f aca="false">MIN(Params!$B$9,AD295/Params!$B$5)</f>
        <v>0.02886173829</v>
      </c>
      <c r="AG295" s="28" t="n">
        <f aca="false">IF($R295&gt;0,Params!$B$9*Params!$B$4/(Params!$B$6*$R295),"n/a")</f>
        <v>3.1183152967326</v>
      </c>
      <c r="AH295" s="28" t="n">
        <f aca="false">IF($R295&gt;0,Params!$B$9*Params!$B$5/(Params!$B$6*$R295),"n/a")</f>
        <v>6.2366305934652</v>
      </c>
      <c r="AI295" s="28" t="n">
        <f aca="false">IF($R295&gt;0,Params!$B$15*Params!$B$4/(Params!$B$6*$R295),"n/a")</f>
        <v>1.0394384322442</v>
      </c>
      <c r="AJ295" s="29" t="n">
        <f aca="false">MIN(Params!$B$9,AD295*Params!$B$8/Params!$B$4)</f>
        <v>0.02886173829</v>
      </c>
      <c r="AK295" s="28" t="n">
        <f aca="false">IF($R295&gt;0,Params!$B$9*Params!$B$4/(Params!$B$6*$R295*Params!$B$8),"n/a")</f>
        <v>6.2366305934652</v>
      </c>
      <c r="AL295" s="27" t="str">
        <f aca="false">IFERROR(ciq($D295,"IQ_PE_EXCL"),"")</f>
        <v/>
      </c>
      <c r="AM295" s="27" t="str">
        <f aca="false">IFERROR(ciq($D295,"IQ_PE_EXCL_FWD_CIQ"),"")</f>
        <v/>
      </c>
      <c r="AN295" s="27" t="str">
        <f aca="false">IFERROR(ciq($D295,"IQ_PBV"),"")</f>
        <v/>
      </c>
      <c r="AO295" s="27" t="str">
        <f aca="false">IFERROR(ciq($D295,"IQ_TEV_EBITDA"),"")</f>
        <v/>
      </c>
      <c r="AP295" s="24" t="str">
        <f aca="false">IFERROR(ciq($D295,"IQ_RETURN_EQUITY"),"")</f>
        <v/>
      </c>
      <c r="AQ295" s="24" t="str">
        <f aca="false">IFERROR(ciq($D295,"IQ_RETURN_CAPITAL"),"")</f>
        <v/>
      </c>
      <c r="AR295" s="24" t="str">
        <f aca="false">IFERROR(ciq($D295,"IQ_TOTAL_REV_1YR_ANN_GROWTH"),"")</f>
        <v/>
      </c>
      <c r="AS295" s="24" t="str">
        <f aca="false">IFERROR(ciq($D295,"IQ_EPS_1YR_ANN_GROWTH"),"")</f>
        <v/>
      </c>
      <c r="AT295" s="24" t="str">
        <f aca="false">IFERROR(ciq($D295,"IQ_DIVIDEND_YIELD"),"")</f>
        <v/>
      </c>
      <c r="AU295" s="24" t="str">
        <f aca="false">IFERROR(ciq($D295,"IQ_NET_DEBT"),"")</f>
        <v/>
      </c>
    </row>
    <row r="296" customFormat="false" ht="15" hidden="false" customHeight="false" outlineLevel="0" collapsed="false">
      <c r="A296" s="8" t="s">
        <v>1598</v>
      </c>
      <c r="B296" s="6" t="s">
        <v>1599</v>
      </c>
      <c r="C296" s="8" t="s">
        <v>72</v>
      </c>
      <c r="D296" s="8" t="s">
        <v>1600</v>
      </c>
      <c r="E296" s="8" t="s">
        <v>1601</v>
      </c>
      <c r="F296" s="6" t="s">
        <v>536</v>
      </c>
      <c r="G296" s="8" t="s">
        <v>57</v>
      </c>
      <c r="H296" s="8" t="s">
        <v>66</v>
      </c>
      <c r="I296" s="8"/>
      <c r="J296" s="8"/>
      <c r="K296" s="8"/>
      <c r="L296" s="8"/>
      <c r="M296" s="23" t="n">
        <v>24400</v>
      </c>
      <c r="N296" s="23" t="n">
        <v>23164.19856</v>
      </c>
      <c r="O296" s="23" t="n">
        <v>23553.433044</v>
      </c>
      <c r="P296" s="24" t="n">
        <v>20.2431230875</v>
      </c>
      <c r="Q296" s="24" t="n">
        <v>32.3367388625</v>
      </c>
      <c r="R296" s="24" t="n">
        <v>20.2431230875</v>
      </c>
      <c r="S296" s="25" t="n">
        <v>0.000873896976623913</v>
      </c>
      <c r="T296" s="26" t="n">
        <v>0.501909741058581</v>
      </c>
      <c r="U296" s="23" t="n">
        <v>0</v>
      </c>
      <c r="V296" s="26" t="n">
        <v>-0.06</v>
      </c>
      <c r="W296" s="26" t="n">
        <v>-0.041218392405811</v>
      </c>
      <c r="X296" s="26" t="n">
        <v>-0.0504426301957845</v>
      </c>
      <c r="Y296" s="26" t="n">
        <v>-0.0430788163461111</v>
      </c>
      <c r="Z296" s="26" t="n">
        <v>-0.0670672802653843</v>
      </c>
      <c r="AA296" s="26" t="n">
        <v>0.0869760241862241</v>
      </c>
      <c r="AB296" s="26" t="n">
        <v>-0.295792488106303</v>
      </c>
      <c r="AC296" s="27" t="n">
        <v>0.631899666347203</v>
      </c>
      <c r="AD296" s="28" t="n">
        <f aca="false">Params!$B$6*Params!$B$7*$R296</f>
        <v>12.1458738525</v>
      </c>
      <c r="AE296" s="29" t="n">
        <f aca="false">MIN(Params!$B$9,AD296/Params!$B$4)</f>
        <v>0.024291747705</v>
      </c>
      <c r="AF296" s="29" t="n">
        <f aca="false">MIN(Params!$B$9,AD296/Params!$B$5)</f>
        <v>0.0121458738525</v>
      </c>
      <c r="AG296" s="28" t="n">
        <f aca="false">IF($R296&gt;0,Params!$B$9*Params!$B$4/(Params!$B$6*$R296),"n/a")</f>
        <v>7.40992382211142</v>
      </c>
      <c r="AH296" s="28" t="n">
        <f aca="false">IF($R296&gt;0,Params!$B$9*Params!$B$5/(Params!$B$6*$R296),"n/a")</f>
        <v>14.8198476442228</v>
      </c>
      <c r="AI296" s="28" t="n">
        <f aca="false">IF($R296&gt;0,Params!$B$15*Params!$B$4/(Params!$B$6*$R296),"n/a")</f>
        <v>2.46997460737047</v>
      </c>
      <c r="AJ296" s="29" t="n">
        <f aca="false">MIN(Params!$B$9,AD296*Params!$B$8/Params!$B$4)</f>
        <v>0.0121458738525</v>
      </c>
      <c r="AK296" s="28" t="n">
        <f aca="false">IF($R296&gt;0,Params!$B$9*Params!$B$4/(Params!$B$6*$R296*Params!$B$8),"n/a")</f>
        <v>14.8198476442228</v>
      </c>
      <c r="AL296" s="27" t="str">
        <f aca="false">IFERROR(ciq($D296,"IQ_PE_EXCL"),"")</f>
        <v/>
      </c>
      <c r="AM296" s="27" t="str">
        <f aca="false">IFERROR(ciq($D296,"IQ_PE_EXCL_FWD_CIQ"),"")</f>
        <v/>
      </c>
      <c r="AN296" s="27" t="str">
        <f aca="false">IFERROR(ciq($D296,"IQ_PBV"),"")</f>
        <v/>
      </c>
      <c r="AO296" s="27" t="str">
        <f aca="false">IFERROR(ciq($D296,"IQ_TEV_EBITDA"),"")</f>
        <v/>
      </c>
      <c r="AP296" s="24" t="str">
        <f aca="false">IFERROR(ciq($D296,"IQ_RETURN_EQUITY"),"")</f>
        <v/>
      </c>
      <c r="AQ296" s="24" t="str">
        <f aca="false">IFERROR(ciq($D296,"IQ_RETURN_CAPITAL"),"")</f>
        <v/>
      </c>
      <c r="AR296" s="24" t="str">
        <f aca="false">IFERROR(ciq($D296,"IQ_TOTAL_REV_1YR_ANN_GROWTH"),"")</f>
        <v/>
      </c>
      <c r="AS296" s="24" t="str">
        <f aca="false">IFERROR(ciq($D296,"IQ_EPS_1YR_ANN_GROWTH"),"")</f>
        <v/>
      </c>
      <c r="AT296" s="24" t="str">
        <f aca="false">IFERROR(ciq($D296,"IQ_DIVIDEND_YIELD"),"")</f>
        <v/>
      </c>
      <c r="AU296" s="24" t="str">
        <f aca="false">IFERROR(ciq($D296,"IQ_NET_DEBT"),"")</f>
        <v/>
      </c>
    </row>
    <row r="297" customFormat="false" ht="15" hidden="false" customHeight="false" outlineLevel="0" collapsed="false">
      <c r="A297" s="8" t="s">
        <v>1602</v>
      </c>
      <c r="B297" s="6" t="s">
        <v>1603</v>
      </c>
      <c r="C297" s="8" t="s">
        <v>72</v>
      </c>
      <c r="D297" s="8" t="s">
        <v>1604</v>
      </c>
      <c r="E297" s="8" t="s">
        <v>1605</v>
      </c>
      <c r="F297" s="8"/>
      <c r="G297" s="8" t="s">
        <v>57</v>
      </c>
      <c r="H297" s="8" t="s">
        <v>66</v>
      </c>
      <c r="I297" s="8"/>
      <c r="J297" s="8"/>
      <c r="K297" s="8"/>
      <c r="L297" s="8"/>
      <c r="M297" s="23" t="n">
        <v>5570</v>
      </c>
      <c r="N297" s="23" t="n">
        <v>22597.2199107</v>
      </c>
      <c r="O297" s="23" t="n">
        <v>22796.01053469</v>
      </c>
      <c r="P297" s="24" t="n">
        <v>31.3677039375</v>
      </c>
      <c r="Q297" s="24" t="n">
        <v>191.790406284167</v>
      </c>
      <c r="R297" s="24" t="n">
        <v>31.3677039375</v>
      </c>
      <c r="S297" s="25" t="n">
        <v>0.00138812225846628</v>
      </c>
      <c r="T297" s="26" t="n">
        <v>0.520926624847086</v>
      </c>
      <c r="U297" s="23" t="n">
        <v>0</v>
      </c>
      <c r="V297" s="26" t="n">
        <v>-0.06</v>
      </c>
      <c r="W297" s="26" t="n">
        <v>-0.0192916023783157</v>
      </c>
      <c r="X297" s="26" t="n">
        <v>-0.036111626534964</v>
      </c>
      <c r="Y297" s="26" t="n">
        <v>-0.25510034050759</v>
      </c>
      <c r="Z297" s="26"/>
      <c r="AA297" s="26"/>
      <c r="AB297" s="26" t="n">
        <v>-0.331085585365024</v>
      </c>
      <c r="AC297" s="27" t="n">
        <v>0.152989376998523</v>
      </c>
      <c r="AD297" s="28" t="n">
        <f aca="false">Params!$B$6*Params!$B$7*$R297</f>
        <v>18.8206223625</v>
      </c>
      <c r="AE297" s="29" t="n">
        <f aca="false">MIN(Params!$B$9,AD297/Params!$B$4)</f>
        <v>0.037641244725</v>
      </c>
      <c r="AF297" s="29" t="n">
        <f aca="false">MIN(Params!$B$9,AD297/Params!$B$5)</f>
        <v>0.0188206223625</v>
      </c>
      <c r="AG297" s="28" t="n">
        <f aca="false">IF($R297&gt;0,Params!$B$9*Params!$B$4/(Params!$B$6*$R297),"n/a")</f>
        <v>4.78198851592307</v>
      </c>
      <c r="AH297" s="28" t="n">
        <f aca="false">IF($R297&gt;0,Params!$B$9*Params!$B$5/(Params!$B$6*$R297),"n/a")</f>
        <v>9.56397703184615</v>
      </c>
      <c r="AI297" s="28" t="n">
        <f aca="false">IF($R297&gt;0,Params!$B$15*Params!$B$4/(Params!$B$6*$R297),"n/a")</f>
        <v>1.59399617197436</v>
      </c>
      <c r="AJ297" s="29" t="n">
        <f aca="false">MIN(Params!$B$9,AD297*Params!$B$8/Params!$B$4)</f>
        <v>0.0188206223625</v>
      </c>
      <c r="AK297" s="28" t="n">
        <f aca="false">IF($R297&gt;0,Params!$B$9*Params!$B$4/(Params!$B$6*$R297*Params!$B$8),"n/a")</f>
        <v>9.56397703184615</v>
      </c>
      <c r="AL297" s="27" t="str">
        <f aca="false">IFERROR(ciq($D297,"IQ_PE_EXCL"),"")</f>
        <v/>
      </c>
      <c r="AM297" s="27" t="str">
        <f aca="false">IFERROR(ciq($D297,"IQ_PE_EXCL_FWD_CIQ"),"")</f>
        <v/>
      </c>
      <c r="AN297" s="27" t="str">
        <f aca="false">IFERROR(ciq($D297,"IQ_PBV"),"")</f>
        <v/>
      </c>
      <c r="AO297" s="27" t="str">
        <f aca="false">IFERROR(ciq($D297,"IQ_TEV_EBITDA"),"")</f>
        <v/>
      </c>
      <c r="AP297" s="24" t="str">
        <f aca="false">IFERROR(ciq($D297,"IQ_RETURN_EQUITY"),"")</f>
        <v/>
      </c>
      <c r="AQ297" s="24" t="str">
        <f aca="false">IFERROR(ciq($D297,"IQ_RETURN_CAPITAL"),"")</f>
        <v/>
      </c>
      <c r="AR297" s="24" t="str">
        <f aca="false">IFERROR(ciq($D297,"IQ_TOTAL_REV_1YR_ANN_GROWTH"),"")</f>
        <v/>
      </c>
      <c r="AS297" s="24" t="str">
        <f aca="false">IFERROR(ciq($D297,"IQ_EPS_1YR_ANN_GROWTH"),"")</f>
        <v/>
      </c>
      <c r="AT297" s="24" t="str">
        <f aca="false">IFERROR(ciq($D297,"IQ_DIVIDEND_YIELD"),"")</f>
        <v/>
      </c>
      <c r="AU297" s="24" t="str">
        <f aca="false">IFERROR(ciq($D297,"IQ_NET_DEBT"),"")</f>
        <v/>
      </c>
    </row>
    <row r="298" customFormat="false" ht="15" hidden="false" customHeight="false" outlineLevel="0" collapsed="false">
      <c r="A298" s="8" t="s">
        <v>1606</v>
      </c>
      <c r="B298" s="6" t="s">
        <v>1607</v>
      </c>
      <c r="C298" s="8" t="s">
        <v>72</v>
      </c>
      <c r="D298" s="8" t="s">
        <v>1608</v>
      </c>
      <c r="E298" s="8" t="s">
        <v>1609</v>
      </c>
      <c r="F298" s="6" t="s">
        <v>536</v>
      </c>
      <c r="G298" s="8" t="s">
        <v>57</v>
      </c>
      <c r="H298" s="8" t="s">
        <v>66</v>
      </c>
      <c r="I298" s="8"/>
      <c r="J298" s="8"/>
      <c r="K298" s="8"/>
      <c r="L298" s="8"/>
      <c r="M298" s="23" t="n">
        <v>171400</v>
      </c>
      <c r="N298" s="23" t="n">
        <v>22202.842338</v>
      </c>
      <c r="O298" s="23" t="n">
        <v>23286.42913005</v>
      </c>
      <c r="P298" s="24" t="n">
        <v>24.352084625</v>
      </c>
      <c r="Q298" s="24" t="n">
        <v>26.5045815083333</v>
      </c>
      <c r="R298" s="24" t="n">
        <v>24.352084625</v>
      </c>
      <c r="S298" s="25" t="n">
        <v>0.00109680032197146</v>
      </c>
      <c r="T298" s="26" t="n">
        <v>0.519457690614917</v>
      </c>
      <c r="U298" s="23" t="n">
        <v>0</v>
      </c>
      <c r="V298" s="26" t="n">
        <v>-0.06</v>
      </c>
      <c r="W298" s="26" t="n">
        <v>-0.0973162860907459</v>
      </c>
      <c r="X298" s="26" t="n">
        <v>-0.0602657491607704</v>
      </c>
      <c r="Y298" s="26" t="n">
        <v>-0.256425552052016</v>
      </c>
      <c r="Z298" s="26" t="n">
        <v>-0.104953044017214</v>
      </c>
      <c r="AA298" s="26" t="n">
        <v>0.400194925742528</v>
      </c>
      <c r="AB298" s="26" t="n">
        <v>-0.314404296309935</v>
      </c>
      <c r="AC298" s="27" t="n">
        <v>0.735661439545056</v>
      </c>
      <c r="AD298" s="28" t="n">
        <f aca="false">Params!$B$6*Params!$B$7*$R298</f>
        <v>14.611250775</v>
      </c>
      <c r="AE298" s="29" t="n">
        <f aca="false">MIN(Params!$B$9,AD298/Params!$B$4)</f>
        <v>0.02922250155</v>
      </c>
      <c r="AF298" s="29" t="n">
        <f aca="false">MIN(Params!$B$9,AD298/Params!$B$5)</f>
        <v>0.014611250775</v>
      </c>
      <c r="AG298" s="28" t="n">
        <f aca="false">IF($R298&gt;0,Params!$B$9*Params!$B$4/(Params!$B$6*$R298),"n/a")</f>
        <v>6.15963693909018</v>
      </c>
      <c r="AH298" s="28" t="n">
        <f aca="false">IF($R298&gt;0,Params!$B$9*Params!$B$5/(Params!$B$6*$R298),"n/a")</f>
        <v>12.3192738781804</v>
      </c>
      <c r="AI298" s="28" t="n">
        <f aca="false">IF($R298&gt;0,Params!$B$15*Params!$B$4/(Params!$B$6*$R298),"n/a")</f>
        <v>2.05321231303006</v>
      </c>
      <c r="AJ298" s="29" t="n">
        <f aca="false">MIN(Params!$B$9,AD298*Params!$B$8/Params!$B$4)</f>
        <v>0.014611250775</v>
      </c>
      <c r="AK298" s="28" t="n">
        <f aca="false">IF($R298&gt;0,Params!$B$9*Params!$B$4/(Params!$B$6*$R298*Params!$B$8),"n/a")</f>
        <v>12.3192738781804</v>
      </c>
      <c r="AL298" s="27" t="str">
        <f aca="false">IFERROR(ciq($D298,"IQ_PE_EXCL"),"")</f>
        <v/>
      </c>
      <c r="AM298" s="27" t="str">
        <f aca="false">IFERROR(ciq($D298,"IQ_PE_EXCL_FWD_CIQ"),"")</f>
        <v/>
      </c>
      <c r="AN298" s="27" t="str">
        <f aca="false">IFERROR(ciq($D298,"IQ_PBV"),"")</f>
        <v/>
      </c>
      <c r="AO298" s="27" t="str">
        <f aca="false">IFERROR(ciq($D298,"IQ_TEV_EBITDA"),"")</f>
        <v/>
      </c>
      <c r="AP298" s="24" t="str">
        <f aca="false">IFERROR(ciq($D298,"IQ_RETURN_EQUITY"),"")</f>
        <v/>
      </c>
      <c r="AQ298" s="24" t="str">
        <f aca="false">IFERROR(ciq($D298,"IQ_RETURN_CAPITAL"),"")</f>
        <v/>
      </c>
      <c r="AR298" s="24" t="str">
        <f aca="false">IFERROR(ciq($D298,"IQ_TOTAL_REV_1YR_ANN_GROWTH"),"")</f>
        <v/>
      </c>
      <c r="AS298" s="24" t="str">
        <f aca="false">IFERROR(ciq($D298,"IQ_EPS_1YR_ANN_GROWTH"),"")</f>
        <v/>
      </c>
      <c r="AT298" s="24" t="str">
        <f aca="false">IFERROR(ciq($D298,"IQ_DIVIDEND_YIELD"),"")</f>
        <v/>
      </c>
      <c r="AU298" s="24" t="str">
        <f aca="false">IFERROR(ciq($D298,"IQ_NET_DEBT"),"")</f>
        <v/>
      </c>
    </row>
    <row r="299" customFormat="false" ht="15" hidden="false" customHeight="false" outlineLevel="0" collapsed="false">
      <c r="A299" s="8" t="s">
        <v>1610</v>
      </c>
      <c r="B299" s="6" t="s">
        <v>1611</v>
      </c>
      <c r="C299" s="8" t="s">
        <v>72</v>
      </c>
      <c r="D299" s="8" t="s">
        <v>1612</v>
      </c>
      <c r="E299" s="8" t="s">
        <v>1613</v>
      </c>
      <c r="F299" s="6" t="s">
        <v>982</v>
      </c>
      <c r="G299" s="8" t="s">
        <v>57</v>
      </c>
      <c r="H299" s="8" t="s">
        <v>66</v>
      </c>
      <c r="I299" s="8"/>
      <c r="J299" s="8"/>
      <c r="K299" s="8"/>
      <c r="L299" s="8"/>
      <c r="M299" s="23" t="n">
        <v>12000</v>
      </c>
      <c r="N299" s="23" t="n">
        <v>22007.66388</v>
      </c>
      <c r="O299" s="23" t="n">
        <v>21625.280720085</v>
      </c>
      <c r="P299" s="24" t="n">
        <v>30.4727830175</v>
      </c>
      <c r="Q299" s="24" t="n">
        <v>37.5934346808333</v>
      </c>
      <c r="R299" s="24" t="n">
        <v>30.4727830175</v>
      </c>
      <c r="S299" s="25" t="n">
        <v>0.00138464414867736</v>
      </c>
      <c r="T299" s="26" t="n">
        <v>0.607288207316561</v>
      </c>
      <c r="U299" s="23" t="n">
        <v>0</v>
      </c>
      <c r="V299" s="26" t="n">
        <v>-0.06</v>
      </c>
      <c r="W299" s="26" t="n">
        <v>-0.00505172175091972</v>
      </c>
      <c r="X299" s="26" t="n">
        <v>-0.0942962522630645</v>
      </c>
      <c r="Y299" s="26" t="n">
        <v>-0.151753325825806</v>
      </c>
      <c r="Z299" s="26" t="n">
        <v>0.442688633580926</v>
      </c>
      <c r="AA299" s="26" t="n">
        <v>0.626769331309915</v>
      </c>
      <c r="AB299" s="26" t="n">
        <v>-0.359869755386689</v>
      </c>
      <c r="AC299" s="27" t="n">
        <v>0.679640063502662</v>
      </c>
      <c r="AD299" s="28" t="n">
        <f aca="false">Params!$B$6*Params!$B$7*$R299</f>
        <v>18.2836698105</v>
      </c>
      <c r="AE299" s="29" t="n">
        <f aca="false">MIN(Params!$B$9,AD299/Params!$B$4)</f>
        <v>0.036567339621</v>
      </c>
      <c r="AF299" s="29" t="n">
        <f aca="false">MIN(Params!$B$9,AD299/Params!$B$5)</f>
        <v>0.0182836698105</v>
      </c>
      <c r="AG299" s="28" t="n">
        <f aca="false">IF($R299&gt;0,Params!$B$9*Params!$B$4/(Params!$B$6*$R299),"n/a")</f>
        <v>4.92242536278546</v>
      </c>
      <c r="AH299" s="28" t="n">
        <f aca="false">IF($R299&gt;0,Params!$B$9*Params!$B$5/(Params!$B$6*$R299),"n/a")</f>
        <v>9.84485072557092</v>
      </c>
      <c r="AI299" s="28" t="n">
        <f aca="false">IF($R299&gt;0,Params!$B$15*Params!$B$4/(Params!$B$6*$R299),"n/a")</f>
        <v>1.64080845426182</v>
      </c>
      <c r="AJ299" s="29" t="n">
        <f aca="false">MIN(Params!$B$9,AD299*Params!$B$8/Params!$B$4)</f>
        <v>0.0182836698105</v>
      </c>
      <c r="AK299" s="28" t="n">
        <f aca="false">IF($R299&gt;0,Params!$B$9*Params!$B$4/(Params!$B$6*$R299*Params!$B$8),"n/a")</f>
        <v>9.84485072557092</v>
      </c>
      <c r="AL299" s="27" t="str">
        <f aca="false">IFERROR(ciq($D299,"IQ_PE_EXCL"),"")</f>
        <v/>
      </c>
      <c r="AM299" s="27" t="str">
        <f aca="false">IFERROR(ciq($D299,"IQ_PE_EXCL_FWD_CIQ"),"")</f>
        <v/>
      </c>
      <c r="AN299" s="27" t="str">
        <f aca="false">IFERROR(ciq($D299,"IQ_PBV"),"")</f>
        <v/>
      </c>
      <c r="AO299" s="27" t="str">
        <f aca="false">IFERROR(ciq($D299,"IQ_TEV_EBITDA"),"")</f>
        <v/>
      </c>
      <c r="AP299" s="24" t="str">
        <f aca="false">IFERROR(ciq($D299,"IQ_RETURN_EQUITY"),"")</f>
        <v/>
      </c>
      <c r="AQ299" s="24" t="str">
        <f aca="false">IFERROR(ciq($D299,"IQ_RETURN_CAPITAL"),"")</f>
        <v/>
      </c>
      <c r="AR299" s="24" t="str">
        <f aca="false">IFERROR(ciq($D299,"IQ_TOTAL_REV_1YR_ANN_GROWTH"),"")</f>
        <v/>
      </c>
      <c r="AS299" s="24" t="str">
        <f aca="false">IFERROR(ciq($D299,"IQ_EPS_1YR_ANN_GROWTH"),"")</f>
        <v/>
      </c>
      <c r="AT299" s="24" t="str">
        <f aca="false">IFERROR(ciq($D299,"IQ_DIVIDEND_YIELD"),"")</f>
        <v/>
      </c>
      <c r="AU299" s="24" t="str">
        <f aca="false">IFERROR(ciq($D299,"IQ_NET_DEBT"),"")</f>
        <v/>
      </c>
    </row>
    <row r="300" customFormat="false" ht="15" hidden="false" customHeight="false" outlineLevel="0" collapsed="false">
      <c r="A300" s="8" t="s">
        <v>1614</v>
      </c>
      <c r="B300" s="6" t="s">
        <v>1615</v>
      </c>
      <c r="C300" s="8" t="s">
        <v>72</v>
      </c>
      <c r="D300" s="8" t="s">
        <v>1616</v>
      </c>
      <c r="E300" s="8" t="s">
        <v>1617</v>
      </c>
      <c r="F300" s="6" t="s">
        <v>951</v>
      </c>
      <c r="G300" s="8" t="s">
        <v>57</v>
      </c>
      <c r="H300" s="8" t="s">
        <v>66</v>
      </c>
      <c r="I300" s="8"/>
      <c r="J300" s="8"/>
      <c r="K300" s="8"/>
      <c r="L300" s="8"/>
      <c r="M300" s="23" t="n">
        <v>40900</v>
      </c>
      <c r="N300" s="23" t="n">
        <v>21714.56256</v>
      </c>
      <c r="O300" s="23" t="n">
        <v>22659.597312</v>
      </c>
      <c r="P300" s="24" t="n">
        <v>46.2183205625</v>
      </c>
      <c r="Q300" s="24" t="n">
        <v>71.824673997</v>
      </c>
      <c r="R300" s="24" t="n">
        <v>46.2183205625</v>
      </c>
      <c r="S300" s="25" t="n">
        <v>0.00212844815246879</v>
      </c>
      <c r="T300" s="26" t="n">
        <v>0.590598498049483</v>
      </c>
      <c r="U300" s="23" t="n">
        <v>0</v>
      </c>
      <c r="V300" s="26" t="n">
        <v>-0.06</v>
      </c>
      <c r="W300" s="26" t="n">
        <v>-0.0713948106802614</v>
      </c>
      <c r="X300" s="26" t="n">
        <v>0.0304708726952494</v>
      </c>
      <c r="Y300" s="26" t="n">
        <v>-0.17193631666385</v>
      </c>
      <c r="Z300" s="26" t="n">
        <v>-0.0419141459909509</v>
      </c>
      <c r="AA300" s="26" t="n">
        <v>0.012431807806814</v>
      </c>
      <c r="AB300" s="26" t="n">
        <v>-0.245228732003577</v>
      </c>
      <c r="AC300" s="27" t="n">
        <v>0.659749467279166</v>
      </c>
      <c r="AD300" s="28" t="n">
        <f aca="false">Params!$B$6*Params!$B$7*$R300</f>
        <v>27.7309923375</v>
      </c>
      <c r="AE300" s="29" t="n">
        <f aca="false">MIN(Params!$B$9,AD300/Params!$B$4)</f>
        <v>0.055461984675</v>
      </c>
      <c r="AF300" s="29" t="n">
        <f aca="false">MIN(Params!$B$9,AD300/Params!$B$5)</f>
        <v>0.0277309923375</v>
      </c>
      <c r="AG300" s="28" t="n">
        <f aca="false">IF($R300&gt;0,Params!$B$9*Params!$B$4/(Params!$B$6*$R300),"n/a")</f>
        <v>3.24546626044446</v>
      </c>
      <c r="AH300" s="28" t="n">
        <f aca="false">IF($R300&gt;0,Params!$B$9*Params!$B$5/(Params!$B$6*$R300),"n/a")</f>
        <v>6.49093252088891</v>
      </c>
      <c r="AI300" s="28" t="n">
        <f aca="false">IF($R300&gt;0,Params!$B$15*Params!$B$4/(Params!$B$6*$R300),"n/a")</f>
        <v>1.08182208681482</v>
      </c>
      <c r="AJ300" s="29" t="n">
        <f aca="false">MIN(Params!$B$9,AD300*Params!$B$8/Params!$B$4)</f>
        <v>0.0277309923375</v>
      </c>
      <c r="AK300" s="28" t="n">
        <f aca="false">IF($R300&gt;0,Params!$B$9*Params!$B$4/(Params!$B$6*$R300*Params!$B$8),"n/a")</f>
        <v>6.49093252088891</v>
      </c>
      <c r="AL300" s="27" t="str">
        <f aca="false">IFERROR(ciq($D300,"IQ_PE_EXCL"),"")</f>
        <v/>
      </c>
      <c r="AM300" s="27" t="str">
        <f aca="false">IFERROR(ciq($D300,"IQ_PE_EXCL_FWD_CIQ"),"")</f>
        <v/>
      </c>
      <c r="AN300" s="27" t="str">
        <f aca="false">IFERROR(ciq($D300,"IQ_PBV"),"")</f>
        <v/>
      </c>
      <c r="AO300" s="27" t="str">
        <f aca="false">IFERROR(ciq($D300,"IQ_TEV_EBITDA"),"")</f>
        <v/>
      </c>
      <c r="AP300" s="24" t="str">
        <f aca="false">IFERROR(ciq($D300,"IQ_RETURN_EQUITY"),"")</f>
        <v/>
      </c>
      <c r="AQ300" s="24" t="str">
        <f aca="false">IFERROR(ciq($D300,"IQ_RETURN_CAPITAL"),"")</f>
        <v/>
      </c>
      <c r="AR300" s="24" t="str">
        <f aca="false">IFERROR(ciq($D300,"IQ_TOTAL_REV_1YR_ANN_GROWTH"),"")</f>
        <v/>
      </c>
      <c r="AS300" s="24" t="str">
        <f aca="false">IFERROR(ciq($D300,"IQ_EPS_1YR_ANN_GROWTH"),"")</f>
        <v/>
      </c>
      <c r="AT300" s="24" t="str">
        <f aca="false">IFERROR(ciq($D300,"IQ_DIVIDEND_YIELD"),"")</f>
        <v/>
      </c>
      <c r="AU300" s="24" t="str">
        <f aca="false">IFERROR(ciq($D300,"IQ_NET_DEBT"),"")</f>
        <v/>
      </c>
    </row>
    <row r="301" customFormat="false" ht="15" hidden="false" customHeight="false" outlineLevel="0" collapsed="false">
      <c r="A301" s="8" t="s">
        <v>1618</v>
      </c>
      <c r="B301" s="8" t="s">
        <v>1619</v>
      </c>
      <c r="C301" s="8" t="s">
        <v>72</v>
      </c>
      <c r="D301" s="8" t="s">
        <v>1620</v>
      </c>
      <c r="E301" s="8" t="s">
        <v>1621</v>
      </c>
      <c r="F301" s="6" t="s">
        <v>542</v>
      </c>
      <c r="G301" s="8" t="s">
        <v>57</v>
      </c>
      <c r="H301" s="8" t="s">
        <v>66</v>
      </c>
      <c r="I301" s="8"/>
      <c r="J301" s="8"/>
      <c r="K301" s="8"/>
      <c r="L301" s="8"/>
      <c r="M301" s="23" t="n">
        <v>234000</v>
      </c>
      <c r="N301" s="23" t="n">
        <v>21690.03096</v>
      </c>
      <c r="O301" s="23" t="n">
        <v>21580.252965</v>
      </c>
      <c r="P301" s="24" t="n">
        <v>28.3402035</v>
      </c>
      <c r="Q301" s="24" t="n">
        <v>32.4722269833333</v>
      </c>
      <c r="R301" s="24" t="n">
        <v>28.3402035</v>
      </c>
      <c r="S301" s="25" t="n">
        <v>0.00130660041713467</v>
      </c>
      <c r="T301" s="26" t="n">
        <v>0.60256661785163</v>
      </c>
      <c r="U301" s="23" t="n">
        <v>0</v>
      </c>
      <c r="V301" s="26" t="n">
        <v>-0.06</v>
      </c>
      <c r="W301" s="26" t="n">
        <v>0.0959470656269428</v>
      </c>
      <c r="X301" s="26" t="n">
        <v>0.101295655127781</v>
      </c>
      <c r="Y301" s="26" t="n">
        <v>0.0149047496400638</v>
      </c>
      <c r="Z301" s="26" t="n">
        <v>0.0396663107306521</v>
      </c>
      <c r="AA301" s="26" t="n">
        <v>-0.0276009464980545</v>
      </c>
      <c r="AB301" s="26" t="n">
        <v>-0.193117921622813</v>
      </c>
      <c r="AC301" s="27" t="n">
        <v>0.483595444437437</v>
      </c>
      <c r="AD301" s="28" t="n">
        <f aca="false">Params!$B$6*Params!$B$7*$R301</f>
        <v>17.0041221</v>
      </c>
      <c r="AE301" s="29" t="n">
        <f aca="false">MIN(Params!$B$9,AD301/Params!$B$4)</f>
        <v>0.0340082442</v>
      </c>
      <c r="AF301" s="29" t="n">
        <f aca="false">MIN(Params!$B$9,AD301/Params!$B$5)</f>
        <v>0.0170041221</v>
      </c>
      <c r="AG301" s="28" t="n">
        <f aca="false">IF($R301&gt;0,Params!$B$9*Params!$B$4/(Params!$B$6*$R301),"n/a")</f>
        <v>5.29283425928822</v>
      </c>
      <c r="AH301" s="28" t="n">
        <f aca="false">IF($R301&gt;0,Params!$B$9*Params!$B$5/(Params!$B$6*$R301),"n/a")</f>
        <v>10.5856685185764</v>
      </c>
      <c r="AI301" s="28" t="n">
        <f aca="false">IF($R301&gt;0,Params!$B$15*Params!$B$4/(Params!$B$6*$R301),"n/a")</f>
        <v>1.76427808642941</v>
      </c>
      <c r="AJ301" s="29" t="n">
        <f aca="false">MIN(Params!$B$9,AD301*Params!$B$8/Params!$B$4)</f>
        <v>0.0170041221</v>
      </c>
      <c r="AK301" s="28" t="n">
        <f aca="false">IF($R301&gt;0,Params!$B$9*Params!$B$4/(Params!$B$6*$R301*Params!$B$8),"n/a")</f>
        <v>10.5856685185764</v>
      </c>
      <c r="AL301" s="27" t="str">
        <f aca="false">IFERROR(ciq($D301,"IQ_PE_EXCL"),"")</f>
        <v/>
      </c>
      <c r="AM301" s="27" t="str">
        <f aca="false">IFERROR(ciq($D301,"IQ_PE_EXCL_FWD_CIQ"),"")</f>
        <v/>
      </c>
      <c r="AN301" s="27" t="str">
        <f aca="false">IFERROR(ciq($D301,"IQ_PBV"),"")</f>
        <v/>
      </c>
      <c r="AO301" s="27" t="str">
        <f aca="false">IFERROR(ciq($D301,"IQ_TEV_EBITDA"),"")</f>
        <v/>
      </c>
      <c r="AP301" s="24" t="str">
        <f aca="false">IFERROR(ciq($D301,"IQ_RETURN_EQUITY"),"")</f>
        <v/>
      </c>
      <c r="AQ301" s="24" t="str">
        <f aca="false">IFERROR(ciq($D301,"IQ_RETURN_CAPITAL"),"")</f>
        <v/>
      </c>
      <c r="AR301" s="24" t="str">
        <f aca="false">IFERROR(ciq($D301,"IQ_TOTAL_REV_1YR_ANN_GROWTH"),"")</f>
        <v/>
      </c>
      <c r="AS301" s="24" t="str">
        <f aca="false">IFERROR(ciq($D301,"IQ_EPS_1YR_ANN_GROWTH"),"")</f>
        <v/>
      </c>
      <c r="AT301" s="24" t="str">
        <f aca="false">IFERROR(ciq($D301,"IQ_DIVIDEND_YIELD"),"")</f>
        <v/>
      </c>
      <c r="AU301" s="24" t="str">
        <f aca="false">IFERROR(ciq($D301,"IQ_NET_DEBT"),"")</f>
        <v/>
      </c>
    </row>
    <row r="302" customFormat="false" ht="15" hidden="false" customHeight="false" outlineLevel="0" collapsed="false">
      <c r="A302" s="8" t="s">
        <v>1622</v>
      </c>
      <c r="B302" s="8" t="s">
        <v>1623</v>
      </c>
      <c r="C302" s="8" t="s">
        <v>72</v>
      </c>
      <c r="D302" s="8" t="s">
        <v>1624</v>
      </c>
      <c r="E302" s="8" t="s">
        <v>1625</v>
      </c>
      <c r="F302" s="6" t="s">
        <v>982</v>
      </c>
      <c r="G302" s="8" t="s">
        <v>57</v>
      </c>
      <c r="H302" s="8" t="s">
        <v>66</v>
      </c>
      <c r="I302" s="8"/>
      <c r="J302" s="8"/>
      <c r="K302" s="8"/>
      <c r="L302" s="8"/>
      <c r="M302" s="23" t="n">
        <v>25650</v>
      </c>
      <c r="N302" s="23" t="n">
        <v>21445.3019475</v>
      </c>
      <c r="O302" s="23" t="n">
        <v>22423.508703</v>
      </c>
      <c r="P302" s="24" t="n">
        <v>52.715391625</v>
      </c>
      <c r="Q302" s="24" t="n">
        <v>49.1532312625</v>
      </c>
      <c r="R302" s="24" t="n">
        <v>49.1532312625</v>
      </c>
      <c r="S302" s="25" t="n">
        <v>0.00245813240373355</v>
      </c>
      <c r="T302" s="26" t="n">
        <v>0.50872203961812</v>
      </c>
      <c r="U302" s="23" t="n">
        <v>0</v>
      </c>
      <c r="V302" s="26" t="n">
        <v>-0.06</v>
      </c>
      <c r="W302" s="26" t="n">
        <v>0.0342829760685972</v>
      </c>
      <c r="X302" s="26" t="n">
        <v>0.0958727385171521</v>
      </c>
      <c r="Y302" s="26" t="n">
        <v>0.325525892756127</v>
      </c>
      <c r="Z302" s="26" t="n">
        <v>0.275462391642423</v>
      </c>
      <c r="AA302" s="26" t="n">
        <v>0.554034036596616</v>
      </c>
      <c r="AB302" s="26" t="n">
        <v>-0.129255981293511</v>
      </c>
      <c r="AC302" s="27" t="n">
        <v>1.06754455979392</v>
      </c>
      <c r="AD302" s="28" t="n">
        <f aca="false">Params!$B$6*Params!$B$7*$R302</f>
        <v>29.4919387575</v>
      </c>
      <c r="AE302" s="29" t="n">
        <f aca="false">MIN(Params!$B$9,AD302/Params!$B$4)</f>
        <v>0.058983877515</v>
      </c>
      <c r="AF302" s="29" t="n">
        <f aca="false">MIN(Params!$B$9,AD302/Params!$B$5)</f>
        <v>0.0294919387575</v>
      </c>
      <c r="AG302" s="28" t="n">
        <f aca="false">IF($R302&gt;0,Params!$B$9*Params!$B$4/(Params!$B$6*$R302),"n/a")</f>
        <v>3.05168136757752</v>
      </c>
      <c r="AH302" s="28" t="n">
        <f aca="false">IF($R302&gt;0,Params!$B$9*Params!$B$5/(Params!$B$6*$R302),"n/a")</f>
        <v>6.10336273515504</v>
      </c>
      <c r="AI302" s="28" t="n">
        <f aca="false">IF($R302&gt;0,Params!$B$15*Params!$B$4/(Params!$B$6*$R302),"n/a")</f>
        <v>1.01722712252584</v>
      </c>
      <c r="AJ302" s="29" t="n">
        <f aca="false">MIN(Params!$B$9,AD302*Params!$B$8/Params!$B$4)</f>
        <v>0.0294919387575</v>
      </c>
      <c r="AK302" s="28" t="n">
        <f aca="false">IF($R302&gt;0,Params!$B$9*Params!$B$4/(Params!$B$6*$R302*Params!$B$8),"n/a")</f>
        <v>6.10336273515504</v>
      </c>
      <c r="AL302" s="27" t="str">
        <f aca="false">IFERROR(ciq($D302,"IQ_PE_EXCL"),"")</f>
        <v/>
      </c>
      <c r="AM302" s="27" t="str">
        <f aca="false">IFERROR(ciq($D302,"IQ_PE_EXCL_FWD_CIQ"),"")</f>
        <v/>
      </c>
      <c r="AN302" s="27" t="str">
        <f aca="false">IFERROR(ciq($D302,"IQ_PBV"),"")</f>
        <v/>
      </c>
      <c r="AO302" s="27" t="str">
        <f aca="false">IFERROR(ciq($D302,"IQ_TEV_EBITDA"),"")</f>
        <v/>
      </c>
      <c r="AP302" s="24" t="str">
        <f aca="false">IFERROR(ciq($D302,"IQ_RETURN_EQUITY"),"")</f>
        <v/>
      </c>
      <c r="AQ302" s="24" t="str">
        <f aca="false">IFERROR(ciq($D302,"IQ_RETURN_CAPITAL"),"")</f>
        <v/>
      </c>
      <c r="AR302" s="24" t="str">
        <f aca="false">IFERROR(ciq($D302,"IQ_TOTAL_REV_1YR_ANN_GROWTH"),"")</f>
        <v/>
      </c>
      <c r="AS302" s="24" t="str">
        <f aca="false">IFERROR(ciq($D302,"IQ_EPS_1YR_ANN_GROWTH"),"")</f>
        <v/>
      </c>
      <c r="AT302" s="24" t="str">
        <f aca="false">IFERROR(ciq($D302,"IQ_DIVIDEND_YIELD"),"")</f>
        <v/>
      </c>
      <c r="AU302" s="24" t="str">
        <f aca="false">IFERROR(ciq($D302,"IQ_NET_DEBT"),"")</f>
        <v/>
      </c>
    </row>
    <row r="303" customFormat="false" ht="15" hidden="false" customHeight="false" outlineLevel="0" collapsed="false">
      <c r="A303" s="8" t="s">
        <v>1626</v>
      </c>
      <c r="B303" s="6" t="s">
        <v>1627</v>
      </c>
      <c r="C303" s="8" t="s">
        <v>72</v>
      </c>
      <c r="D303" s="8" t="s">
        <v>1628</v>
      </c>
      <c r="E303" s="8" t="s">
        <v>1629</v>
      </c>
      <c r="F303" s="6" t="s">
        <v>536</v>
      </c>
      <c r="G303" s="8" t="s">
        <v>57</v>
      </c>
      <c r="H303" s="8" t="s">
        <v>66</v>
      </c>
      <c r="I303" s="8"/>
      <c r="J303" s="8"/>
      <c r="K303" s="8"/>
      <c r="L303" s="8"/>
      <c r="M303" s="23" t="n">
        <v>26350</v>
      </c>
      <c r="N303" s="23" t="n">
        <v>20146.73043</v>
      </c>
      <c r="O303" s="23" t="n">
        <v>20270.9749725</v>
      </c>
      <c r="P303" s="24" t="n">
        <v>23.716936725</v>
      </c>
      <c r="Q303" s="24" t="n">
        <v>30.7010260266667</v>
      </c>
      <c r="R303" s="24" t="n">
        <v>23.716936725</v>
      </c>
      <c r="S303" s="25" t="n">
        <v>0.00117721020824718</v>
      </c>
      <c r="T303" s="26" t="n">
        <v>0.495393420749644</v>
      </c>
      <c r="U303" s="23" t="n">
        <v>0</v>
      </c>
      <c r="V303" s="26" t="n">
        <v>-0.06</v>
      </c>
      <c r="W303" s="26" t="n">
        <v>0.00955182803206056</v>
      </c>
      <c r="X303" s="26" t="n">
        <v>0.158071907998103</v>
      </c>
      <c r="Y303" s="26" t="n">
        <v>-0.0224189185129001</v>
      </c>
      <c r="Z303" s="26" t="n">
        <v>-0.0187078173783595</v>
      </c>
      <c r="AA303" s="26" t="n">
        <v>-0.0311236534439151</v>
      </c>
      <c r="AB303" s="26" t="n">
        <v>-0.248377340755983</v>
      </c>
      <c r="AC303" s="27" t="n">
        <v>0.713441209978023</v>
      </c>
      <c r="AD303" s="28" t="n">
        <f aca="false">Params!$B$6*Params!$B$7*$R303</f>
        <v>14.230162035</v>
      </c>
      <c r="AE303" s="29" t="n">
        <f aca="false">MIN(Params!$B$9,AD303/Params!$B$4)</f>
        <v>0.02846032407</v>
      </c>
      <c r="AF303" s="29" t="n">
        <f aca="false">MIN(Params!$B$9,AD303/Params!$B$5)</f>
        <v>0.014230162035</v>
      </c>
      <c r="AG303" s="28" t="n">
        <f aca="false">IF($R303&gt;0,Params!$B$9*Params!$B$4/(Params!$B$6*$R303),"n/a")</f>
        <v>6.32459418091229</v>
      </c>
      <c r="AH303" s="28" t="n">
        <f aca="false">IF($R303&gt;0,Params!$B$9*Params!$B$5/(Params!$B$6*$R303),"n/a")</f>
        <v>12.6491883618246</v>
      </c>
      <c r="AI303" s="28" t="n">
        <f aca="false">IF($R303&gt;0,Params!$B$15*Params!$B$4/(Params!$B$6*$R303),"n/a")</f>
        <v>2.1081980603041</v>
      </c>
      <c r="AJ303" s="29" t="n">
        <f aca="false">MIN(Params!$B$9,AD303*Params!$B$8/Params!$B$4)</f>
        <v>0.014230162035</v>
      </c>
      <c r="AK303" s="28" t="n">
        <f aca="false">IF($R303&gt;0,Params!$B$9*Params!$B$4/(Params!$B$6*$R303*Params!$B$8),"n/a")</f>
        <v>12.6491883618246</v>
      </c>
      <c r="AL303" s="27" t="str">
        <f aca="false">IFERROR(ciq($D303,"IQ_PE_EXCL"),"")</f>
        <v/>
      </c>
      <c r="AM303" s="27" t="str">
        <f aca="false">IFERROR(ciq($D303,"IQ_PE_EXCL_FWD_CIQ"),"")</f>
        <v/>
      </c>
      <c r="AN303" s="27" t="str">
        <f aca="false">IFERROR(ciq($D303,"IQ_PBV"),"")</f>
        <v/>
      </c>
      <c r="AO303" s="27" t="str">
        <f aca="false">IFERROR(ciq($D303,"IQ_TEV_EBITDA"),"")</f>
        <v/>
      </c>
      <c r="AP303" s="24" t="str">
        <f aca="false">IFERROR(ciq($D303,"IQ_RETURN_EQUITY"),"")</f>
        <v/>
      </c>
      <c r="AQ303" s="24" t="str">
        <f aca="false">IFERROR(ciq($D303,"IQ_RETURN_CAPITAL"),"")</f>
        <v/>
      </c>
      <c r="AR303" s="24" t="str">
        <f aca="false">IFERROR(ciq($D303,"IQ_TOTAL_REV_1YR_ANN_GROWTH"),"")</f>
        <v/>
      </c>
      <c r="AS303" s="24" t="str">
        <f aca="false">IFERROR(ciq($D303,"IQ_EPS_1YR_ANN_GROWTH"),"")</f>
        <v/>
      </c>
      <c r="AT303" s="24" t="str">
        <f aca="false">IFERROR(ciq($D303,"IQ_DIVIDEND_YIELD"),"")</f>
        <v/>
      </c>
      <c r="AU303" s="24" t="str">
        <f aca="false">IFERROR(ciq($D303,"IQ_NET_DEBT"),"")</f>
        <v/>
      </c>
    </row>
    <row r="304" customFormat="false" ht="15" hidden="false" customHeight="false" outlineLevel="0" collapsed="false">
      <c r="A304" s="8" t="s">
        <v>313</v>
      </c>
      <c r="B304" s="6" t="s">
        <v>314</v>
      </c>
      <c r="C304" s="8" t="s">
        <v>72</v>
      </c>
      <c r="D304" s="8" t="s">
        <v>1630</v>
      </c>
      <c r="E304" s="8" t="s">
        <v>1631</v>
      </c>
      <c r="F304" s="8"/>
      <c r="G304" s="8" t="s">
        <v>57</v>
      </c>
      <c r="H304" s="8" t="s">
        <v>66</v>
      </c>
      <c r="I304" s="8" t="s">
        <v>508</v>
      </c>
      <c r="J304" s="8" t="s">
        <v>315</v>
      </c>
      <c r="K304" s="6" t="s">
        <v>316</v>
      </c>
      <c r="L304" s="6" t="s">
        <v>317</v>
      </c>
      <c r="M304" s="23" t="n">
        <v>50400</v>
      </c>
      <c r="N304" s="23" t="n">
        <v>18299.931552</v>
      </c>
      <c r="O304" s="23" t="n">
        <v>16693.241133</v>
      </c>
      <c r="P304" s="24" t="n">
        <v>90.1284485375</v>
      </c>
      <c r="Q304" s="24" t="n">
        <v>47.4198489333333</v>
      </c>
      <c r="R304" s="24" t="n">
        <v>47.4198489333333</v>
      </c>
      <c r="S304" s="25" t="n">
        <v>0.0049250702540278</v>
      </c>
      <c r="T304" s="26" t="n">
        <v>0.535059279592426</v>
      </c>
      <c r="U304" s="23" t="n">
        <v>0</v>
      </c>
      <c r="V304" s="26" t="n">
        <v>-0.06</v>
      </c>
      <c r="W304" s="26" t="n">
        <v>0.279212355291123</v>
      </c>
      <c r="X304" s="26" t="n">
        <v>0.663263157584288</v>
      </c>
      <c r="Y304" s="26" t="n">
        <v>0.5576822382675</v>
      </c>
      <c r="Z304" s="26" t="n">
        <v>0.599734967489897</v>
      </c>
      <c r="AA304" s="26" t="n">
        <v>0.726172506723346</v>
      </c>
      <c r="AB304" s="26" t="n">
        <v>-0.019465</v>
      </c>
      <c r="AC304" s="27" t="n">
        <v>2.87303594062722</v>
      </c>
      <c r="AD304" s="28" t="n">
        <f aca="false">Params!$B$6*Params!$B$7*$R304</f>
        <v>28.45190936</v>
      </c>
      <c r="AE304" s="29" t="n">
        <f aca="false">MIN(Params!$B$9,AD304/Params!$B$4)</f>
        <v>0.05690381872</v>
      </c>
      <c r="AF304" s="29" t="n">
        <f aca="false">MIN(Params!$B$9,AD304/Params!$B$5)</f>
        <v>0.02845190936</v>
      </c>
      <c r="AG304" s="28" t="n">
        <f aca="false">IF($R304&gt;0,Params!$B$9*Params!$B$4/(Params!$B$6*$R304),"n/a")</f>
        <v>3.1632323462456</v>
      </c>
      <c r="AH304" s="28" t="n">
        <f aca="false">IF($R304&gt;0,Params!$B$9*Params!$B$5/(Params!$B$6*$R304),"n/a")</f>
        <v>6.3264646924912</v>
      </c>
      <c r="AI304" s="28" t="n">
        <f aca="false">IF($R304&gt;0,Params!$B$15*Params!$B$4/(Params!$B$6*$R304),"n/a")</f>
        <v>1.05441078208187</v>
      </c>
      <c r="AJ304" s="29" t="n">
        <f aca="false">MIN(Params!$B$9,AD304*Params!$B$8/Params!$B$4)</f>
        <v>0.02845190936</v>
      </c>
      <c r="AK304" s="28" t="n">
        <f aca="false">IF($R304&gt;0,Params!$B$9*Params!$B$4/(Params!$B$6*$R304*Params!$B$8),"n/a")</f>
        <v>6.3264646924912</v>
      </c>
      <c r="AL304" s="27" t="str">
        <f aca="false">IFERROR(ciq($D304,"IQ_PE_EXCL"),"")</f>
        <v/>
      </c>
      <c r="AM304" s="27" t="str">
        <f aca="false">IFERROR(ciq($D304,"IQ_PE_EXCL_FWD_CIQ"),"")</f>
        <v/>
      </c>
      <c r="AN304" s="27" t="str">
        <f aca="false">IFERROR(ciq($D304,"IQ_PBV"),"")</f>
        <v/>
      </c>
      <c r="AO304" s="27" t="str">
        <f aca="false">IFERROR(ciq($D304,"IQ_TEV_EBITDA"),"")</f>
        <v/>
      </c>
      <c r="AP304" s="24" t="str">
        <f aca="false">IFERROR(ciq($D304,"IQ_RETURN_EQUITY"),"")</f>
        <v/>
      </c>
      <c r="AQ304" s="24" t="str">
        <f aca="false">IFERROR(ciq($D304,"IQ_RETURN_CAPITAL"),"")</f>
        <v/>
      </c>
      <c r="AR304" s="24" t="str">
        <f aca="false">IFERROR(ciq($D304,"IQ_TOTAL_REV_1YR_ANN_GROWTH"),"")</f>
        <v/>
      </c>
      <c r="AS304" s="24" t="str">
        <f aca="false">IFERROR(ciq($D304,"IQ_EPS_1YR_ANN_GROWTH"),"")</f>
        <v/>
      </c>
      <c r="AT304" s="24" t="str">
        <f aca="false">IFERROR(ciq($D304,"IQ_DIVIDEND_YIELD"),"")</f>
        <v/>
      </c>
      <c r="AU304" s="24" t="str">
        <f aca="false">IFERROR(ciq($D304,"IQ_NET_DEBT"),"")</f>
        <v/>
      </c>
    </row>
    <row r="305" customFormat="false" ht="15" hidden="false" customHeight="false" outlineLevel="0" collapsed="false">
      <c r="A305" s="8" t="s">
        <v>318</v>
      </c>
      <c r="B305" s="6" t="s">
        <v>319</v>
      </c>
      <c r="C305" s="8" t="s">
        <v>73</v>
      </c>
      <c r="D305" s="8" t="s">
        <v>1632</v>
      </c>
      <c r="E305" s="8" t="s">
        <v>1633</v>
      </c>
      <c r="F305" s="6" t="s">
        <v>852</v>
      </c>
      <c r="G305" s="8" t="s">
        <v>57</v>
      </c>
      <c r="H305" s="8" t="s">
        <v>66</v>
      </c>
      <c r="I305" s="8" t="s">
        <v>508</v>
      </c>
      <c r="J305" s="6" t="s">
        <v>253</v>
      </c>
      <c r="K305" s="6" t="s">
        <v>320</v>
      </c>
      <c r="L305" s="8"/>
      <c r="M305" s="23" t="n">
        <v>40850</v>
      </c>
      <c r="N305" s="23" t="n">
        <v>18138.352622</v>
      </c>
      <c r="O305" s="23" t="n">
        <v>19016.4087373</v>
      </c>
      <c r="P305" s="24" t="n">
        <v>33.7953165375</v>
      </c>
      <c r="Q305" s="24" t="n">
        <v>35.7993161601667</v>
      </c>
      <c r="R305" s="24" t="n">
        <v>33.7953165375</v>
      </c>
      <c r="S305" s="25" t="n">
        <v>0.00186319657808999</v>
      </c>
      <c r="T305" s="26" t="n">
        <v>0.422653916844182</v>
      </c>
      <c r="U305" s="23" t="n">
        <v>0</v>
      </c>
      <c r="V305" s="26" t="n">
        <v>-0.06</v>
      </c>
      <c r="W305" s="26" t="n">
        <v>-0.0273457138338888</v>
      </c>
      <c r="X305" s="26" t="n">
        <v>-0.0420056190740274</v>
      </c>
      <c r="Y305" s="26" t="n">
        <v>-0.337863785039662</v>
      </c>
      <c r="Z305" s="26" t="n">
        <v>-0.295778485441833</v>
      </c>
      <c r="AA305" s="26" t="n">
        <v>-0.224454397028921</v>
      </c>
      <c r="AB305" s="26" t="n">
        <v>-0.460285327815672</v>
      </c>
      <c r="AC305" s="27" t="n">
        <v>0.804760089638174</v>
      </c>
      <c r="AD305" s="28" t="n">
        <f aca="false">Params!$B$6*Params!$B$7*$R305</f>
        <v>20.2771899225</v>
      </c>
      <c r="AE305" s="29" t="n">
        <f aca="false">MIN(Params!$B$9,AD305/Params!$B$4)</f>
        <v>0.040554379845</v>
      </c>
      <c r="AF305" s="29" t="n">
        <f aca="false">MIN(Params!$B$9,AD305/Params!$B$5)</f>
        <v>0.0202771899225</v>
      </c>
      <c r="AG305" s="28" t="n">
        <f aca="false">IF($R305&gt;0,Params!$B$9*Params!$B$4/(Params!$B$6*$R305),"n/a")</f>
        <v>4.43848483660619</v>
      </c>
      <c r="AH305" s="28" t="n">
        <f aca="false">IF($R305&gt;0,Params!$B$9*Params!$B$5/(Params!$B$6*$R305),"n/a")</f>
        <v>8.87696967321237</v>
      </c>
      <c r="AI305" s="28" t="n">
        <f aca="false">IF($R305&gt;0,Params!$B$15*Params!$B$4/(Params!$B$6*$R305),"n/a")</f>
        <v>1.4794949455354</v>
      </c>
      <c r="AJ305" s="29" t="n">
        <f aca="false">MIN(Params!$B$9,AD305*Params!$B$8/Params!$B$4)</f>
        <v>0.0202771899225</v>
      </c>
      <c r="AK305" s="28" t="n">
        <f aca="false">IF($R305&gt;0,Params!$B$9*Params!$B$4/(Params!$B$6*$R305*Params!$B$8),"n/a")</f>
        <v>8.87696967321237</v>
      </c>
      <c r="AL305" s="27" t="str">
        <f aca="false">IFERROR(ciq($D305,"IQ_PE_EXCL"),"")</f>
        <v/>
      </c>
      <c r="AM305" s="27" t="str">
        <f aca="false">IFERROR(ciq($D305,"IQ_PE_EXCL_FWD_CIQ"),"")</f>
        <v/>
      </c>
      <c r="AN305" s="27" t="str">
        <f aca="false">IFERROR(ciq($D305,"IQ_PBV"),"")</f>
        <v/>
      </c>
      <c r="AO305" s="27" t="str">
        <f aca="false">IFERROR(ciq($D305,"IQ_TEV_EBITDA"),"")</f>
        <v/>
      </c>
      <c r="AP305" s="24" t="str">
        <f aca="false">IFERROR(ciq($D305,"IQ_RETURN_EQUITY"),"")</f>
        <v/>
      </c>
      <c r="AQ305" s="24" t="str">
        <f aca="false">IFERROR(ciq($D305,"IQ_RETURN_CAPITAL"),"")</f>
        <v/>
      </c>
      <c r="AR305" s="24" t="str">
        <f aca="false">IFERROR(ciq($D305,"IQ_TOTAL_REV_1YR_ANN_GROWTH"),"")</f>
        <v/>
      </c>
      <c r="AS305" s="24" t="str">
        <f aca="false">IFERROR(ciq($D305,"IQ_EPS_1YR_ANN_GROWTH"),"")</f>
        <v/>
      </c>
      <c r="AT305" s="24" t="str">
        <f aca="false">IFERROR(ciq($D305,"IQ_DIVIDEND_YIELD"),"")</f>
        <v/>
      </c>
      <c r="AU305" s="24" t="str">
        <f aca="false">IFERROR(ciq($D305,"IQ_NET_DEBT"),"")</f>
        <v/>
      </c>
    </row>
    <row r="306" customFormat="false" ht="15" hidden="false" customHeight="false" outlineLevel="0" collapsed="false">
      <c r="A306" s="8" t="s">
        <v>1634</v>
      </c>
      <c r="B306" s="6" t="s">
        <v>1635</v>
      </c>
      <c r="C306" s="8" t="s">
        <v>72</v>
      </c>
      <c r="D306" s="8" t="s">
        <v>1636</v>
      </c>
      <c r="E306" s="8" t="s">
        <v>1637</v>
      </c>
      <c r="F306" s="8"/>
      <c r="G306" s="8" t="s">
        <v>57</v>
      </c>
      <c r="H306" s="8" t="s">
        <v>66</v>
      </c>
      <c r="I306" s="8"/>
      <c r="J306" s="8"/>
      <c r="K306" s="8"/>
      <c r="L306" s="8" t="s">
        <v>241</v>
      </c>
      <c r="M306" s="23" t="n">
        <v>46600</v>
      </c>
      <c r="N306" s="23" t="n">
        <v>17749.34818</v>
      </c>
      <c r="O306" s="23" t="n">
        <v>18900.58004425</v>
      </c>
      <c r="P306" s="24" t="n">
        <v>32.351227925</v>
      </c>
      <c r="Q306" s="24" t="n">
        <v>38.4064433416667</v>
      </c>
      <c r="R306" s="24" t="n">
        <v>32.351227925</v>
      </c>
      <c r="S306" s="25" t="n">
        <v>0.00182267132273924</v>
      </c>
      <c r="T306" s="26" t="n">
        <v>0.61781417619304</v>
      </c>
      <c r="U306" s="23" t="n">
        <v>0</v>
      </c>
      <c r="V306" s="26" t="n">
        <v>-0.06</v>
      </c>
      <c r="W306" s="26" t="n">
        <v>-0.0809409442922373</v>
      </c>
      <c r="X306" s="26" t="n">
        <v>-0.234736022590123</v>
      </c>
      <c r="Y306" s="26" t="n">
        <v>-0.531557082755903</v>
      </c>
      <c r="Z306" s="26" t="n">
        <v>-0.304466513596641</v>
      </c>
      <c r="AA306" s="26" t="n">
        <v>-0.485600361543742</v>
      </c>
      <c r="AB306" s="26" t="n">
        <v>-0.563145828215883</v>
      </c>
      <c r="AC306" s="27" t="n">
        <v>0.36007570064957</v>
      </c>
      <c r="AD306" s="28" t="n">
        <f aca="false">Params!$B$6*Params!$B$7*$R306</f>
        <v>19.410736755</v>
      </c>
      <c r="AE306" s="29" t="n">
        <f aca="false">MIN(Params!$B$9,AD306/Params!$B$4)</f>
        <v>0.03882147351</v>
      </c>
      <c r="AF306" s="29" t="n">
        <f aca="false">MIN(Params!$B$9,AD306/Params!$B$5)</f>
        <v>0.019410736755</v>
      </c>
      <c r="AG306" s="28" t="n">
        <f aca="false">IF($R306&gt;0,Params!$B$9*Params!$B$4/(Params!$B$6*$R306),"n/a")</f>
        <v>4.63660916821289</v>
      </c>
      <c r="AH306" s="28" t="n">
        <f aca="false">IF($R306&gt;0,Params!$B$9*Params!$B$5/(Params!$B$6*$R306),"n/a")</f>
        <v>9.27321833642579</v>
      </c>
      <c r="AI306" s="28" t="n">
        <f aca="false">IF($R306&gt;0,Params!$B$15*Params!$B$4/(Params!$B$6*$R306),"n/a")</f>
        <v>1.5455363894043</v>
      </c>
      <c r="AJ306" s="29" t="n">
        <f aca="false">MIN(Params!$B$9,AD306*Params!$B$8/Params!$B$4)</f>
        <v>0.019410736755</v>
      </c>
      <c r="AK306" s="28" t="n">
        <f aca="false">IF($R306&gt;0,Params!$B$9*Params!$B$4/(Params!$B$6*$R306*Params!$B$8),"n/a")</f>
        <v>9.27321833642579</v>
      </c>
      <c r="AL306" s="27" t="str">
        <f aca="false">IFERROR(ciq($D306,"IQ_PE_EXCL"),"")</f>
        <v/>
      </c>
      <c r="AM306" s="27" t="str">
        <f aca="false">IFERROR(ciq($D306,"IQ_PE_EXCL_FWD_CIQ"),"")</f>
        <v/>
      </c>
      <c r="AN306" s="27" t="str">
        <f aca="false">IFERROR(ciq($D306,"IQ_PBV"),"")</f>
        <v/>
      </c>
      <c r="AO306" s="27" t="str">
        <f aca="false">IFERROR(ciq($D306,"IQ_TEV_EBITDA"),"")</f>
        <v/>
      </c>
      <c r="AP306" s="24" t="str">
        <f aca="false">IFERROR(ciq($D306,"IQ_RETURN_EQUITY"),"")</f>
        <v/>
      </c>
      <c r="AQ306" s="24" t="str">
        <f aca="false">IFERROR(ciq($D306,"IQ_RETURN_CAPITAL"),"")</f>
        <v/>
      </c>
      <c r="AR306" s="24" t="str">
        <f aca="false">IFERROR(ciq($D306,"IQ_TOTAL_REV_1YR_ANN_GROWTH"),"")</f>
        <v/>
      </c>
      <c r="AS306" s="24" t="str">
        <f aca="false">IFERROR(ciq($D306,"IQ_EPS_1YR_ANN_GROWTH"),"")</f>
        <v/>
      </c>
      <c r="AT306" s="24" t="str">
        <f aca="false">IFERROR(ciq($D306,"IQ_DIVIDEND_YIELD"),"")</f>
        <v/>
      </c>
      <c r="AU306" s="24" t="str">
        <f aca="false">IFERROR(ciq($D306,"IQ_NET_DEBT"),"")</f>
        <v/>
      </c>
    </row>
    <row r="307" customFormat="false" ht="15" hidden="false" customHeight="false" outlineLevel="0" collapsed="false">
      <c r="A307" s="8" t="s">
        <v>1638</v>
      </c>
      <c r="B307" s="8" t="s">
        <v>1639</v>
      </c>
      <c r="C307" s="8" t="s">
        <v>72</v>
      </c>
      <c r="D307" s="8" t="s">
        <v>1640</v>
      </c>
      <c r="E307" s="8" t="s">
        <v>1641</v>
      </c>
      <c r="F307" s="6" t="s">
        <v>1642</v>
      </c>
      <c r="G307" s="8" t="s">
        <v>57</v>
      </c>
      <c r="H307" s="8" t="s">
        <v>66</v>
      </c>
      <c r="I307" s="8"/>
      <c r="J307" s="8"/>
      <c r="K307" s="8"/>
      <c r="L307" s="8"/>
      <c r="M307" s="23" t="n">
        <v>73500</v>
      </c>
      <c r="N307" s="23" t="n">
        <v>16767.07284</v>
      </c>
      <c r="O307" s="23" t="n">
        <v>17067.0551636</v>
      </c>
      <c r="P307" s="24" t="n">
        <v>34.757485275</v>
      </c>
      <c r="Q307" s="24" t="n">
        <v>38.8490678083333</v>
      </c>
      <c r="R307" s="24" t="n">
        <v>34.757485275</v>
      </c>
      <c r="S307" s="25" t="n">
        <v>0.00207296083261961</v>
      </c>
      <c r="T307" s="26" t="n">
        <v>0.409840545925785</v>
      </c>
      <c r="U307" s="23" t="n">
        <v>0</v>
      </c>
      <c r="V307" s="26" t="n">
        <v>-0.06</v>
      </c>
      <c r="W307" s="26" t="n">
        <v>-0.0442164278909916</v>
      </c>
      <c r="X307" s="26" t="n">
        <v>-0.0895535994814647</v>
      </c>
      <c r="Y307" s="26" t="n">
        <v>-0.37166480732871</v>
      </c>
      <c r="Z307" s="26" t="n">
        <v>-0.223639809330174</v>
      </c>
      <c r="AA307" s="26" t="n">
        <v>-0.126369757436122</v>
      </c>
      <c r="AB307" s="26" t="n">
        <v>-0.49587580432126</v>
      </c>
      <c r="AC307" s="27" t="n">
        <v>0.626889340403814</v>
      </c>
      <c r="AD307" s="28" t="n">
        <f aca="false">Params!$B$6*Params!$B$7*$R307</f>
        <v>20.854491165</v>
      </c>
      <c r="AE307" s="29" t="n">
        <f aca="false">MIN(Params!$B$9,AD307/Params!$B$4)</f>
        <v>0.04170898233</v>
      </c>
      <c r="AF307" s="29" t="n">
        <f aca="false">MIN(Params!$B$9,AD307/Params!$B$5)</f>
        <v>0.020854491165</v>
      </c>
      <c r="AG307" s="28" t="n">
        <f aca="false">IF($R307&gt;0,Params!$B$9*Params!$B$4/(Params!$B$6*$R307),"n/a")</f>
        <v>4.31561716312919</v>
      </c>
      <c r="AH307" s="28" t="n">
        <f aca="false">IF($R307&gt;0,Params!$B$9*Params!$B$5/(Params!$B$6*$R307),"n/a")</f>
        <v>8.63123432625837</v>
      </c>
      <c r="AI307" s="28" t="n">
        <f aca="false">IF($R307&gt;0,Params!$B$15*Params!$B$4/(Params!$B$6*$R307),"n/a")</f>
        <v>1.4385390543764</v>
      </c>
      <c r="AJ307" s="29" t="n">
        <f aca="false">MIN(Params!$B$9,AD307*Params!$B$8/Params!$B$4)</f>
        <v>0.020854491165</v>
      </c>
      <c r="AK307" s="28" t="n">
        <f aca="false">IF($R307&gt;0,Params!$B$9*Params!$B$4/(Params!$B$6*$R307*Params!$B$8),"n/a")</f>
        <v>8.63123432625837</v>
      </c>
      <c r="AL307" s="27" t="str">
        <f aca="false">IFERROR(ciq($D307,"IQ_PE_EXCL"),"")</f>
        <v/>
      </c>
      <c r="AM307" s="27" t="str">
        <f aca="false">IFERROR(ciq($D307,"IQ_PE_EXCL_FWD_CIQ"),"")</f>
        <v/>
      </c>
      <c r="AN307" s="27" t="str">
        <f aca="false">IFERROR(ciq($D307,"IQ_PBV"),"")</f>
        <v/>
      </c>
      <c r="AO307" s="27" t="str">
        <f aca="false">IFERROR(ciq($D307,"IQ_TEV_EBITDA"),"")</f>
        <v/>
      </c>
      <c r="AP307" s="24" t="str">
        <f aca="false">IFERROR(ciq($D307,"IQ_RETURN_EQUITY"),"")</f>
        <v/>
      </c>
      <c r="AQ307" s="24" t="str">
        <f aca="false">IFERROR(ciq($D307,"IQ_RETURN_CAPITAL"),"")</f>
        <v/>
      </c>
      <c r="AR307" s="24" t="str">
        <f aca="false">IFERROR(ciq($D307,"IQ_TOTAL_REV_1YR_ANN_GROWTH"),"")</f>
        <v/>
      </c>
      <c r="AS307" s="24" t="str">
        <f aca="false">IFERROR(ciq($D307,"IQ_EPS_1YR_ANN_GROWTH"),"")</f>
        <v/>
      </c>
      <c r="AT307" s="24" t="str">
        <f aca="false">IFERROR(ciq($D307,"IQ_DIVIDEND_YIELD"),"")</f>
        <v/>
      </c>
      <c r="AU307" s="24" t="str">
        <f aca="false">IFERROR(ciq($D307,"IQ_NET_DEBT"),"")</f>
        <v/>
      </c>
    </row>
    <row r="308" customFormat="false" ht="15" hidden="false" customHeight="false" outlineLevel="0" collapsed="false">
      <c r="A308" s="8" t="s">
        <v>1643</v>
      </c>
      <c r="B308" s="6" t="s">
        <v>1644</v>
      </c>
      <c r="C308" s="8" t="s">
        <v>72</v>
      </c>
      <c r="D308" s="8" t="s">
        <v>1645</v>
      </c>
      <c r="E308" s="8" t="s">
        <v>1646</v>
      </c>
      <c r="F308" s="6" t="s">
        <v>1647</v>
      </c>
      <c r="G308" s="8" t="s">
        <v>57</v>
      </c>
      <c r="H308" s="8" t="s">
        <v>66</v>
      </c>
      <c r="I308" s="8"/>
      <c r="J308" s="8"/>
      <c r="K308" s="8"/>
      <c r="L308" s="8"/>
      <c r="M308" s="23" t="n">
        <v>37850</v>
      </c>
      <c r="N308" s="23" t="n">
        <v>16707.2999915</v>
      </c>
      <c r="O308" s="23" t="n">
        <v>16663.1591725</v>
      </c>
      <c r="P308" s="24" t="n">
        <v>17.902304</v>
      </c>
      <c r="Q308" s="24" t="n">
        <v>19.80466115</v>
      </c>
      <c r="R308" s="24" t="n">
        <v>17.902304</v>
      </c>
      <c r="S308" s="25" t="n">
        <v>0.00107152586049858</v>
      </c>
      <c r="T308" s="26" t="n">
        <v>0.37635655069925</v>
      </c>
      <c r="U308" s="23" t="n">
        <v>0</v>
      </c>
      <c r="V308" s="26" t="n">
        <v>-0.06</v>
      </c>
      <c r="W308" s="26" t="n">
        <v>0.0454738893566031</v>
      </c>
      <c r="X308" s="26" t="n">
        <v>0.162558509519775</v>
      </c>
      <c r="Y308" s="26" t="n">
        <v>-0.0274569713647702</v>
      </c>
      <c r="Z308" s="26" t="n">
        <v>-0.0970094219776462</v>
      </c>
      <c r="AA308" s="26" t="n">
        <v>-0.118075273792271</v>
      </c>
      <c r="AB308" s="26" t="n">
        <v>-0.243409594290218</v>
      </c>
      <c r="AC308" s="27" t="n">
        <v>0.796477673193538</v>
      </c>
      <c r="AD308" s="28" t="n">
        <f aca="false">Params!$B$6*Params!$B$7*$R308</f>
        <v>10.7413824</v>
      </c>
      <c r="AE308" s="29" t="n">
        <f aca="false">MIN(Params!$B$9,AD308/Params!$B$4)</f>
        <v>0.0214827648</v>
      </c>
      <c r="AF308" s="29" t="n">
        <f aca="false">MIN(Params!$B$9,AD308/Params!$B$5)</f>
        <v>0.0107413824</v>
      </c>
      <c r="AG308" s="28" t="n">
        <f aca="false">IF($R308&gt;0,Params!$B$9*Params!$B$4/(Params!$B$6*$R308),"n/a")</f>
        <v>8.3788097889523</v>
      </c>
      <c r="AH308" s="28" t="n">
        <f aca="false">IF($R308&gt;0,Params!$B$9*Params!$B$5/(Params!$B$6*$R308),"n/a")</f>
        <v>16.7576195779046</v>
      </c>
      <c r="AI308" s="28" t="n">
        <f aca="false">IF($R308&gt;0,Params!$B$15*Params!$B$4/(Params!$B$6*$R308),"n/a")</f>
        <v>2.79293659631743</v>
      </c>
      <c r="AJ308" s="29" t="n">
        <f aca="false">MIN(Params!$B$9,AD308*Params!$B$8/Params!$B$4)</f>
        <v>0.0107413824</v>
      </c>
      <c r="AK308" s="28" t="n">
        <f aca="false">IF($R308&gt;0,Params!$B$9*Params!$B$4/(Params!$B$6*$R308*Params!$B$8),"n/a")</f>
        <v>16.7576195779046</v>
      </c>
      <c r="AL308" s="27" t="str">
        <f aca="false">IFERROR(ciq($D308,"IQ_PE_EXCL"),"")</f>
        <v/>
      </c>
      <c r="AM308" s="27" t="str">
        <f aca="false">IFERROR(ciq($D308,"IQ_PE_EXCL_FWD_CIQ"),"")</f>
        <v/>
      </c>
      <c r="AN308" s="27" t="str">
        <f aca="false">IFERROR(ciq($D308,"IQ_PBV"),"")</f>
        <v/>
      </c>
      <c r="AO308" s="27" t="str">
        <f aca="false">IFERROR(ciq($D308,"IQ_TEV_EBITDA"),"")</f>
        <v/>
      </c>
      <c r="AP308" s="24" t="str">
        <f aca="false">IFERROR(ciq($D308,"IQ_RETURN_EQUITY"),"")</f>
        <v/>
      </c>
      <c r="AQ308" s="24" t="str">
        <f aca="false">IFERROR(ciq($D308,"IQ_RETURN_CAPITAL"),"")</f>
        <v/>
      </c>
      <c r="AR308" s="24" t="str">
        <f aca="false">IFERROR(ciq($D308,"IQ_TOTAL_REV_1YR_ANN_GROWTH"),"")</f>
        <v/>
      </c>
      <c r="AS308" s="24" t="str">
        <f aca="false">IFERROR(ciq($D308,"IQ_EPS_1YR_ANN_GROWTH"),"")</f>
        <v/>
      </c>
      <c r="AT308" s="24" t="str">
        <f aca="false">IFERROR(ciq($D308,"IQ_DIVIDEND_YIELD"),"")</f>
        <v/>
      </c>
      <c r="AU308" s="24" t="str">
        <f aca="false">IFERROR(ciq($D308,"IQ_NET_DEBT"),"")</f>
        <v/>
      </c>
    </row>
    <row r="309" customFormat="false" ht="15" hidden="false" customHeight="false" outlineLevel="0" collapsed="false">
      <c r="A309" s="8" t="s">
        <v>321</v>
      </c>
      <c r="B309" s="6" t="s">
        <v>322</v>
      </c>
      <c r="C309" s="8" t="s">
        <v>72</v>
      </c>
      <c r="D309" s="8" t="s">
        <v>1648</v>
      </c>
      <c r="E309" s="8" t="s">
        <v>1649</v>
      </c>
      <c r="F309" s="8"/>
      <c r="G309" s="8" t="s">
        <v>57</v>
      </c>
      <c r="H309" s="8" t="s">
        <v>66</v>
      </c>
      <c r="I309" s="8" t="s">
        <v>508</v>
      </c>
      <c r="J309" s="6" t="s">
        <v>109</v>
      </c>
      <c r="K309" s="6" t="s">
        <v>323</v>
      </c>
      <c r="L309" s="6" t="s">
        <v>109</v>
      </c>
      <c r="M309" s="23" t="n">
        <v>399500</v>
      </c>
      <c r="N309" s="23" t="n">
        <v>15965.86569</v>
      </c>
      <c r="O309" s="23" t="n">
        <v>16976.970576</v>
      </c>
      <c r="P309" s="24" t="n">
        <v>30.855464875</v>
      </c>
      <c r="Q309" s="24" t="n">
        <v>51.9121480416667</v>
      </c>
      <c r="R309" s="24" t="n">
        <v>30.855464875</v>
      </c>
      <c r="S309" s="25" t="n">
        <v>0.00193258953032067</v>
      </c>
      <c r="T309" s="26" t="n">
        <v>0.84457067458732</v>
      </c>
      <c r="U309" s="23" t="n">
        <v>1</v>
      </c>
      <c r="V309" s="26" t="n">
        <v>-0.06</v>
      </c>
      <c r="W309" s="26" t="n">
        <v>-0.14819685524224</v>
      </c>
      <c r="X309" s="26" t="n">
        <v>-0.265511608399209</v>
      </c>
      <c r="Y309" s="26" t="n">
        <v>-0.230053566464935</v>
      </c>
      <c r="Z309" s="26" t="n">
        <v>-0.149639256379222</v>
      </c>
      <c r="AA309" s="26" t="n">
        <v>0.12907134181008</v>
      </c>
      <c r="AB309" s="26" t="n">
        <v>-0.457123479416843</v>
      </c>
      <c r="AC309" s="27" t="n">
        <v>0.330264110333117</v>
      </c>
      <c r="AD309" s="28" t="n">
        <f aca="false">Params!$B$6*Params!$B$7*$R309</f>
        <v>18.513278925</v>
      </c>
      <c r="AE309" s="29" t="n">
        <f aca="false">MIN(Params!$B$9,AD309/Params!$B$4)</f>
        <v>0.03702655785</v>
      </c>
      <c r="AF309" s="29" t="n">
        <f aca="false">MIN(Params!$B$9,AD309/Params!$B$5)</f>
        <v>0.018513278925</v>
      </c>
      <c r="AG309" s="28" t="n">
        <f aca="false">IF($R309&gt;0,Params!$B$9*Params!$B$4/(Params!$B$6*$R309),"n/a")</f>
        <v>4.86137546809526</v>
      </c>
      <c r="AH309" s="28" t="n">
        <f aca="false">IF($R309&gt;0,Params!$B$9*Params!$B$5/(Params!$B$6*$R309),"n/a")</f>
        <v>9.72275093619052</v>
      </c>
      <c r="AI309" s="28" t="n">
        <f aca="false">IF($R309&gt;0,Params!$B$15*Params!$B$4/(Params!$B$6*$R309),"n/a")</f>
        <v>1.62045848936509</v>
      </c>
      <c r="AJ309" s="29" t="n">
        <f aca="false">MIN(Params!$B$9,AD309*Params!$B$8/Params!$B$4)</f>
        <v>0.018513278925</v>
      </c>
      <c r="AK309" s="28" t="n">
        <f aca="false">IF($R309&gt;0,Params!$B$9*Params!$B$4/(Params!$B$6*$R309*Params!$B$8),"n/a")</f>
        <v>9.72275093619052</v>
      </c>
      <c r="AL309" s="27" t="str">
        <f aca="false">IFERROR(ciq($D309,"IQ_PE_EXCL"),"")</f>
        <v/>
      </c>
      <c r="AM309" s="27" t="str">
        <f aca="false">IFERROR(ciq($D309,"IQ_PE_EXCL_FWD_CIQ"),"")</f>
        <v/>
      </c>
      <c r="AN309" s="27" t="str">
        <f aca="false">IFERROR(ciq($D309,"IQ_PBV"),"")</f>
        <v/>
      </c>
      <c r="AO309" s="27" t="str">
        <f aca="false">IFERROR(ciq($D309,"IQ_TEV_EBITDA"),"")</f>
        <v/>
      </c>
      <c r="AP309" s="24" t="str">
        <f aca="false">IFERROR(ciq($D309,"IQ_RETURN_EQUITY"),"")</f>
        <v/>
      </c>
      <c r="AQ309" s="24" t="str">
        <f aca="false">IFERROR(ciq($D309,"IQ_RETURN_CAPITAL"),"")</f>
        <v/>
      </c>
      <c r="AR309" s="24" t="str">
        <f aca="false">IFERROR(ciq($D309,"IQ_TOTAL_REV_1YR_ANN_GROWTH"),"")</f>
        <v/>
      </c>
      <c r="AS309" s="24" t="str">
        <f aca="false">IFERROR(ciq($D309,"IQ_EPS_1YR_ANN_GROWTH"),"")</f>
        <v/>
      </c>
      <c r="AT309" s="24" t="str">
        <f aca="false">IFERROR(ciq($D309,"IQ_DIVIDEND_YIELD"),"")</f>
        <v/>
      </c>
      <c r="AU309" s="24" t="str">
        <f aca="false">IFERROR(ciq($D309,"IQ_NET_DEBT"),"")</f>
        <v/>
      </c>
    </row>
    <row r="310" customFormat="false" ht="15" hidden="false" customHeight="false" outlineLevel="0" collapsed="false">
      <c r="A310" s="8" t="s">
        <v>1650</v>
      </c>
      <c r="B310" s="8" t="s">
        <v>1651</v>
      </c>
      <c r="C310" s="8" t="s">
        <v>72</v>
      </c>
      <c r="D310" s="8" t="s">
        <v>1652</v>
      </c>
      <c r="E310" s="8" t="s">
        <v>1653</v>
      </c>
      <c r="F310" s="6" t="s">
        <v>758</v>
      </c>
      <c r="G310" s="8" t="s">
        <v>57</v>
      </c>
      <c r="H310" s="8" t="s">
        <v>66</v>
      </c>
      <c r="I310" s="8"/>
      <c r="J310" s="8"/>
      <c r="K310" s="8"/>
      <c r="L310" s="8"/>
      <c r="M310" s="23" t="n">
        <v>40450</v>
      </c>
      <c r="N310" s="23" t="n">
        <v>15678.42</v>
      </c>
      <c r="O310" s="23" t="n">
        <v>14861.553</v>
      </c>
      <c r="P310" s="24" t="n">
        <v>25.631049</v>
      </c>
      <c r="Q310" s="24" t="n">
        <v>53.1647123291667</v>
      </c>
      <c r="R310" s="24" t="n">
        <v>25.631049</v>
      </c>
      <c r="S310" s="25" t="n">
        <v>0.0016347979579575</v>
      </c>
      <c r="T310" s="26" t="n">
        <v>0.485312834665977</v>
      </c>
      <c r="U310" s="23" t="n">
        <v>0</v>
      </c>
      <c r="V310" s="26" t="n">
        <v>-0.06</v>
      </c>
      <c r="W310" s="26" t="n">
        <v>0.0888588493818774</v>
      </c>
      <c r="X310" s="26" t="n">
        <v>0.0425497246036175</v>
      </c>
      <c r="Y310" s="26" t="n">
        <v>-0.0151953849411162</v>
      </c>
      <c r="Z310" s="26" t="n">
        <v>0.245102308330939</v>
      </c>
      <c r="AA310" s="26" t="n">
        <v>0.353512705961353</v>
      </c>
      <c r="AB310" s="26" t="n">
        <v>-0.286548146595941</v>
      </c>
      <c r="AC310" s="27" t="n">
        <v>0.331406138646695</v>
      </c>
      <c r="AD310" s="28" t="n">
        <f aca="false">Params!$B$6*Params!$B$7*$R310</f>
        <v>15.3786294</v>
      </c>
      <c r="AE310" s="29" t="n">
        <f aca="false">MIN(Params!$B$9,AD310/Params!$B$4)</f>
        <v>0.0307572588</v>
      </c>
      <c r="AF310" s="29" t="n">
        <f aca="false">MIN(Params!$B$9,AD310/Params!$B$5)</f>
        <v>0.0153786294</v>
      </c>
      <c r="AG310" s="28" t="n">
        <f aca="false">IF($R310&gt;0,Params!$B$9*Params!$B$4/(Params!$B$6*$R310),"n/a")</f>
        <v>5.85227705662769</v>
      </c>
      <c r="AH310" s="28" t="n">
        <f aca="false">IF($R310&gt;0,Params!$B$9*Params!$B$5/(Params!$B$6*$R310),"n/a")</f>
        <v>11.7045541132554</v>
      </c>
      <c r="AI310" s="28" t="n">
        <f aca="false">IF($R310&gt;0,Params!$B$15*Params!$B$4/(Params!$B$6*$R310),"n/a")</f>
        <v>1.9507590188759</v>
      </c>
      <c r="AJ310" s="29" t="n">
        <f aca="false">MIN(Params!$B$9,AD310*Params!$B$8/Params!$B$4)</f>
        <v>0.0153786294</v>
      </c>
      <c r="AK310" s="28" t="n">
        <f aca="false">IF($R310&gt;0,Params!$B$9*Params!$B$4/(Params!$B$6*$R310*Params!$B$8),"n/a")</f>
        <v>11.7045541132554</v>
      </c>
      <c r="AL310" s="27" t="str">
        <f aca="false">IFERROR(ciq($D310,"IQ_PE_EXCL"),"")</f>
        <v/>
      </c>
      <c r="AM310" s="27" t="str">
        <f aca="false">IFERROR(ciq($D310,"IQ_PE_EXCL_FWD_CIQ"),"")</f>
        <v/>
      </c>
      <c r="AN310" s="27" t="str">
        <f aca="false">IFERROR(ciq($D310,"IQ_PBV"),"")</f>
        <v/>
      </c>
      <c r="AO310" s="27" t="str">
        <f aca="false">IFERROR(ciq($D310,"IQ_TEV_EBITDA"),"")</f>
        <v/>
      </c>
      <c r="AP310" s="24" t="str">
        <f aca="false">IFERROR(ciq($D310,"IQ_RETURN_EQUITY"),"")</f>
        <v/>
      </c>
      <c r="AQ310" s="24" t="str">
        <f aca="false">IFERROR(ciq($D310,"IQ_RETURN_CAPITAL"),"")</f>
        <v/>
      </c>
      <c r="AR310" s="24" t="str">
        <f aca="false">IFERROR(ciq($D310,"IQ_TOTAL_REV_1YR_ANN_GROWTH"),"")</f>
        <v/>
      </c>
      <c r="AS310" s="24" t="str">
        <f aca="false">IFERROR(ciq($D310,"IQ_EPS_1YR_ANN_GROWTH"),"")</f>
        <v/>
      </c>
      <c r="AT310" s="24" t="str">
        <f aca="false">IFERROR(ciq($D310,"IQ_DIVIDEND_YIELD"),"")</f>
        <v/>
      </c>
      <c r="AU310" s="24" t="str">
        <f aca="false">IFERROR(ciq($D310,"IQ_NET_DEBT"),"")</f>
        <v/>
      </c>
    </row>
    <row r="311" customFormat="false" ht="15" hidden="false" customHeight="false" outlineLevel="0" collapsed="false">
      <c r="A311" s="8" t="s">
        <v>1654</v>
      </c>
      <c r="B311" s="6" t="s">
        <v>1655</v>
      </c>
      <c r="C311" s="8" t="s">
        <v>72</v>
      </c>
      <c r="D311" s="8" t="s">
        <v>1656</v>
      </c>
      <c r="E311" s="8" t="s">
        <v>1657</v>
      </c>
      <c r="F311" s="6" t="s">
        <v>572</v>
      </c>
      <c r="G311" s="8" t="s">
        <v>57</v>
      </c>
      <c r="H311" s="8" t="s">
        <v>66</v>
      </c>
      <c r="I311" s="8"/>
      <c r="J311" s="8"/>
      <c r="K311" s="8"/>
      <c r="L311" s="8"/>
      <c r="M311" s="23" t="n">
        <v>57200</v>
      </c>
      <c r="N311" s="23" t="n">
        <v>15555.587476</v>
      </c>
      <c r="O311" s="23" t="n">
        <v>16778.00645685</v>
      </c>
      <c r="P311" s="24" t="n">
        <v>36.4926796</v>
      </c>
      <c r="Q311" s="24" t="n">
        <v>71.1440315871667</v>
      </c>
      <c r="R311" s="24" t="n">
        <v>36.4926796</v>
      </c>
      <c r="S311" s="25" t="n">
        <v>0.0023459531603228</v>
      </c>
      <c r="T311" s="26" t="n">
        <v>0.622208393859992</v>
      </c>
      <c r="U311" s="23" t="n">
        <v>0</v>
      </c>
      <c r="V311" s="26" t="n">
        <v>-0.06</v>
      </c>
      <c r="W311" s="26" t="n">
        <v>-0.0820081726489961</v>
      </c>
      <c r="X311" s="26" t="n">
        <v>-0.233398766906771</v>
      </c>
      <c r="Y311" s="26" t="n">
        <v>-0.334994806914307</v>
      </c>
      <c r="Z311" s="26" t="n">
        <v>-0.244335869616168</v>
      </c>
      <c r="AA311" s="26" t="n">
        <v>0.130510684150356</v>
      </c>
      <c r="AB311" s="26" t="n">
        <v>-0.435441128164602</v>
      </c>
      <c r="AC311" s="27" t="n">
        <v>0.243792642788522</v>
      </c>
      <c r="AD311" s="28" t="n">
        <f aca="false">Params!$B$6*Params!$B$7*$R311</f>
        <v>21.89560776</v>
      </c>
      <c r="AE311" s="29" t="n">
        <f aca="false">MIN(Params!$B$9,AD311/Params!$B$4)</f>
        <v>0.04379121552</v>
      </c>
      <c r="AF311" s="29" t="n">
        <f aca="false">MIN(Params!$B$9,AD311/Params!$B$5)</f>
        <v>0.02189560776</v>
      </c>
      <c r="AG311" s="28" t="n">
        <f aca="false">IF($R311&gt;0,Params!$B$9*Params!$B$4/(Params!$B$6*$R311),"n/a")</f>
        <v>4.11041342110706</v>
      </c>
      <c r="AH311" s="28" t="n">
        <f aca="false">IF($R311&gt;0,Params!$B$9*Params!$B$5/(Params!$B$6*$R311),"n/a")</f>
        <v>8.22082684221413</v>
      </c>
      <c r="AI311" s="28" t="n">
        <f aca="false">IF($R311&gt;0,Params!$B$15*Params!$B$4/(Params!$B$6*$R311),"n/a")</f>
        <v>1.37013780703569</v>
      </c>
      <c r="AJ311" s="29" t="n">
        <f aca="false">MIN(Params!$B$9,AD311*Params!$B$8/Params!$B$4)</f>
        <v>0.02189560776</v>
      </c>
      <c r="AK311" s="28" t="n">
        <f aca="false">IF($R311&gt;0,Params!$B$9*Params!$B$4/(Params!$B$6*$R311*Params!$B$8),"n/a")</f>
        <v>8.22082684221413</v>
      </c>
      <c r="AL311" s="27" t="str">
        <f aca="false">IFERROR(ciq($D311,"IQ_PE_EXCL"),"")</f>
        <v/>
      </c>
      <c r="AM311" s="27" t="str">
        <f aca="false">IFERROR(ciq($D311,"IQ_PE_EXCL_FWD_CIQ"),"")</f>
        <v/>
      </c>
      <c r="AN311" s="27" t="str">
        <f aca="false">IFERROR(ciq($D311,"IQ_PBV"),"")</f>
        <v/>
      </c>
      <c r="AO311" s="27" t="str">
        <f aca="false">IFERROR(ciq($D311,"IQ_TEV_EBITDA"),"")</f>
        <v/>
      </c>
      <c r="AP311" s="24" t="str">
        <f aca="false">IFERROR(ciq($D311,"IQ_RETURN_EQUITY"),"")</f>
        <v/>
      </c>
      <c r="AQ311" s="24" t="str">
        <f aca="false">IFERROR(ciq($D311,"IQ_RETURN_CAPITAL"),"")</f>
        <v/>
      </c>
      <c r="AR311" s="24" t="str">
        <f aca="false">IFERROR(ciq($D311,"IQ_TOTAL_REV_1YR_ANN_GROWTH"),"")</f>
        <v/>
      </c>
      <c r="AS311" s="24" t="str">
        <f aca="false">IFERROR(ciq($D311,"IQ_EPS_1YR_ANN_GROWTH"),"")</f>
        <v/>
      </c>
      <c r="AT311" s="24" t="str">
        <f aca="false">IFERROR(ciq($D311,"IQ_DIVIDEND_YIELD"),"")</f>
        <v/>
      </c>
      <c r="AU311" s="24" t="str">
        <f aca="false">IFERROR(ciq($D311,"IQ_NET_DEBT"),"")</f>
        <v/>
      </c>
    </row>
    <row r="312" customFormat="false" ht="15" hidden="false" customHeight="false" outlineLevel="0" collapsed="false">
      <c r="A312" s="8" t="s">
        <v>380</v>
      </c>
      <c r="B312" s="8" t="s">
        <v>381</v>
      </c>
      <c r="C312" s="8" t="s">
        <v>73</v>
      </c>
      <c r="D312" s="8" t="s">
        <v>1658</v>
      </c>
      <c r="E312" s="8" t="s">
        <v>1659</v>
      </c>
      <c r="F312" s="6" t="s">
        <v>1375</v>
      </c>
      <c r="G312" s="8" t="s">
        <v>57</v>
      </c>
      <c r="H312" s="8" t="s">
        <v>66</v>
      </c>
      <c r="I312" s="8" t="s">
        <v>508</v>
      </c>
      <c r="J312" s="8"/>
      <c r="K312" s="8"/>
      <c r="L312" s="6" t="s">
        <v>124</v>
      </c>
      <c r="M312" s="23" t="n">
        <v>29700</v>
      </c>
      <c r="N312" s="23" t="n">
        <v>15514.939638</v>
      </c>
      <c r="O312" s="23" t="n">
        <v>16708.5974519</v>
      </c>
      <c r="P312" s="24" t="n">
        <v>32.01050355</v>
      </c>
      <c r="Q312" s="24" t="n">
        <v>45.4517888375</v>
      </c>
      <c r="R312" s="24" t="n">
        <v>32.01050355</v>
      </c>
      <c r="S312" s="25" t="n">
        <v>0.00206320516204898</v>
      </c>
      <c r="T312" s="26" t="n">
        <v>0.877596190758539</v>
      </c>
      <c r="U312" s="23" t="n">
        <v>0</v>
      </c>
      <c r="V312" s="26" t="n">
        <v>-0.06</v>
      </c>
      <c r="W312" s="26" t="n">
        <v>-0.0543365034194265</v>
      </c>
      <c r="X312" s="26" t="n">
        <v>0.0237950672985365</v>
      </c>
      <c r="Y312" s="26" t="n">
        <v>0.0547452147995455</v>
      </c>
      <c r="Z312" s="26" t="n">
        <v>-0.00849128652964815</v>
      </c>
      <c r="AA312" s="26" t="n">
        <v>0.22424018144142</v>
      </c>
      <c r="AB312" s="26" t="n">
        <v>-0.407401026064705</v>
      </c>
      <c r="AC312" s="27" t="n">
        <v>0.306889128301826</v>
      </c>
      <c r="AD312" s="28" t="n">
        <f aca="false">Params!$B$6*Params!$B$7*$R312</f>
        <v>19.20630213</v>
      </c>
      <c r="AE312" s="29" t="n">
        <f aca="false">MIN(Params!$B$9,AD312/Params!$B$4)</f>
        <v>0.03841260426</v>
      </c>
      <c r="AF312" s="29" t="n">
        <f aca="false">MIN(Params!$B$9,AD312/Params!$B$5)</f>
        <v>0.01920630213</v>
      </c>
      <c r="AG312" s="28" t="n">
        <f aca="false">IF($R312&gt;0,Params!$B$9*Params!$B$4/(Params!$B$6*$R312),"n/a")</f>
        <v>4.68596189890302</v>
      </c>
      <c r="AH312" s="28" t="n">
        <f aca="false">IF($R312&gt;0,Params!$B$9*Params!$B$5/(Params!$B$6*$R312),"n/a")</f>
        <v>9.37192379780605</v>
      </c>
      <c r="AI312" s="28" t="n">
        <f aca="false">IF($R312&gt;0,Params!$B$15*Params!$B$4/(Params!$B$6*$R312),"n/a")</f>
        <v>1.56198729963434</v>
      </c>
      <c r="AJ312" s="29" t="n">
        <f aca="false">MIN(Params!$B$9,AD312*Params!$B$8/Params!$B$4)</f>
        <v>0.01920630213</v>
      </c>
      <c r="AK312" s="28" t="n">
        <f aca="false">IF($R312&gt;0,Params!$B$9*Params!$B$4/(Params!$B$6*$R312*Params!$B$8),"n/a")</f>
        <v>9.37192379780605</v>
      </c>
      <c r="AL312" s="27" t="str">
        <f aca="false">IFERROR(ciq($D312,"IQ_PE_EXCL"),"")</f>
        <v/>
      </c>
      <c r="AM312" s="27" t="str">
        <f aca="false">IFERROR(ciq($D312,"IQ_PE_EXCL_FWD_CIQ"),"")</f>
        <v/>
      </c>
      <c r="AN312" s="27" t="str">
        <f aca="false">IFERROR(ciq($D312,"IQ_PBV"),"")</f>
        <v/>
      </c>
      <c r="AO312" s="27" t="str">
        <f aca="false">IFERROR(ciq($D312,"IQ_TEV_EBITDA"),"")</f>
        <v/>
      </c>
      <c r="AP312" s="24" t="str">
        <f aca="false">IFERROR(ciq($D312,"IQ_RETURN_EQUITY"),"")</f>
        <v/>
      </c>
      <c r="AQ312" s="24" t="str">
        <f aca="false">IFERROR(ciq($D312,"IQ_RETURN_CAPITAL"),"")</f>
        <v/>
      </c>
      <c r="AR312" s="24" t="str">
        <f aca="false">IFERROR(ciq($D312,"IQ_TOTAL_REV_1YR_ANN_GROWTH"),"")</f>
        <v/>
      </c>
      <c r="AS312" s="24" t="str">
        <f aca="false">IFERROR(ciq($D312,"IQ_EPS_1YR_ANN_GROWTH"),"")</f>
        <v/>
      </c>
      <c r="AT312" s="24" t="str">
        <f aca="false">IFERROR(ciq($D312,"IQ_DIVIDEND_YIELD"),"")</f>
        <v/>
      </c>
      <c r="AU312" s="24" t="str">
        <f aca="false">IFERROR(ciq($D312,"IQ_NET_DEBT"),"")</f>
        <v/>
      </c>
    </row>
    <row r="313" customFormat="false" ht="15" hidden="false" customHeight="false" outlineLevel="0" collapsed="false">
      <c r="A313" s="8" t="s">
        <v>1660</v>
      </c>
      <c r="B313" s="8" t="s">
        <v>1661</v>
      </c>
      <c r="C313" s="8" t="s">
        <v>72</v>
      </c>
      <c r="D313" s="8" t="s">
        <v>1662</v>
      </c>
      <c r="E313" s="8" t="s">
        <v>1663</v>
      </c>
      <c r="F313" s="6" t="s">
        <v>826</v>
      </c>
      <c r="G313" s="8" t="s">
        <v>57</v>
      </c>
      <c r="H313" s="8" t="s">
        <v>66</v>
      </c>
      <c r="I313" s="8"/>
      <c r="J313" s="8"/>
      <c r="K313" s="8"/>
      <c r="L313" s="8"/>
      <c r="M313" s="23" t="n">
        <v>23200</v>
      </c>
      <c r="N313" s="23" t="n">
        <v>15290.50056</v>
      </c>
      <c r="O313" s="23" t="n">
        <v>14832.4446165</v>
      </c>
      <c r="P313" s="24" t="n">
        <v>36.130245025</v>
      </c>
      <c r="Q313" s="24" t="n">
        <v>39.6715237875</v>
      </c>
      <c r="R313" s="24" t="n">
        <v>36.130245025</v>
      </c>
      <c r="S313" s="25" t="n">
        <v>0.00236292100989269</v>
      </c>
      <c r="T313" s="26" t="n">
        <v>0.509183890694092</v>
      </c>
      <c r="U313" s="23" t="n">
        <v>0</v>
      </c>
      <c r="V313" s="26" t="n">
        <v>-0.06</v>
      </c>
      <c r="W313" s="26" t="n">
        <v>0.0691030256078196</v>
      </c>
      <c r="X313" s="26" t="n">
        <v>0.171868939723458</v>
      </c>
      <c r="Y313" s="26" t="n">
        <v>0.0716706422614379</v>
      </c>
      <c r="Z313" s="26" t="n">
        <v>0.0598251538751924</v>
      </c>
      <c r="AA313" s="26" t="n">
        <v>0.135259056334787</v>
      </c>
      <c r="AB313" s="26" t="n">
        <v>-0.0490423060493035</v>
      </c>
      <c r="AC313" s="27" t="n">
        <v>0.661290125348506</v>
      </c>
      <c r="AD313" s="28" t="n">
        <f aca="false">Params!$B$6*Params!$B$7*$R313</f>
        <v>21.678147015</v>
      </c>
      <c r="AE313" s="29" t="n">
        <f aca="false">MIN(Params!$B$9,AD313/Params!$B$4)</f>
        <v>0.04335629403</v>
      </c>
      <c r="AF313" s="29" t="n">
        <f aca="false">MIN(Params!$B$9,AD313/Params!$B$5)</f>
        <v>0.021678147015</v>
      </c>
      <c r="AG313" s="28" t="n">
        <f aca="false">IF($R313&gt;0,Params!$B$9*Params!$B$4/(Params!$B$6*$R313),"n/a")</f>
        <v>4.15164635324806</v>
      </c>
      <c r="AH313" s="28" t="n">
        <f aca="false">IF($R313&gt;0,Params!$B$9*Params!$B$5/(Params!$B$6*$R313),"n/a")</f>
        <v>8.30329270649611</v>
      </c>
      <c r="AI313" s="28" t="n">
        <f aca="false">IF($R313&gt;0,Params!$B$15*Params!$B$4/(Params!$B$6*$R313),"n/a")</f>
        <v>1.38388211774935</v>
      </c>
      <c r="AJ313" s="29" t="n">
        <f aca="false">MIN(Params!$B$9,AD313*Params!$B$8/Params!$B$4)</f>
        <v>0.021678147015</v>
      </c>
      <c r="AK313" s="28" t="n">
        <f aca="false">IF($R313&gt;0,Params!$B$9*Params!$B$4/(Params!$B$6*$R313*Params!$B$8),"n/a")</f>
        <v>8.30329270649611</v>
      </c>
      <c r="AL313" s="27" t="str">
        <f aca="false">IFERROR(ciq($D313,"IQ_PE_EXCL"),"")</f>
        <v/>
      </c>
      <c r="AM313" s="27" t="str">
        <f aca="false">IFERROR(ciq($D313,"IQ_PE_EXCL_FWD_CIQ"),"")</f>
        <v/>
      </c>
      <c r="AN313" s="27" t="str">
        <f aca="false">IFERROR(ciq($D313,"IQ_PBV"),"")</f>
        <v/>
      </c>
      <c r="AO313" s="27" t="str">
        <f aca="false">IFERROR(ciq($D313,"IQ_TEV_EBITDA"),"")</f>
        <v/>
      </c>
      <c r="AP313" s="24" t="str">
        <f aca="false">IFERROR(ciq($D313,"IQ_RETURN_EQUITY"),"")</f>
        <v/>
      </c>
      <c r="AQ313" s="24" t="str">
        <f aca="false">IFERROR(ciq($D313,"IQ_RETURN_CAPITAL"),"")</f>
        <v/>
      </c>
      <c r="AR313" s="24" t="str">
        <f aca="false">IFERROR(ciq($D313,"IQ_TOTAL_REV_1YR_ANN_GROWTH"),"")</f>
        <v/>
      </c>
      <c r="AS313" s="24" t="str">
        <f aca="false">IFERROR(ciq($D313,"IQ_EPS_1YR_ANN_GROWTH"),"")</f>
        <v/>
      </c>
      <c r="AT313" s="24" t="str">
        <f aca="false">IFERROR(ciq($D313,"IQ_DIVIDEND_YIELD"),"")</f>
        <v/>
      </c>
      <c r="AU313" s="24" t="str">
        <f aca="false">IFERROR(ciq($D313,"IQ_NET_DEBT"),"")</f>
        <v/>
      </c>
    </row>
    <row r="314" customFormat="false" ht="15" hidden="false" customHeight="false" outlineLevel="0" collapsed="false">
      <c r="A314" s="8" t="s">
        <v>324</v>
      </c>
      <c r="B314" s="6" t="s">
        <v>325</v>
      </c>
      <c r="C314" s="8" t="s">
        <v>72</v>
      </c>
      <c r="D314" s="8" t="s">
        <v>1664</v>
      </c>
      <c r="E314" s="8" t="s">
        <v>1665</v>
      </c>
      <c r="F314" s="6" t="s">
        <v>536</v>
      </c>
      <c r="G314" s="8" t="s">
        <v>57</v>
      </c>
      <c r="H314" s="8" t="s">
        <v>66</v>
      </c>
      <c r="I314" s="8" t="s">
        <v>508</v>
      </c>
      <c r="J314" s="6" t="s">
        <v>113</v>
      </c>
      <c r="K314" s="6" t="s">
        <v>326</v>
      </c>
      <c r="L314" s="8"/>
      <c r="M314" s="23" t="n">
        <v>25300</v>
      </c>
      <c r="N314" s="23" t="n">
        <v>15219.632956</v>
      </c>
      <c r="O314" s="23" t="n">
        <v>15750.5154099</v>
      </c>
      <c r="P314" s="24" t="n">
        <v>18.8622115</v>
      </c>
      <c r="Q314" s="24" t="n">
        <v>28.5749498791667</v>
      </c>
      <c r="R314" s="24" t="n">
        <v>18.8622115</v>
      </c>
      <c r="S314" s="25" t="n">
        <v>0.00123933419120755</v>
      </c>
      <c r="T314" s="26" t="n">
        <v>0.453191287146788</v>
      </c>
      <c r="U314" s="23" t="n">
        <v>0</v>
      </c>
      <c r="V314" s="26" t="n">
        <v>-0.06</v>
      </c>
      <c r="W314" s="26" t="n">
        <v>-0.0212893920455702</v>
      </c>
      <c r="X314" s="26" t="n">
        <v>-3.1228342352807E-005</v>
      </c>
      <c r="Y314" s="26" t="n">
        <v>0.0282272336287923</v>
      </c>
      <c r="Z314" s="26" t="n">
        <v>0.224550452809166</v>
      </c>
      <c r="AA314" s="26" t="n">
        <v>0.265599727711495</v>
      </c>
      <c r="AB314" s="26" t="n">
        <v>-0.105868543476984</v>
      </c>
      <c r="AC314" s="27" t="n">
        <v>0.549714103134871</v>
      </c>
      <c r="AD314" s="28" t="n">
        <f aca="false">Params!$B$6*Params!$B$7*$R314</f>
        <v>11.3173269</v>
      </c>
      <c r="AE314" s="29" t="n">
        <f aca="false">MIN(Params!$B$9,AD314/Params!$B$4)</f>
        <v>0.0226346538</v>
      </c>
      <c r="AF314" s="29" t="n">
        <f aca="false">MIN(Params!$B$9,AD314/Params!$B$5)</f>
        <v>0.0113173269</v>
      </c>
      <c r="AG314" s="28" t="n">
        <f aca="false">IF($R314&gt;0,Params!$B$9*Params!$B$4/(Params!$B$6*$R314),"n/a")</f>
        <v>7.95240791356835</v>
      </c>
      <c r="AH314" s="28" t="n">
        <f aca="false">IF($R314&gt;0,Params!$B$9*Params!$B$5/(Params!$B$6*$R314),"n/a")</f>
        <v>15.9048158271367</v>
      </c>
      <c r="AI314" s="28" t="n">
        <f aca="false">IF($R314&gt;0,Params!$B$15*Params!$B$4/(Params!$B$6*$R314),"n/a")</f>
        <v>2.65080263785612</v>
      </c>
      <c r="AJ314" s="29" t="n">
        <f aca="false">MIN(Params!$B$9,AD314*Params!$B$8/Params!$B$4)</f>
        <v>0.0113173269</v>
      </c>
      <c r="AK314" s="28" t="n">
        <f aca="false">IF($R314&gt;0,Params!$B$9*Params!$B$4/(Params!$B$6*$R314*Params!$B$8),"n/a")</f>
        <v>15.9048158271367</v>
      </c>
      <c r="AL314" s="27" t="str">
        <f aca="false">IFERROR(ciq($D314,"IQ_PE_EXCL"),"")</f>
        <v/>
      </c>
      <c r="AM314" s="27" t="str">
        <f aca="false">IFERROR(ciq($D314,"IQ_PE_EXCL_FWD_CIQ"),"")</f>
        <v/>
      </c>
      <c r="AN314" s="27" t="str">
        <f aca="false">IFERROR(ciq($D314,"IQ_PBV"),"")</f>
        <v/>
      </c>
      <c r="AO314" s="27" t="str">
        <f aca="false">IFERROR(ciq($D314,"IQ_TEV_EBITDA"),"")</f>
        <v/>
      </c>
      <c r="AP314" s="24" t="str">
        <f aca="false">IFERROR(ciq($D314,"IQ_RETURN_EQUITY"),"")</f>
        <v/>
      </c>
      <c r="AQ314" s="24" t="str">
        <f aca="false">IFERROR(ciq($D314,"IQ_RETURN_CAPITAL"),"")</f>
        <v/>
      </c>
      <c r="AR314" s="24" t="str">
        <f aca="false">IFERROR(ciq($D314,"IQ_TOTAL_REV_1YR_ANN_GROWTH"),"")</f>
        <v/>
      </c>
      <c r="AS314" s="24" t="str">
        <f aca="false">IFERROR(ciq($D314,"IQ_EPS_1YR_ANN_GROWTH"),"")</f>
        <v/>
      </c>
      <c r="AT314" s="24" t="str">
        <f aca="false">IFERROR(ciq($D314,"IQ_DIVIDEND_YIELD"),"")</f>
        <v/>
      </c>
      <c r="AU314" s="24" t="str">
        <f aca="false">IFERROR(ciq($D314,"IQ_NET_DEBT"),"")</f>
        <v/>
      </c>
    </row>
    <row r="315" customFormat="false" ht="15" hidden="false" customHeight="false" outlineLevel="0" collapsed="false">
      <c r="A315" s="8" t="s">
        <v>1666</v>
      </c>
      <c r="B315" s="6" t="s">
        <v>1667</v>
      </c>
      <c r="C315" s="8" t="s">
        <v>72</v>
      </c>
      <c r="D315" s="8" t="s">
        <v>1668</v>
      </c>
      <c r="E315" s="8" t="s">
        <v>1669</v>
      </c>
      <c r="F315" s="6" t="s">
        <v>852</v>
      </c>
      <c r="G315" s="8" t="s">
        <v>57</v>
      </c>
      <c r="H315" s="8" t="s">
        <v>66</v>
      </c>
      <c r="I315" s="8"/>
      <c r="J315" s="8"/>
      <c r="K315" s="8"/>
      <c r="L315" s="8"/>
      <c r="M315" s="23" t="n">
        <v>127000</v>
      </c>
      <c r="N315" s="23" t="n">
        <v>14841.90326</v>
      </c>
      <c r="O315" s="23" t="n">
        <v>14938.9015254</v>
      </c>
      <c r="P315" s="24" t="n">
        <v>33.3680634</v>
      </c>
      <c r="Q315" s="24" t="n">
        <v>47.61280345</v>
      </c>
      <c r="R315" s="24" t="n">
        <v>33.3680634</v>
      </c>
      <c r="S315" s="25" t="n">
        <v>0.00224823345196767</v>
      </c>
      <c r="T315" s="26" t="n">
        <v>0.475114330575962</v>
      </c>
      <c r="U315" s="23" t="n">
        <v>0</v>
      </c>
      <c r="V315" s="26" t="n">
        <v>-0.06</v>
      </c>
      <c r="W315" s="26" t="n">
        <v>0.0385569472285829</v>
      </c>
      <c r="X315" s="26" t="n">
        <v>0.0301453397185614</v>
      </c>
      <c r="Y315" s="26" t="n">
        <v>-0.161022359452184</v>
      </c>
      <c r="Z315" s="26" t="n">
        <v>-0.201075525681821</v>
      </c>
      <c r="AA315" s="26" t="n">
        <v>-0.053259406754628</v>
      </c>
      <c r="AB315" s="26" t="n">
        <v>-0.295532260491863</v>
      </c>
      <c r="AC315" s="27" t="n">
        <v>0.528619558295427</v>
      </c>
      <c r="AD315" s="28" t="n">
        <f aca="false">Params!$B$6*Params!$B$7*$R315</f>
        <v>20.02083804</v>
      </c>
      <c r="AE315" s="29" t="n">
        <f aca="false">MIN(Params!$B$9,AD315/Params!$B$4)</f>
        <v>0.04004167608</v>
      </c>
      <c r="AF315" s="29" t="n">
        <f aca="false">MIN(Params!$B$9,AD315/Params!$B$5)</f>
        <v>0.02002083804</v>
      </c>
      <c r="AG315" s="28" t="n">
        <f aca="false">IF($R315&gt;0,Params!$B$9*Params!$B$4/(Params!$B$6*$R315),"n/a")</f>
        <v>4.49531632093459</v>
      </c>
      <c r="AH315" s="28" t="n">
        <f aca="false">IF($R315&gt;0,Params!$B$9*Params!$B$5/(Params!$B$6*$R315),"n/a")</f>
        <v>8.99063264186917</v>
      </c>
      <c r="AI315" s="28" t="n">
        <f aca="false">IF($R315&gt;0,Params!$B$15*Params!$B$4/(Params!$B$6*$R315),"n/a")</f>
        <v>1.49843877364486</v>
      </c>
      <c r="AJ315" s="29" t="n">
        <f aca="false">MIN(Params!$B$9,AD315*Params!$B$8/Params!$B$4)</f>
        <v>0.02002083804</v>
      </c>
      <c r="AK315" s="28" t="n">
        <f aca="false">IF($R315&gt;0,Params!$B$9*Params!$B$4/(Params!$B$6*$R315*Params!$B$8),"n/a")</f>
        <v>8.99063264186917</v>
      </c>
      <c r="AL315" s="27" t="str">
        <f aca="false">IFERROR(ciq($D315,"IQ_PE_EXCL"),"")</f>
        <v/>
      </c>
      <c r="AM315" s="27" t="str">
        <f aca="false">IFERROR(ciq($D315,"IQ_PE_EXCL_FWD_CIQ"),"")</f>
        <v/>
      </c>
      <c r="AN315" s="27" t="str">
        <f aca="false">IFERROR(ciq($D315,"IQ_PBV"),"")</f>
        <v/>
      </c>
      <c r="AO315" s="27" t="str">
        <f aca="false">IFERROR(ciq($D315,"IQ_TEV_EBITDA"),"")</f>
        <v/>
      </c>
      <c r="AP315" s="24" t="str">
        <f aca="false">IFERROR(ciq($D315,"IQ_RETURN_EQUITY"),"")</f>
        <v/>
      </c>
      <c r="AQ315" s="24" t="str">
        <f aca="false">IFERROR(ciq($D315,"IQ_RETURN_CAPITAL"),"")</f>
        <v/>
      </c>
      <c r="AR315" s="24" t="str">
        <f aca="false">IFERROR(ciq($D315,"IQ_TOTAL_REV_1YR_ANN_GROWTH"),"")</f>
        <v/>
      </c>
      <c r="AS315" s="24" t="str">
        <f aca="false">IFERROR(ciq($D315,"IQ_EPS_1YR_ANN_GROWTH"),"")</f>
        <v/>
      </c>
      <c r="AT315" s="24" t="str">
        <f aca="false">IFERROR(ciq($D315,"IQ_DIVIDEND_YIELD"),"")</f>
        <v/>
      </c>
      <c r="AU315" s="24" t="str">
        <f aca="false">IFERROR(ciq($D315,"IQ_NET_DEBT"),"")</f>
        <v/>
      </c>
    </row>
    <row r="316" customFormat="false" ht="15" hidden="false" customHeight="false" outlineLevel="0" collapsed="false">
      <c r="A316" s="8" t="s">
        <v>1670</v>
      </c>
      <c r="B316" s="8" t="s">
        <v>1671</v>
      </c>
      <c r="C316" s="8" t="s">
        <v>72</v>
      </c>
      <c r="D316" s="8" t="s">
        <v>1672</v>
      </c>
      <c r="E316" s="8" t="s">
        <v>1673</v>
      </c>
      <c r="F316" s="6" t="s">
        <v>700</v>
      </c>
      <c r="G316" s="8" t="s">
        <v>57</v>
      </c>
      <c r="H316" s="8" t="s">
        <v>66</v>
      </c>
      <c r="I316" s="8"/>
      <c r="J316" s="8"/>
      <c r="K316" s="8"/>
      <c r="L316" s="8" t="s">
        <v>241</v>
      </c>
      <c r="M316" s="23" t="n">
        <v>16070</v>
      </c>
      <c r="N316" s="23" t="n">
        <v>14510.4617808</v>
      </c>
      <c r="O316" s="23" t="n">
        <v>15410.25488376</v>
      </c>
      <c r="P316" s="24" t="n">
        <v>38.6618875725</v>
      </c>
      <c r="Q316" s="24" t="n">
        <v>96.4423400791667</v>
      </c>
      <c r="R316" s="24" t="n">
        <v>38.6618875725</v>
      </c>
      <c r="S316" s="25" t="n">
        <v>0.00266441469310486</v>
      </c>
      <c r="T316" s="26" t="n">
        <v>0.737930525391845</v>
      </c>
      <c r="U316" s="23" t="n">
        <v>0</v>
      </c>
      <c r="V316" s="26" t="n">
        <v>-0.06</v>
      </c>
      <c r="W316" s="26" t="n">
        <v>-0.0659167211864271</v>
      </c>
      <c r="X316" s="26" t="n">
        <v>-0.212306676227067</v>
      </c>
      <c r="Y316" s="26" t="n">
        <v>-0.339093739214864</v>
      </c>
      <c r="Z316" s="26" t="n">
        <v>-0.237202896908184</v>
      </c>
      <c r="AA316" s="26" t="n">
        <v>0.135005044662797</v>
      </c>
      <c r="AB316" s="26" t="n">
        <v>-0.518460214621654</v>
      </c>
      <c r="AC316" s="27" t="n">
        <v>0.119100277961308</v>
      </c>
      <c r="AD316" s="28" t="n">
        <f aca="false">Params!$B$6*Params!$B$7*$R316</f>
        <v>23.1971325435</v>
      </c>
      <c r="AE316" s="29" t="n">
        <f aca="false">MIN(Params!$B$9,AD316/Params!$B$4)</f>
        <v>0.046394265087</v>
      </c>
      <c r="AF316" s="29" t="n">
        <f aca="false">MIN(Params!$B$9,AD316/Params!$B$5)</f>
        <v>0.0231971325435</v>
      </c>
      <c r="AG316" s="28" t="n">
        <f aca="false">IF($R316&gt;0,Params!$B$9*Params!$B$4/(Params!$B$6*$R316),"n/a")</f>
        <v>3.87978987623704</v>
      </c>
      <c r="AH316" s="28" t="n">
        <f aca="false">IF($R316&gt;0,Params!$B$9*Params!$B$5/(Params!$B$6*$R316),"n/a")</f>
        <v>7.75957975247407</v>
      </c>
      <c r="AI316" s="28" t="n">
        <f aca="false">IF($R316&gt;0,Params!$B$15*Params!$B$4/(Params!$B$6*$R316),"n/a")</f>
        <v>1.29326329207901</v>
      </c>
      <c r="AJ316" s="29" t="n">
        <f aca="false">MIN(Params!$B$9,AD316*Params!$B$8/Params!$B$4)</f>
        <v>0.0231971325435</v>
      </c>
      <c r="AK316" s="28" t="n">
        <f aca="false">IF($R316&gt;0,Params!$B$9*Params!$B$4/(Params!$B$6*$R316*Params!$B$8),"n/a")</f>
        <v>7.75957975247407</v>
      </c>
      <c r="AL316" s="27" t="str">
        <f aca="false">IFERROR(ciq($D316,"IQ_PE_EXCL"),"")</f>
        <v/>
      </c>
      <c r="AM316" s="27" t="str">
        <f aca="false">IFERROR(ciq($D316,"IQ_PE_EXCL_FWD_CIQ"),"")</f>
        <v/>
      </c>
      <c r="AN316" s="27" t="str">
        <f aca="false">IFERROR(ciq($D316,"IQ_PBV"),"")</f>
        <v/>
      </c>
      <c r="AO316" s="27" t="str">
        <f aca="false">IFERROR(ciq($D316,"IQ_TEV_EBITDA"),"")</f>
        <v/>
      </c>
      <c r="AP316" s="24" t="str">
        <f aca="false">IFERROR(ciq($D316,"IQ_RETURN_EQUITY"),"")</f>
        <v/>
      </c>
      <c r="AQ316" s="24" t="str">
        <f aca="false">IFERROR(ciq($D316,"IQ_RETURN_CAPITAL"),"")</f>
        <v/>
      </c>
      <c r="AR316" s="24" t="str">
        <f aca="false">IFERROR(ciq($D316,"IQ_TOTAL_REV_1YR_ANN_GROWTH"),"")</f>
        <v/>
      </c>
      <c r="AS316" s="24" t="str">
        <f aca="false">IFERROR(ciq($D316,"IQ_EPS_1YR_ANN_GROWTH"),"")</f>
        <v/>
      </c>
      <c r="AT316" s="24" t="str">
        <f aca="false">IFERROR(ciq($D316,"IQ_DIVIDEND_YIELD"),"")</f>
        <v/>
      </c>
      <c r="AU316" s="24" t="str">
        <f aca="false">IFERROR(ciq($D316,"IQ_NET_DEBT"),"")</f>
        <v/>
      </c>
    </row>
    <row r="317" customFormat="false" ht="15" hidden="false" customHeight="false" outlineLevel="0" collapsed="false">
      <c r="A317" s="8" t="s">
        <v>1674</v>
      </c>
      <c r="B317" s="6" t="s">
        <v>1675</v>
      </c>
      <c r="C317" s="8" t="s">
        <v>73</v>
      </c>
      <c r="D317" s="8" t="s">
        <v>1676</v>
      </c>
      <c r="E317" s="8" t="s">
        <v>1677</v>
      </c>
      <c r="F317" s="8"/>
      <c r="G317" s="8" t="s">
        <v>57</v>
      </c>
      <c r="H317" s="8" t="s">
        <v>66</v>
      </c>
      <c r="I317" s="8"/>
      <c r="J317" s="8"/>
      <c r="K317" s="8"/>
      <c r="L317" s="8" t="s">
        <v>241</v>
      </c>
      <c r="M317" s="23" t="n">
        <v>22400</v>
      </c>
      <c r="N317" s="23" t="n">
        <v>14486.340064</v>
      </c>
      <c r="O317" s="23" t="n">
        <v>16476.595043775</v>
      </c>
      <c r="P317" s="24" t="n">
        <v>31.6824305375</v>
      </c>
      <c r="Q317" s="24" t="n">
        <v>46.0804092416667</v>
      </c>
      <c r="R317" s="24" t="n">
        <v>31.6824305375</v>
      </c>
      <c r="S317" s="25" t="n">
        <v>0.00218705555699566</v>
      </c>
      <c r="T317" s="26" t="n">
        <v>0.895003852107987</v>
      </c>
      <c r="U317" s="23" t="n">
        <v>1</v>
      </c>
      <c r="V317" s="26" t="n">
        <v>-0.06</v>
      </c>
      <c r="W317" s="26" t="n">
        <v>-0.0782427842262025</v>
      </c>
      <c r="X317" s="26" t="n">
        <v>-0.131908907202797</v>
      </c>
      <c r="Y317" s="26" t="n">
        <v>-0.65612047556199</v>
      </c>
      <c r="Z317" s="26" t="n">
        <v>-0.611324947910151</v>
      </c>
      <c r="AA317" s="26"/>
      <c r="AB317" s="26" t="n">
        <v>-0.691237668669953</v>
      </c>
      <c r="AC317" s="27" t="n">
        <v>0.26608587321842</v>
      </c>
      <c r="AD317" s="28" t="n">
        <f aca="false">Params!$B$6*Params!$B$7*$R317</f>
        <v>19.0094583225</v>
      </c>
      <c r="AE317" s="29" t="n">
        <f aca="false">MIN(Params!$B$9,AD317/Params!$B$4)</f>
        <v>0.038018916645</v>
      </c>
      <c r="AF317" s="29" t="n">
        <f aca="false">MIN(Params!$B$9,AD317/Params!$B$5)</f>
        <v>0.0190094583225</v>
      </c>
      <c r="AG317" s="28" t="n">
        <f aca="false">IF($R317&gt;0,Params!$B$9*Params!$B$4/(Params!$B$6*$R317),"n/a")</f>
        <v>4.73448524798174</v>
      </c>
      <c r="AH317" s="28" t="n">
        <f aca="false">IF($R317&gt;0,Params!$B$9*Params!$B$5/(Params!$B$6*$R317),"n/a")</f>
        <v>9.46897049596348</v>
      </c>
      <c r="AI317" s="28" t="n">
        <f aca="false">IF($R317&gt;0,Params!$B$15*Params!$B$4/(Params!$B$6*$R317),"n/a")</f>
        <v>1.57816174932725</v>
      </c>
      <c r="AJ317" s="29" t="n">
        <f aca="false">MIN(Params!$B$9,AD317*Params!$B$8/Params!$B$4)</f>
        <v>0.0190094583225</v>
      </c>
      <c r="AK317" s="28" t="n">
        <f aca="false">IF($R317&gt;0,Params!$B$9*Params!$B$4/(Params!$B$6*$R317*Params!$B$8),"n/a")</f>
        <v>9.46897049596348</v>
      </c>
      <c r="AL317" s="27" t="str">
        <f aca="false">IFERROR(ciq($D317,"IQ_PE_EXCL"),"")</f>
        <v/>
      </c>
      <c r="AM317" s="27" t="str">
        <f aca="false">IFERROR(ciq($D317,"IQ_PE_EXCL_FWD_CIQ"),"")</f>
        <v/>
      </c>
      <c r="AN317" s="27" t="str">
        <f aca="false">IFERROR(ciq($D317,"IQ_PBV"),"")</f>
        <v/>
      </c>
      <c r="AO317" s="27" t="str">
        <f aca="false">IFERROR(ciq($D317,"IQ_TEV_EBITDA"),"")</f>
        <v/>
      </c>
      <c r="AP317" s="24" t="str">
        <f aca="false">IFERROR(ciq($D317,"IQ_RETURN_EQUITY"),"")</f>
        <v/>
      </c>
      <c r="AQ317" s="24" t="str">
        <f aca="false">IFERROR(ciq($D317,"IQ_RETURN_CAPITAL"),"")</f>
        <v/>
      </c>
      <c r="AR317" s="24" t="str">
        <f aca="false">IFERROR(ciq($D317,"IQ_TOTAL_REV_1YR_ANN_GROWTH"),"")</f>
        <v/>
      </c>
      <c r="AS317" s="24" t="str">
        <f aca="false">IFERROR(ciq($D317,"IQ_EPS_1YR_ANN_GROWTH"),"")</f>
        <v/>
      </c>
      <c r="AT317" s="24" t="str">
        <f aca="false">IFERROR(ciq($D317,"IQ_DIVIDEND_YIELD"),"")</f>
        <v/>
      </c>
      <c r="AU317" s="24" t="str">
        <f aca="false">IFERROR(ciq($D317,"IQ_NET_DEBT"),"")</f>
        <v/>
      </c>
    </row>
    <row r="318" customFormat="false" ht="15" hidden="false" customHeight="false" outlineLevel="0" collapsed="false">
      <c r="A318" s="8" t="s">
        <v>327</v>
      </c>
      <c r="B318" s="6" t="s">
        <v>328</v>
      </c>
      <c r="C318" s="8" t="s">
        <v>72</v>
      </c>
      <c r="D318" s="8" t="s">
        <v>1678</v>
      </c>
      <c r="E318" s="8" t="s">
        <v>1679</v>
      </c>
      <c r="F318" s="8"/>
      <c r="G318" s="8" t="s">
        <v>57</v>
      </c>
      <c r="H318" s="8" t="s">
        <v>66</v>
      </c>
      <c r="I318" s="8" t="s">
        <v>508</v>
      </c>
      <c r="J318" s="6" t="s">
        <v>109</v>
      </c>
      <c r="K318" s="6" t="s">
        <v>329</v>
      </c>
      <c r="L318" s="8" t="s">
        <v>330</v>
      </c>
      <c r="M318" s="23" t="n">
        <v>10650</v>
      </c>
      <c r="N318" s="23" t="n">
        <v>13554.377475</v>
      </c>
      <c r="O318" s="23" t="n">
        <v>15150.9578455</v>
      </c>
      <c r="P318" s="24" t="n">
        <v>21.46631276</v>
      </c>
      <c r="Q318" s="24" t="n">
        <v>66.0551298083333</v>
      </c>
      <c r="R318" s="24" t="n">
        <v>21.46631276</v>
      </c>
      <c r="S318" s="25" t="n">
        <v>0.00158371808661762</v>
      </c>
      <c r="T318" s="26" t="n">
        <v>0.775598600622858</v>
      </c>
      <c r="U318" s="23" t="n">
        <v>0</v>
      </c>
      <c r="V318" s="26" t="n">
        <v>-0.06</v>
      </c>
      <c r="W318" s="26" t="n">
        <v>-0.0608552886063645</v>
      </c>
      <c r="X318" s="26" t="n">
        <v>-0.235006221739321</v>
      </c>
      <c r="Y318" s="26" t="n">
        <v>-0.513511251604599</v>
      </c>
      <c r="Z318" s="26" t="n">
        <v>-0.031291949099854</v>
      </c>
      <c r="AA318" s="26" t="n">
        <v>0.342295501087253</v>
      </c>
      <c r="AB318" s="26" t="n">
        <v>-0.552571878307444</v>
      </c>
      <c r="AC318" s="27" t="n">
        <v>0.235156639082655</v>
      </c>
      <c r="AD318" s="28" t="n">
        <f aca="false">Params!$B$6*Params!$B$7*$R318</f>
        <v>12.879787656</v>
      </c>
      <c r="AE318" s="29" t="n">
        <f aca="false">MIN(Params!$B$9,AD318/Params!$B$4)</f>
        <v>0.025759575312</v>
      </c>
      <c r="AF318" s="29" t="n">
        <f aca="false">MIN(Params!$B$9,AD318/Params!$B$5)</f>
        <v>0.012879787656</v>
      </c>
      <c r="AG318" s="28" t="n">
        <f aca="false">IF($R318&gt;0,Params!$B$9*Params!$B$4/(Params!$B$6*$R318),"n/a")</f>
        <v>6.98769284119943</v>
      </c>
      <c r="AH318" s="28" t="n">
        <f aca="false">IF($R318&gt;0,Params!$B$9*Params!$B$5/(Params!$B$6*$R318),"n/a")</f>
        <v>13.9753856823989</v>
      </c>
      <c r="AI318" s="28" t="n">
        <f aca="false">IF($R318&gt;0,Params!$B$15*Params!$B$4/(Params!$B$6*$R318),"n/a")</f>
        <v>2.32923094706648</v>
      </c>
      <c r="AJ318" s="29" t="n">
        <f aca="false">MIN(Params!$B$9,AD318*Params!$B$8/Params!$B$4)</f>
        <v>0.012879787656</v>
      </c>
      <c r="AK318" s="28" t="n">
        <f aca="false">IF($R318&gt;0,Params!$B$9*Params!$B$4/(Params!$B$6*$R318*Params!$B$8),"n/a")</f>
        <v>13.9753856823989</v>
      </c>
      <c r="AL318" s="27" t="str">
        <f aca="false">IFERROR(ciq($D318,"IQ_PE_EXCL"),"")</f>
        <v/>
      </c>
      <c r="AM318" s="27" t="str">
        <f aca="false">IFERROR(ciq($D318,"IQ_PE_EXCL_FWD_CIQ"),"")</f>
        <v/>
      </c>
      <c r="AN318" s="27" t="str">
        <f aca="false">IFERROR(ciq($D318,"IQ_PBV"),"")</f>
        <v/>
      </c>
      <c r="AO318" s="27" t="str">
        <f aca="false">IFERROR(ciq($D318,"IQ_TEV_EBITDA"),"")</f>
        <v/>
      </c>
      <c r="AP318" s="24" t="str">
        <f aca="false">IFERROR(ciq($D318,"IQ_RETURN_EQUITY"),"")</f>
        <v/>
      </c>
      <c r="AQ318" s="24" t="str">
        <f aca="false">IFERROR(ciq($D318,"IQ_RETURN_CAPITAL"),"")</f>
        <v/>
      </c>
      <c r="AR318" s="24" t="str">
        <f aca="false">IFERROR(ciq($D318,"IQ_TOTAL_REV_1YR_ANN_GROWTH"),"")</f>
        <v/>
      </c>
      <c r="AS318" s="24" t="str">
        <f aca="false">IFERROR(ciq($D318,"IQ_EPS_1YR_ANN_GROWTH"),"")</f>
        <v/>
      </c>
      <c r="AT318" s="24" t="str">
        <f aca="false">IFERROR(ciq($D318,"IQ_DIVIDEND_YIELD"),"")</f>
        <v/>
      </c>
      <c r="AU318" s="24" t="str">
        <f aca="false">IFERROR(ciq($D318,"IQ_NET_DEBT"),"")</f>
        <v/>
      </c>
    </row>
    <row r="319" customFormat="false" ht="15" hidden="false" customHeight="false" outlineLevel="0" collapsed="false">
      <c r="A319" s="8" t="s">
        <v>1680</v>
      </c>
      <c r="B319" s="6" t="s">
        <v>1681</v>
      </c>
      <c r="C319" s="8" t="s">
        <v>72</v>
      </c>
      <c r="D319" s="8" t="s">
        <v>1682</v>
      </c>
      <c r="E319" s="8" t="s">
        <v>1683</v>
      </c>
      <c r="F319" s="6" t="s">
        <v>733</v>
      </c>
      <c r="G319" s="8" t="s">
        <v>57</v>
      </c>
      <c r="H319" s="8" t="s">
        <v>66</v>
      </c>
      <c r="I319" s="8"/>
      <c r="J319" s="8"/>
      <c r="K319" s="8"/>
      <c r="L319" s="8"/>
      <c r="M319" s="23" t="n">
        <v>146600</v>
      </c>
      <c r="N319" s="23" t="n">
        <v>13493.905484</v>
      </c>
      <c r="O319" s="23" t="n">
        <v>12086.9863481</v>
      </c>
      <c r="P319" s="24" t="n">
        <v>66.95762785</v>
      </c>
      <c r="Q319" s="24" t="n">
        <v>36.0079869416667</v>
      </c>
      <c r="R319" s="24" t="n">
        <v>36.0079869416667</v>
      </c>
      <c r="S319" s="25" t="n">
        <v>0.00496206438746685</v>
      </c>
      <c r="T319" s="26" t="n">
        <v>0.582162894205591</v>
      </c>
      <c r="U319" s="23" t="n">
        <v>0</v>
      </c>
      <c r="V319" s="26" t="n">
        <v>-0.06</v>
      </c>
      <c r="W319" s="26" t="n">
        <v>0.439765857570925</v>
      </c>
      <c r="X319" s="26" t="n">
        <v>0.404959189657496</v>
      </c>
      <c r="Y319" s="26" t="n">
        <v>0.26678161382394</v>
      </c>
      <c r="Z319" s="26" t="n">
        <v>0.278945500090036</v>
      </c>
      <c r="AA319" s="26" t="n">
        <v>0.253166750178619</v>
      </c>
      <c r="AB319" s="26" t="n">
        <v>-0.0135</v>
      </c>
      <c r="AC319" s="27" t="n">
        <v>2.28593245786195</v>
      </c>
      <c r="AD319" s="28" t="n">
        <f aca="false">Params!$B$6*Params!$B$7*$R319</f>
        <v>21.604792165</v>
      </c>
      <c r="AE319" s="29" t="n">
        <f aca="false">MIN(Params!$B$9,AD319/Params!$B$4)</f>
        <v>0.04320958433</v>
      </c>
      <c r="AF319" s="29" t="n">
        <f aca="false">MIN(Params!$B$9,AD319/Params!$B$5)</f>
        <v>0.021604792165</v>
      </c>
      <c r="AG319" s="28" t="n">
        <f aca="false">IF($R319&gt;0,Params!$B$9*Params!$B$4/(Params!$B$6*$R319),"n/a")</f>
        <v>4.16574245716656</v>
      </c>
      <c r="AH319" s="28" t="n">
        <f aca="false">IF($R319&gt;0,Params!$B$9*Params!$B$5/(Params!$B$6*$R319),"n/a")</f>
        <v>8.33148491433312</v>
      </c>
      <c r="AI319" s="28" t="n">
        <f aca="false">IF($R319&gt;0,Params!$B$15*Params!$B$4/(Params!$B$6*$R319),"n/a")</f>
        <v>1.38858081905552</v>
      </c>
      <c r="AJ319" s="29" t="n">
        <f aca="false">MIN(Params!$B$9,AD319*Params!$B$8/Params!$B$4)</f>
        <v>0.021604792165</v>
      </c>
      <c r="AK319" s="28" t="n">
        <f aca="false">IF($R319&gt;0,Params!$B$9*Params!$B$4/(Params!$B$6*$R319*Params!$B$8),"n/a")</f>
        <v>8.33148491433312</v>
      </c>
      <c r="AL319" s="27" t="str">
        <f aca="false">IFERROR(ciq($D319,"IQ_PE_EXCL"),"")</f>
        <v/>
      </c>
      <c r="AM319" s="27" t="str">
        <f aca="false">IFERROR(ciq($D319,"IQ_PE_EXCL_FWD_CIQ"),"")</f>
        <v/>
      </c>
      <c r="AN319" s="27" t="str">
        <f aca="false">IFERROR(ciq($D319,"IQ_PBV"),"")</f>
        <v/>
      </c>
      <c r="AO319" s="27" t="str">
        <f aca="false">IFERROR(ciq($D319,"IQ_TEV_EBITDA"),"")</f>
        <v/>
      </c>
      <c r="AP319" s="24" t="str">
        <f aca="false">IFERROR(ciq($D319,"IQ_RETURN_EQUITY"),"")</f>
        <v/>
      </c>
      <c r="AQ319" s="24" t="str">
        <f aca="false">IFERROR(ciq($D319,"IQ_RETURN_CAPITAL"),"")</f>
        <v/>
      </c>
      <c r="AR319" s="24" t="str">
        <f aca="false">IFERROR(ciq($D319,"IQ_TOTAL_REV_1YR_ANN_GROWTH"),"")</f>
        <v/>
      </c>
      <c r="AS319" s="24" t="str">
        <f aca="false">IFERROR(ciq($D319,"IQ_EPS_1YR_ANN_GROWTH"),"")</f>
        <v/>
      </c>
      <c r="AT319" s="24" t="str">
        <f aca="false">IFERROR(ciq($D319,"IQ_DIVIDEND_YIELD"),"")</f>
        <v/>
      </c>
      <c r="AU319" s="24" t="str">
        <f aca="false">IFERROR(ciq($D319,"IQ_NET_DEBT"),"")</f>
        <v/>
      </c>
    </row>
    <row r="320" customFormat="false" ht="15" hidden="false" customHeight="false" outlineLevel="0" collapsed="false">
      <c r="A320" s="8" t="s">
        <v>1684</v>
      </c>
      <c r="B320" s="8" t="s">
        <v>1685</v>
      </c>
      <c r="C320" s="8" t="s">
        <v>72</v>
      </c>
      <c r="D320" s="8" t="s">
        <v>1686</v>
      </c>
      <c r="E320" s="8" t="s">
        <v>1687</v>
      </c>
      <c r="F320" s="6" t="s">
        <v>536</v>
      </c>
      <c r="G320" s="8" t="s">
        <v>57</v>
      </c>
      <c r="H320" s="8" t="s">
        <v>66</v>
      </c>
      <c r="I320" s="8"/>
      <c r="J320" s="8"/>
      <c r="K320" s="8"/>
      <c r="L320" s="8" t="s">
        <v>115</v>
      </c>
      <c r="M320" s="23" t="n">
        <v>43650</v>
      </c>
      <c r="N320" s="23" t="n">
        <v>13367.7596835</v>
      </c>
      <c r="O320" s="23" t="n">
        <v>14096.6318037</v>
      </c>
      <c r="P320" s="24" t="n">
        <v>38.2830014125</v>
      </c>
      <c r="Q320" s="24" t="n">
        <v>64.865512975</v>
      </c>
      <c r="R320" s="24" t="n">
        <v>38.2830014125</v>
      </c>
      <c r="S320" s="25" t="n">
        <v>0.00286383076288791</v>
      </c>
      <c r="T320" s="26" t="n">
        <v>1.11933977924035</v>
      </c>
      <c r="U320" s="23" t="n">
        <v>2</v>
      </c>
      <c r="V320" s="26" t="n">
        <v>-0.04</v>
      </c>
      <c r="W320" s="26" t="n">
        <v>-0.0830555995224899</v>
      </c>
      <c r="X320" s="26" t="n">
        <v>-0.238264413725438</v>
      </c>
      <c r="Y320" s="26" t="n">
        <v>0.0315080755970325</v>
      </c>
      <c r="Z320" s="26" t="n">
        <v>0.262138504650936</v>
      </c>
      <c r="AA320" s="26" t="n">
        <v>0.086246179044049</v>
      </c>
      <c r="AB320" s="26" t="n">
        <v>-0.532729639510254</v>
      </c>
      <c r="AC320" s="27" t="n">
        <v>0.253141695378663</v>
      </c>
      <c r="AD320" s="28" t="n">
        <f aca="false">Params!$B$6*Params!$B$7*$R320</f>
        <v>22.9698008475</v>
      </c>
      <c r="AE320" s="29" t="n">
        <f aca="false">MIN(Params!$B$9,AD320/Params!$B$4)</f>
        <v>0.045939601695</v>
      </c>
      <c r="AF320" s="29" t="n">
        <f aca="false">MIN(Params!$B$9,AD320/Params!$B$5)</f>
        <v>0.0229698008475</v>
      </c>
      <c r="AG320" s="28" t="n">
        <f aca="false">IF($R320&gt;0,Params!$B$9*Params!$B$4/(Params!$B$6*$R320),"n/a")</f>
        <v>3.91818808519602</v>
      </c>
      <c r="AH320" s="28" t="n">
        <f aca="false">IF($R320&gt;0,Params!$B$9*Params!$B$5/(Params!$B$6*$R320),"n/a")</f>
        <v>7.83637617039205</v>
      </c>
      <c r="AI320" s="28" t="n">
        <f aca="false">IF($R320&gt;0,Params!$B$15*Params!$B$4/(Params!$B$6*$R320),"n/a")</f>
        <v>1.30606269506534</v>
      </c>
      <c r="AJ320" s="29" t="n">
        <f aca="false">MIN(Params!$B$9,AD320*Params!$B$8/Params!$B$4)</f>
        <v>0.0229698008475</v>
      </c>
      <c r="AK320" s="28" t="n">
        <f aca="false">IF($R320&gt;0,Params!$B$9*Params!$B$4/(Params!$B$6*$R320*Params!$B$8),"n/a")</f>
        <v>7.83637617039205</v>
      </c>
      <c r="AL320" s="27" t="str">
        <f aca="false">IFERROR(ciq($D320,"IQ_PE_EXCL"),"")</f>
        <v/>
      </c>
      <c r="AM320" s="27" t="str">
        <f aca="false">IFERROR(ciq($D320,"IQ_PE_EXCL_FWD_CIQ"),"")</f>
        <v/>
      </c>
      <c r="AN320" s="27" t="str">
        <f aca="false">IFERROR(ciq($D320,"IQ_PBV"),"")</f>
        <v/>
      </c>
      <c r="AO320" s="27" t="str">
        <f aca="false">IFERROR(ciq($D320,"IQ_TEV_EBITDA"),"")</f>
        <v/>
      </c>
      <c r="AP320" s="24" t="str">
        <f aca="false">IFERROR(ciq($D320,"IQ_RETURN_EQUITY"),"")</f>
        <v/>
      </c>
      <c r="AQ320" s="24" t="str">
        <f aca="false">IFERROR(ciq($D320,"IQ_RETURN_CAPITAL"),"")</f>
        <v/>
      </c>
      <c r="AR320" s="24" t="str">
        <f aca="false">IFERROR(ciq($D320,"IQ_TOTAL_REV_1YR_ANN_GROWTH"),"")</f>
        <v/>
      </c>
      <c r="AS320" s="24" t="str">
        <f aca="false">IFERROR(ciq($D320,"IQ_EPS_1YR_ANN_GROWTH"),"")</f>
        <v/>
      </c>
      <c r="AT320" s="24" t="str">
        <f aca="false">IFERROR(ciq($D320,"IQ_DIVIDEND_YIELD"),"")</f>
        <v/>
      </c>
      <c r="AU320" s="24" t="str">
        <f aca="false">IFERROR(ciq($D320,"IQ_NET_DEBT"),"")</f>
        <v/>
      </c>
    </row>
    <row r="321" customFormat="false" ht="15" hidden="false" customHeight="false" outlineLevel="0" collapsed="false">
      <c r="A321" s="8" t="s">
        <v>1688</v>
      </c>
      <c r="B321" s="6" t="s">
        <v>1689</v>
      </c>
      <c r="C321" s="8" t="s">
        <v>72</v>
      </c>
      <c r="D321" s="8" t="s">
        <v>1690</v>
      </c>
      <c r="E321" s="8" t="s">
        <v>1691</v>
      </c>
      <c r="F321" s="6" t="s">
        <v>852</v>
      </c>
      <c r="G321" s="8" t="s">
        <v>57</v>
      </c>
      <c r="H321" s="8" t="s">
        <v>66</v>
      </c>
      <c r="I321" s="8"/>
      <c r="J321" s="8"/>
      <c r="K321" s="8"/>
      <c r="L321" s="8"/>
      <c r="M321" s="23" t="n">
        <v>114800</v>
      </c>
      <c r="N321" s="23" t="n">
        <v>13301.3881</v>
      </c>
      <c r="O321" s="23" t="n">
        <v>14411.96131375</v>
      </c>
      <c r="P321" s="24" t="n">
        <v>31.556202475</v>
      </c>
      <c r="Q321" s="24" t="n">
        <v>46.4737575083333</v>
      </c>
      <c r="R321" s="24" t="n">
        <v>31.556202475</v>
      </c>
      <c r="S321" s="25" t="n">
        <v>0.00237239919907307</v>
      </c>
      <c r="T321" s="26" t="n">
        <v>0.578793432283261</v>
      </c>
      <c r="U321" s="23" t="n">
        <v>0</v>
      </c>
      <c r="V321" s="26" t="n">
        <v>-0.06</v>
      </c>
      <c r="W321" s="26" t="n">
        <v>-0.0779821607903485</v>
      </c>
      <c r="X321" s="26" t="n">
        <v>-0.029574969202984</v>
      </c>
      <c r="Y321" s="26" t="n">
        <v>-0.316245211446564</v>
      </c>
      <c r="Z321" s="26" t="n">
        <v>-0.333733198082587</v>
      </c>
      <c r="AA321" s="26" t="n">
        <v>-0.152952808710039</v>
      </c>
      <c r="AB321" s="26" t="n">
        <v>-0.40825430964493</v>
      </c>
      <c r="AC321" s="27" t="n">
        <v>0.671385179273486</v>
      </c>
      <c r="AD321" s="28" t="n">
        <f aca="false">Params!$B$6*Params!$B$7*$R321</f>
        <v>18.933721485</v>
      </c>
      <c r="AE321" s="29" t="n">
        <f aca="false">MIN(Params!$B$9,AD321/Params!$B$4)</f>
        <v>0.03786744297</v>
      </c>
      <c r="AF321" s="29" t="n">
        <f aca="false">MIN(Params!$B$9,AD321/Params!$B$5)</f>
        <v>0.018933721485</v>
      </c>
      <c r="AG321" s="28" t="n">
        <f aca="false">IF($R321&gt;0,Params!$B$9*Params!$B$4/(Params!$B$6*$R321),"n/a")</f>
        <v>4.7534236769724</v>
      </c>
      <c r="AH321" s="28" t="n">
        <f aca="false">IF($R321&gt;0,Params!$B$9*Params!$B$5/(Params!$B$6*$R321),"n/a")</f>
        <v>9.5068473539448</v>
      </c>
      <c r="AI321" s="28" t="n">
        <f aca="false">IF($R321&gt;0,Params!$B$15*Params!$B$4/(Params!$B$6*$R321),"n/a")</f>
        <v>1.5844745589908</v>
      </c>
      <c r="AJ321" s="29" t="n">
        <f aca="false">MIN(Params!$B$9,AD321*Params!$B$8/Params!$B$4)</f>
        <v>0.018933721485</v>
      </c>
      <c r="AK321" s="28" t="n">
        <f aca="false">IF($R321&gt;0,Params!$B$9*Params!$B$4/(Params!$B$6*$R321*Params!$B$8),"n/a")</f>
        <v>9.5068473539448</v>
      </c>
      <c r="AL321" s="27" t="str">
        <f aca="false">IFERROR(ciq($D321,"IQ_PE_EXCL"),"")</f>
        <v/>
      </c>
      <c r="AM321" s="27" t="str">
        <f aca="false">IFERROR(ciq($D321,"IQ_PE_EXCL_FWD_CIQ"),"")</f>
        <v/>
      </c>
      <c r="AN321" s="27" t="str">
        <f aca="false">IFERROR(ciq($D321,"IQ_PBV"),"")</f>
        <v/>
      </c>
      <c r="AO321" s="27" t="str">
        <f aca="false">IFERROR(ciq($D321,"IQ_TEV_EBITDA"),"")</f>
        <v/>
      </c>
      <c r="AP321" s="24" t="str">
        <f aca="false">IFERROR(ciq($D321,"IQ_RETURN_EQUITY"),"")</f>
        <v/>
      </c>
      <c r="AQ321" s="24" t="str">
        <f aca="false">IFERROR(ciq($D321,"IQ_RETURN_CAPITAL"),"")</f>
        <v/>
      </c>
      <c r="AR321" s="24" t="str">
        <f aca="false">IFERROR(ciq($D321,"IQ_TOTAL_REV_1YR_ANN_GROWTH"),"")</f>
        <v/>
      </c>
      <c r="AS321" s="24" t="str">
        <f aca="false">IFERROR(ciq($D321,"IQ_EPS_1YR_ANN_GROWTH"),"")</f>
        <v/>
      </c>
      <c r="AT321" s="24" t="str">
        <f aca="false">IFERROR(ciq($D321,"IQ_DIVIDEND_YIELD"),"")</f>
        <v/>
      </c>
      <c r="AU321" s="24" t="str">
        <f aca="false">IFERROR(ciq($D321,"IQ_NET_DEBT"),"")</f>
        <v/>
      </c>
    </row>
    <row r="322" customFormat="false" ht="15" hidden="false" customHeight="false" outlineLevel="0" collapsed="false">
      <c r="A322" s="8" t="s">
        <v>382</v>
      </c>
      <c r="B322" s="6" t="s">
        <v>383</v>
      </c>
      <c r="C322" s="8" t="s">
        <v>72</v>
      </c>
      <c r="D322" s="8" t="s">
        <v>1692</v>
      </c>
      <c r="E322" s="8" t="s">
        <v>1693</v>
      </c>
      <c r="F322" s="8"/>
      <c r="G322" s="8" t="s">
        <v>57</v>
      </c>
      <c r="H322" s="8" t="s">
        <v>66</v>
      </c>
      <c r="I322" s="8" t="s">
        <v>508</v>
      </c>
      <c r="J322" s="8"/>
      <c r="K322" s="8"/>
      <c r="L322" s="6" t="s">
        <v>109</v>
      </c>
      <c r="M322" s="23" t="n">
        <v>441500</v>
      </c>
      <c r="N322" s="23" t="n">
        <v>13275.9933</v>
      </c>
      <c r="O322" s="23" t="n">
        <v>12457.332105</v>
      </c>
      <c r="P322" s="24" t="n">
        <v>47.015985097</v>
      </c>
      <c r="Q322" s="24" t="n">
        <v>53.6813241666667</v>
      </c>
      <c r="R322" s="24" t="n">
        <v>47.015985097</v>
      </c>
      <c r="S322" s="25" t="n">
        <v>0.00354142880570752</v>
      </c>
      <c r="T322" s="26" t="n">
        <v>0.367663761092032</v>
      </c>
      <c r="U322" s="23" t="n">
        <v>0</v>
      </c>
      <c r="V322" s="26" t="n">
        <v>-0.06</v>
      </c>
      <c r="W322" s="26" t="n">
        <v>0.103811542392474</v>
      </c>
      <c r="X322" s="26" t="n">
        <v>0.0834234942156542</v>
      </c>
      <c r="Y322" s="26" t="n">
        <v>0.11744151471788</v>
      </c>
      <c r="Z322" s="26" t="n">
        <v>0.168850166407221</v>
      </c>
      <c r="AA322" s="26" t="n">
        <v>0.317012416454782</v>
      </c>
      <c r="AB322" s="26" t="n">
        <v>-0.0235164534549056</v>
      </c>
      <c r="AC322" s="27" t="n">
        <v>0.667377128010188</v>
      </c>
      <c r="AD322" s="28" t="n">
        <f aca="false">Params!$B$6*Params!$B$7*$R322</f>
        <v>28.2095910582</v>
      </c>
      <c r="AE322" s="29" t="n">
        <f aca="false">MIN(Params!$B$9,AD322/Params!$B$4)</f>
        <v>0.0564191821164</v>
      </c>
      <c r="AF322" s="29" t="n">
        <f aca="false">MIN(Params!$B$9,AD322/Params!$B$5)</f>
        <v>0.0282095910582</v>
      </c>
      <c r="AG322" s="28" t="n">
        <f aca="false">IF($R322&gt;0,Params!$B$9*Params!$B$4/(Params!$B$6*$R322),"n/a")</f>
        <v>3.19040427825836</v>
      </c>
      <c r="AH322" s="28" t="n">
        <f aca="false">IF($R322&gt;0,Params!$B$9*Params!$B$5/(Params!$B$6*$R322),"n/a")</f>
        <v>6.38080855651672</v>
      </c>
      <c r="AI322" s="28" t="n">
        <f aca="false">IF($R322&gt;0,Params!$B$15*Params!$B$4/(Params!$B$6*$R322),"n/a")</f>
        <v>1.06346809275279</v>
      </c>
      <c r="AJ322" s="29" t="n">
        <f aca="false">MIN(Params!$B$9,AD322*Params!$B$8/Params!$B$4)</f>
        <v>0.0282095910582</v>
      </c>
      <c r="AK322" s="28" t="n">
        <f aca="false">IF($R322&gt;0,Params!$B$9*Params!$B$4/(Params!$B$6*$R322*Params!$B$8),"n/a")</f>
        <v>6.38080855651672</v>
      </c>
      <c r="AL322" s="27" t="str">
        <f aca="false">IFERROR(ciq($D322,"IQ_PE_EXCL"),"")</f>
        <v/>
      </c>
      <c r="AM322" s="27" t="str">
        <f aca="false">IFERROR(ciq($D322,"IQ_PE_EXCL_FWD_CIQ"),"")</f>
        <v/>
      </c>
      <c r="AN322" s="27" t="str">
        <f aca="false">IFERROR(ciq($D322,"IQ_PBV"),"")</f>
        <v/>
      </c>
      <c r="AO322" s="27" t="str">
        <f aca="false">IFERROR(ciq($D322,"IQ_TEV_EBITDA"),"")</f>
        <v/>
      </c>
      <c r="AP322" s="24" t="str">
        <f aca="false">IFERROR(ciq($D322,"IQ_RETURN_EQUITY"),"")</f>
        <v/>
      </c>
      <c r="AQ322" s="24" t="str">
        <f aca="false">IFERROR(ciq($D322,"IQ_RETURN_CAPITAL"),"")</f>
        <v/>
      </c>
      <c r="AR322" s="24" t="str">
        <f aca="false">IFERROR(ciq($D322,"IQ_TOTAL_REV_1YR_ANN_GROWTH"),"")</f>
        <v/>
      </c>
      <c r="AS322" s="24" t="str">
        <f aca="false">IFERROR(ciq($D322,"IQ_EPS_1YR_ANN_GROWTH"),"")</f>
        <v/>
      </c>
      <c r="AT322" s="24" t="str">
        <f aca="false">IFERROR(ciq($D322,"IQ_DIVIDEND_YIELD"),"")</f>
        <v/>
      </c>
      <c r="AU322" s="24" t="str">
        <f aca="false">IFERROR(ciq($D322,"IQ_NET_DEBT"),"")</f>
        <v/>
      </c>
    </row>
    <row r="323" customFormat="false" ht="15" hidden="false" customHeight="false" outlineLevel="0" collapsed="false">
      <c r="A323" s="8" t="s">
        <v>1694</v>
      </c>
      <c r="B323" s="6" t="s">
        <v>1695</v>
      </c>
      <c r="C323" s="8" t="s">
        <v>72</v>
      </c>
      <c r="D323" s="8" t="s">
        <v>1696</v>
      </c>
      <c r="E323" s="8" t="s">
        <v>1697</v>
      </c>
      <c r="F323" s="6" t="s">
        <v>721</v>
      </c>
      <c r="G323" s="8" t="s">
        <v>57</v>
      </c>
      <c r="H323" s="8" t="s">
        <v>66</v>
      </c>
      <c r="I323" s="8"/>
      <c r="J323" s="8"/>
      <c r="K323" s="8"/>
      <c r="L323" s="8"/>
      <c r="M323" s="23" t="n">
        <v>38550</v>
      </c>
      <c r="N323" s="23" t="n">
        <v>12804.2171205</v>
      </c>
      <c r="O323" s="23" t="n">
        <v>13071.59441705</v>
      </c>
      <c r="P323" s="24" t="n">
        <v>33.8599633375</v>
      </c>
      <c r="Q323" s="24" t="n">
        <v>43.8331585125</v>
      </c>
      <c r="R323" s="24" t="n">
        <v>33.8599633375</v>
      </c>
      <c r="S323" s="25" t="n">
        <v>0.00264443839235505</v>
      </c>
      <c r="T323" s="26" t="n">
        <v>0.872347542136267</v>
      </c>
      <c r="U323" s="23" t="n">
        <v>1</v>
      </c>
      <c r="V323" s="26" t="n">
        <v>-0.06</v>
      </c>
      <c r="W323" s="26" t="n">
        <v>0.0709459148153748</v>
      </c>
      <c r="X323" s="26" t="n">
        <v>-0.103642860314369</v>
      </c>
      <c r="Y323" s="26" t="n">
        <v>-0.229182653043333</v>
      </c>
      <c r="Z323" s="26" t="n">
        <v>-0.109946477009919</v>
      </c>
      <c r="AA323" s="26" t="n">
        <v>-0.1903335769083</v>
      </c>
      <c r="AB323" s="26" t="n">
        <v>-0.411475307437811</v>
      </c>
      <c r="AC323" s="27" t="n">
        <v>0.340720983641987</v>
      </c>
      <c r="AD323" s="28" t="n">
        <f aca="false">Params!$B$6*Params!$B$7*$R323</f>
        <v>20.3159780025</v>
      </c>
      <c r="AE323" s="29" t="n">
        <f aca="false">MIN(Params!$B$9,AD323/Params!$B$4)</f>
        <v>0.040631956005</v>
      </c>
      <c r="AF323" s="29" t="n">
        <f aca="false">MIN(Params!$B$9,AD323/Params!$B$5)</f>
        <v>0.0203159780025</v>
      </c>
      <c r="AG323" s="28" t="n">
        <f aca="false">IF($R323&gt;0,Params!$B$9*Params!$B$4/(Params!$B$6*$R323),"n/a")</f>
        <v>4.43001070334517</v>
      </c>
      <c r="AH323" s="28" t="n">
        <f aca="false">IF($R323&gt;0,Params!$B$9*Params!$B$5/(Params!$B$6*$R323),"n/a")</f>
        <v>8.86002140669034</v>
      </c>
      <c r="AI323" s="28" t="n">
        <f aca="false">IF($R323&gt;0,Params!$B$15*Params!$B$4/(Params!$B$6*$R323),"n/a")</f>
        <v>1.47667023444839</v>
      </c>
      <c r="AJ323" s="29" t="n">
        <f aca="false">MIN(Params!$B$9,AD323*Params!$B$8/Params!$B$4)</f>
        <v>0.0203159780025</v>
      </c>
      <c r="AK323" s="28" t="n">
        <f aca="false">IF($R323&gt;0,Params!$B$9*Params!$B$4/(Params!$B$6*$R323*Params!$B$8),"n/a")</f>
        <v>8.86002140669034</v>
      </c>
      <c r="AL323" s="27" t="str">
        <f aca="false">IFERROR(ciq($D323,"IQ_PE_EXCL"),"")</f>
        <v/>
      </c>
      <c r="AM323" s="27" t="str">
        <f aca="false">IFERROR(ciq($D323,"IQ_PE_EXCL_FWD_CIQ"),"")</f>
        <v/>
      </c>
      <c r="AN323" s="27" t="str">
        <f aca="false">IFERROR(ciq($D323,"IQ_PBV"),"")</f>
        <v/>
      </c>
      <c r="AO323" s="27" t="str">
        <f aca="false">IFERROR(ciq($D323,"IQ_TEV_EBITDA"),"")</f>
        <v/>
      </c>
      <c r="AP323" s="24" t="str">
        <f aca="false">IFERROR(ciq($D323,"IQ_RETURN_EQUITY"),"")</f>
        <v/>
      </c>
      <c r="AQ323" s="24" t="str">
        <f aca="false">IFERROR(ciq($D323,"IQ_RETURN_CAPITAL"),"")</f>
        <v/>
      </c>
      <c r="AR323" s="24" t="str">
        <f aca="false">IFERROR(ciq($D323,"IQ_TOTAL_REV_1YR_ANN_GROWTH"),"")</f>
        <v/>
      </c>
      <c r="AS323" s="24" t="str">
        <f aca="false">IFERROR(ciq($D323,"IQ_EPS_1YR_ANN_GROWTH"),"")</f>
        <v/>
      </c>
      <c r="AT323" s="24" t="str">
        <f aca="false">IFERROR(ciq($D323,"IQ_DIVIDEND_YIELD"),"")</f>
        <v/>
      </c>
      <c r="AU323" s="24" t="str">
        <f aca="false">IFERROR(ciq($D323,"IQ_NET_DEBT"),"")</f>
        <v/>
      </c>
    </row>
    <row r="324" customFormat="false" ht="15" hidden="false" customHeight="false" outlineLevel="0" collapsed="false">
      <c r="A324" s="8" t="s">
        <v>1698</v>
      </c>
      <c r="B324" s="6" t="s">
        <v>1699</v>
      </c>
      <c r="C324" s="8" t="s">
        <v>72</v>
      </c>
      <c r="D324" s="8" t="s">
        <v>1700</v>
      </c>
      <c r="E324" s="8" t="s">
        <v>1701</v>
      </c>
      <c r="F324" s="6" t="s">
        <v>650</v>
      </c>
      <c r="G324" s="8" t="s">
        <v>57</v>
      </c>
      <c r="H324" s="8" t="s">
        <v>66</v>
      </c>
      <c r="I324" s="8"/>
      <c r="J324" s="8"/>
      <c r="K324" s="8"/>
      <c r="L324" s="8"/>
      <c r="M324" s="23" t="n">
        <v>26350</v>
      </c>
      <c r="N324" s="23" t="n">
        <v>12560.024201</v>
      </c>
      <c r="O324" s="23" t="n">
        <v>12651.78149355</v>
      </c>
      <c r="P324" s="24" t="n">
        <v>16.897388825</v>
      </c>
      <c r="Q324" s="24" t="n">
        <v>24.8257930375</v>
      </c>
      <c r="R324" s="24" t="n">
        <v>16.897388825</v>
      </c>
      <c r="S324" s="25" t="n">
        <v>0.00134533091294957</v>
      </c>
      <c r="T324" s="26" t="n">
        <v>0.492216091135673</v>
      </c>
      <c r="U324" s="23" t="n">
        <v>0</v>
      </c>
      <c r="V324" s="26" t="n">
        <v>-0.06</v>
      </c>
      <c r="W324" s="26" t="n">
        <v>-0.00392589852155834</v>
      </c>
      <c r="X324" s="26" t="n">
        <v>-0.108603845986598</v>
      </c>
      <c r="Y324" s="26" t="n">
        <v>-0.350392272003808</v>
      </c>
      <c r="Z324" s="26" t="n">
        <v>-0.0241836811389677</v>
      </c>
      <c r="AA324" s="26" t="n">
        <v>0.0173590697667774</v>
      </c>
      <c r="AB324" s="26" t="n">
        <v>-0.462333789606202</v>
      </c>
      <c r="AC324" s="27" t="n">
        <v>0.45377300083493</v>
      </c>
      <c r="AD324" s="28" t="n">
        <f aca="false">Params!$B$6*Params!$B$7*$R324</f>
        <v>10.138433295</v>
      </c>
      <c r="AE324" s="29" t="n">
        <f aca="false">MIN(Params!$B$9,AD324/Params!$B$4)</f>
        <v>0.02027686659</v>
      </c>
      <c r="AF324" s="29" t="n">
        <f aca="false">MIN(Params!$B$9,AD324/Params!$B$5)</f>
        <v>0.010138433295</v>
      </c>
      <c r="AG324" s="28" t="n">
        <f aca="false">IF($R324&gt;0,Params!$B$9*Params!$B$4/(Params!$B$6*$R324),"n/a")</f>
        <v>8.87711122431368</v>
      </c>
      <c r="AH324" s="28" t="n">
        <f aca="false">IF($R324&gt;0,Params!$B$9*Params!$B$5/(Params!$B$6*$R324),"n/a")</f>
        <v>17.7542224486274</v>
      </c>
      <c r="AI324" s="28" t="n">
        <f aca="false">IF($R324&gt;0,Params!$B$15*Params!$B$4/(Params!$B$6*$R324),"n/a")</f>
        <v>2.95903707477123</v>
      </c>
      <c r="AJ324" s="29" t="n">
        <f aca="false">MIN(Params!$B$9,AD324*Params!$B$8/Params!$B$4)</f>
        <v>0.010138433295</v>
      </c>
      <c r="AK324" s="28" t="n">
        <f aca="false">IF($R324&gt;0,Params!$B$9*Params!$B$4/(Params!$B$6*$R324*Params!$B$8),"n/a")</f>
        <v>17.7542224486274</v>
      </c>
      <c r="AL324" s="27" t="str">
        <f aca="false">IFERROR(ciq($D324,"IQ_PE_EXCL"),"")</f>
        <v/>
      </c>
      <c r="AM324" s="27" t="str">
        <f aca="false">IFERROR(ciq($D324,"IQ_PE_EXCL_FWD_CIQ"),"")</f>
        <v/>
      </c>
      <c r="AN324" s="27" t="str">
        <f aca="false">IFERROR(ciq($D324,"IQ_PBV"),"")</f>
        <v/>
      </c>
      <c r="AO324" s="27" t="str">
        <f aca="false">IFERROR(ciq($D324,"IQ_TEV_EBITDA"),"")</f>
        <v/>
      </c>
      <c r="AP324" s="24" t="str">
        <f aca="false">IFERROR(ciq($D324,"IQ_RETURN_EQUITY"),"")</f>
        <v/>
      </c>
      <c r="AQ324" s="24" t="str">
        <f aca="false">IFERROR(ciq($D324,"IQ_RETURN_CAPITAL"),"")</f>
        <v/>
      </c>
      <c r="AR324" s="24" t="str">
        <f aca="false">IFERROR(ciq($D324,"IQ_TOTAL_REV_1YR_ANN_GROWTH"),"")</f>
        <v/>
      </c>
      <c r="AS324" s="24" t="str">
        <f aca="false">IFERROR(ciq($D324,"IQ_EPS_1YR_ANN_GROWTH"),"")</f>
        <v/>
      </c>
      <c r="AT324" s="24" t="str">
        <f aca="false">IFERROR(ciq($D324,"IQ_DIVIDEND_YIELD"),"")</f>
        <v/>
      </c>
      <c r="AU324" s="24" t="str">
        <f aca="false">IFERROR(ciq($D324,"IQ_NET_DEBT"),"")</f>
        <v/>
      </c>
    </row>
    <row r="325" customFormat="false" ht="15" hidden="false" customHeight="false" outlineLevel="0" collapsed="false">
      <c r="A325" s="8" t="s">
        <v>1702</v>
      </c>
      <c r="B325" s="6" t="s">
        <v>1703</v>
      </c>
      <c r="C325" s="8" t="s">
        <v>72</v>
      </c>
      <c r="D325" s="8" t="s">
        <v>1704</v>
      </c>
      <c r="E325" s="8" t="s">
        <v>1705</v>
      </c>
      <c r="F325" s="6" t="s">
        <v>900</v>
      </c>
      <c r="G325" s="8" t="s">
        <v>57</v>
      </c>
      <c r="H325" s="8" t="s">
        <v>66</v>
      </c>
      <c r="I325" s="8"/>
      <c r="J325" s="8"/>
      <c r="K325" s="8"/>
      <c r="L325" s="8"/>
      <c r="M325" s="23" t="n">
        <v>58000</v>
      </c>
      <c r="N325" s="23" t="n">
        <v>12280.61144</v>
      </c>
      <c r="O325" s="23" t="n">
        <v>12597.1547866</v>
      </c>
      <c r="P325" s="24" t="n">
        <v>28.355351175</v>
      </c>
      <c r="Q325" s="24" t="n">
        <v>42.8125464166667</v>
      </c>
      <c r="R325" s="24" t="n">
        <v>28.355351175</v>
      </c>
      <c r="S325" s="25" t="n">
        <v>0.00230895271896983</v>
      </c>
      <c r="T325" s="26" t="n">
        <v>0.373011360030582</v>
      </c>
      <c r="U325" s="23" t="n">
        <v>0</v>
      </c>
      <c r="V325" s="26" t="n">
        <v>-0.06</v>
      </c>
      <c r="W325" s="26" t="n">
        <v>-0.0476556856149694</v>
      </c>
      <c r="X325" s="26" t="n">
        <v>-0.19441290033271</v>
      </c>
      <c r="Y325" s="26" t="n">
        <v>0.166923471819478</v>
      </c>
      <c r="Z325" s="26" t="n">
        <v>0.0820775333802384</v>
      </c>
      <c r="AA325" s="26" t="n">
        <v>0.109440395255978</v>
      </c>
      <c r="AB325" s="26" t="n">
        <v>-0.222505712669673</v>
      </c>
      <c r="AC325" s="27" t="n">
        <v>0.580279696627111</v>
      </c>
      <c r="AD325" s="28" t="n">
        <f aca="false">Params!$B$6*Params!$B$7*$R325</f>
        <v>17.013210705</v>
      </c>
      <c r="AE325" s="29" t="n">
        <f aca="false">MIN(Params!$B$9,AD325/Params!$B$4)</f>
        <v>0.03402642141</v>
      </c>
      <c r="AF325" s="29" t="n">
        <f aca="false">MIN(Params!$B$9,AD325/Params!$B$5)</f>
        <v>0.017013210705</v>
      </c>
      <c r="AG325" s="28" t="n">
        <f aca="false">IF($R325&gt;0,Params!$B$9*Params!$B$4/(Params!$B$6*$R325),"n/a")</f>
        <v>5.29000678123324</v>
      </c>
      <c r="AH325" s="28" t="n">
        <f aca="false">IF($R325&gt;0,Params!$B$9*Params!$B$5/(Params!$B$6*$R325),"n/a")</f>
        <v>10.5800135624665</v>
      </c>
      <c r="AI325" s="28" t="n">
        <f aca="false">IF($R325&gt;0,Params!$B$15*Params!$B$4/(Params!$B$6*$R325),"n/a")</f>
        <v>1.76333559374441</v>
      </c>
      <c r="AJ325" s="29" t="n">
        <f aca="false">MIN(Params!$B$9,AD325*Params!$B$8/Params!$B$4)</f>
        <v>0.017013210705</v>
      </c>
      <c r="AK325" s="28" t="n">
        <f aca="false">IF($R325&gt;0,Params!$B$9*Params!$B$4/(Params!$B$6*$R325*Params!$B$8),"n/a")</f>
        <v>10.5800135624665</v>
      </c>
      <c r="AL325" s="27" t="str">
        <f aca="false">IFERROR(ciq($D325,"IQ_PE_EXCL"),"")</f>
        <v/>
      </c>
      <c r="AM325" s="27" t="str">
        <f aca="false">IFERROR(ciq($D325,"IQ_PE_EXCL_FWD_CIQ"),"")</f>
        <v/>
      </c>
      <c r="AN325" s="27" t="str">
        <f aca="false">IFERROR(ciq($D325,"IQ_PBV"),"")</f>
        <v/>
      </c>
      <c r="AO325" s="27" t="str">
        <f aca="false">IFERROR(ciq($D325,"IQ_TEV_EBITDA"),"")</f>
        <v/>
      </c>
      <c r="AP325" s="24" t="str">
        <f aca="false">IFERROR(ciq($D325,"IQ_RETURN_EQUITY"),"")</f>
        <v/>
      </c>
      <c r="AQ325" s="24" t="str">
        <f aca="false">IFERROR(ciq($D325,"IQ_RETURN_CAPITAL"),"")</f>
        <v/>
      </c>
      <c r="AR325" s="24" t="str">
        <f aca="false">IFERROR(ciq($D325,"IQ_TOTAL_REV_1YR_ANN_GROWTH"),"")</f>
        <v/>
      </c>
      <c r="AS325" s="24" t="str">
        <f aca="false">IFERROR(ciq($D325,"IQ_EPS_1YR_ANN_GROWTH"),"")</f>
        <v/>
      </c>
      <c r="AT325" s="24" t="str">
        <f aca="false">IFERROR(ciq($D325,"IQ_DIVIDEND_YIELD"),"")</f>
        <v/>
      </c>
      <c r="AU325" s="24" t="str">
        <f aca="false">IFERROR(ciq($D325,"IQ_NET_DEBT"),"")</f>
        <v/>
      </c>
    </row>
    <row r="326" customFormat="false" ht="15" hidden="false" customHeight="false" outlineLevel="0" collapsed="false">
      <c r="A326" s="8" t="s">
        <v>1706</v>
      </c>
      <c r="B326" s="6" t="s">
        <v>1707</v>
      </c>
      <c r="C326" s="8" t="s">
        <v>72</v>
      </c>
      <c r="D326" s="8" t="s">
        <v>1708</v>
      </c>
      <c r="E326" s="8" t="s">
        <v>1709</v>
      </c>
      <c r="F326" s="6" t="s">
        <v>619</v>
      </c>
      <c r="G326" s="8" t="s">
        <v>57</v>
      </c>
      <c r="H326" s="8" t="s">
        <v>66</v>
      </c>
      <c r="I326" s="8"/>
      <c r="J326" s="8"/>
      <c r="K326" s="8"/>
      <c r="L326" s="8"/>
      <c r="M326" s="23" t="n">
        <v>46100</v>
      </c>
      <c r="N326" s="23" t="n">
        <v>11893.8</v>
      </c>
      <c r="O326" s="23" t="n">
        <v>12067.95</v>
      </c>
      <c r="P326" s="24" t="n">
        <v>20.77902345</v>
      </c>
      <c r="Q326" s="24" t="n">
        <v>26.7371205333333</v>
      </c>
      <c r="R326" s="24" t="n">
        <v>20.77902345</v>
      </c>
      <c r="S326" s="25" t="n">
        <v>0.00174704665035565</v>
      </c>
      <c r="T326" s="26" t="n">
        <v>0.431076764527218</v>
      </c>
      <c r="U326" s="23" t="n">
        <v>0</v>
      </c>
      <c r="V326" s="26" t="n">
        <v>-0.06</v>
      </c>
      <c r="W326" s="26" t="n">
        <v>-0.0192107779263662</v>
      </c>
      <c r="X326" s="26" t="n">
        <v>-0.0192388216668581</v>
      </c>
      <c r="Y326" s="26" t="n">
        <v>-0.109914519303542</v>
      </c>
      <c r="Z326" s="26" t="n">
        <v>0.0345956961100602</v>
      </c>
      <c r="AA326" s="26" t="n">
        <v>0.0912239486805351</v>
      </c>
      <c r="AB326" s="26" t="n">
        <v>-0.352542740920094</v>
      </c>
      <c r="AC326" s="27" t="n">
        <v>0.490937327838841</v>
      </c>
      <c r="AD326" s="28" t="n">
        <f aca="false">Params!$B$6*Params!$B$7*$R326</f>
        <v>12.46741407</v>
      </c>
      <c r="AE326" s="29" t="n">
        <f aca="false">MIN(Params!$B$9,AD326/Params!$B$4)</f>
        <v>0.02493482814</v>
      </c>
      <c r="AF326" s="29" t="n">
        <f aca="false">MIN(Params!$B$9,AD326/Params!$B$5)</f>
        <v>0.01246741407</v>
      </c>
      <c r="AG326" s="28" t="n">
        <f aca="false">IF($R326&gt;0,Params!$B$9*Params!$B$4/(Params!$B$6*$R326),"n/a")</f>
        <v>7.2188185532848</v>
      </c>
      <c r="AH326" s="28" t="n">
        <f aca="false">IF($R326&gt;0,Params!$B$9*Params!$B$5/(Params!$B$6*$R326),"n/a")</f>
        <v>14.4376371065696</v>
      </c>
      <c r="AI326" s="28" t="n">
        <f aca="false">IF($R326&gt;0,Params!$B$15*Params!$B$4/(Params!$B$6*$R326),"n/a")</f>
        <v>2.40627285109493</v>
      </c>
      <c r="AJ326" s="29" t="n">
        <f aca="false">MIN(Params!$B$9,AD326*Params!$B$8/Params!$B$4)</f>
        <v>0.01246741407</v>
      </c>
      <c r="AK326" s="28" t="n">
        <f aca="false">IF($R326&gt;0,Params!$B$9*Params!$B$4/(Params!$B$6*$R326*Params!$B$8),"n/a")</f>
        <v>14.4376371065696</v>
      </c>
      <c r="AL326" s="27" t="str">
        <f aca="false">IFERROR(ciq($D326,"IQ_PE_EXCL"),"")</f>
        <v/>
      </c>
      <c r="AM326" s="27" t="str">
        <f aca="false">IFERROR(ciq($D326,"IQ_PE_EXCL_FWD_CIQ"),"")</f>
        <v/>
      </c>
      <c r="AN326" s="27" t="str">
        <f aca="false">IFERROR(ciq($D326,"IQ_PBV"),"")</f>
        <v/>
      </c>
      <c r="AO326" s="27" t="str">
        <f aca="false">IFERROR(ciq($D326,"IQ_TEV_EBITDA"),"")</f>
        <v/>
      </c>
      <c r="AP326" s="24" t="str">
        <f aca="false">IFERROR(ciq($D326,"IQ_RETURN_EQUITY"),"")</f>
        <v/>
      </c>
      <c r="AQ326" s="24" t="str">
        <f aca="false">IFERROR(ciq($D326,"IQ_RETURN_CAPITAL"),"")</f>
        <v/>
      </c>
      <c r="AR326" s="24" t="str">
        <f aca="false">IFERROR(ciq($D326,"IQ_TOTAL_REV_1YR_ANN_GROWTH"),"")</f>
        <v/>
      </c>
      <c r="AS326" s="24" t="str">
        <f aca="false">IFERROR(ciq($D326,"IQ_EPS_1YR_ANN_GROWTH"),"")</f>
        <v/>
      </c>
      <c r="AT326" s="24" t="str">
        <f aca="false">IFERROR(ciq($D326,"IQ_DIVIDEND_YIELD"),"")</f>
        <v/>
      </c>
      <c r="AU326" s="24" t="str">
        <f aca="false">IFERROR(ciq($D326,"IQ_NET_DEBT"),"")</f>
        <v/>
      </c>
    </row>
    <row r="327" customFormat="false" ht="15" hidden="false" customHeight="false" outlineLevel="0" collapsed="false">
      <c r="A327" s="8" t="s">
        <v>1710</v>
      </c>
      <c r="B327" s="8" t="s">
        <v>1711</v>
      </c>
      <c r="C327" s="8" t="s">
        <v>72</v>
      </c>
      <c r="D327" s="8" t="s">
        <v>1712</v>
      </c>
      <c r="E327" s="8" t="s">
        <v>1713</v>
      </c>
      <c r="F327" s="6" t="s">
        <v>700</v>
      </c>
      <c r="G327" s="8" t="s">
        <v>57</v>
      </c>
      <c r="H327" s="8" t="s">
        <v>66</v>
      </c>
      <c r="I327" s="8"/>
      <c r="J327" s="8"/>
      <c r="K327" s="8"/>
      <c r="L327" s="8"/>
      <c r="M327" s="23" t="n">
        <v>55000</v>
      </c>
      <c r="N327" s="23" t="n">
        <v>11525.7362</v>
      </c>
      <c r="O327" s="23" t="n">
        <v>10521.4254593</v>
      </c>
      <c r="P327" s="24" t="n">
        <v>33.2068320875</v>
      </c>
      <c r="Q327" s="24" t="n">
        <v>45.0331604791667</v>
      </c>
      <c r="R327" s="24" t="n">
        <v>33.2068320875</v>
      </c>
      <c r="S327" s="25" t="n">
        <v>0.00288110290841985</v>
      </c>
      <c r="T327" s="26" t="n">
        <v>0.732201140259021</v>
      </c>
      <c r="U327" s="23" t="n">
        <v>0</v>
      </c>
      <c r="V327" s="26" t="n">
        <v>-0.06</v>
      </c>
      <c r="W327" s="26" t="n">
        <v>0.0741855794938049</v>
      </c>
      <c r="X327" s="26" t="n">
        <v>0.166323254978402</v>
      </c>
      <c r="Y327" s="26" t="n">
        <v>0.236082016753144</v>
      </c>
      <c r="Z327" s="26" t="n">
        <v>0.460930420509607</v>
      </c>
      <c r="AA327" s="26" t="n">
        <v>0.378777470484206</v>
      </c>
      <c r="AB327" s="26" t="n">
        <v>-0.28373773352353</v>
      </c>
      <c r="AC327" s="27" t="n">
        <v>0.435286567215402</v>
      </c>
      <c r="AD327" s="28" t="n">
        <f aca="false">Params!$B$6*Params!$B$7*$R327</f>
        <v>19.9240992525</v>
      </c>
      <c r="AE327" s="29" t="n">
        <f aca="false">MIN(Params!$B$9,AD327/Params!$B$4)</f>
        <v>0.039848198505</v>
      </c>
      <c r="AF327" s="29" t="n">
        <f aca="false">MIN(Params!$B$9,AD327/Params!$B$5)</f>
        <v>0.0199240992525</v>
      </c>
      <c r="AG327" s="28" t="n">
        <f aca="false">IF($R327&gt;0,Params!$B$9*Params!$B$4/(Params!$B$6*$R327),"n/a")</f>
        <v>4.51714272547137</v>
      </c>
      <c r="AH327" s="28" t="n">
        <f aca="false">IF($R327&gt;0,Params!$B$9*Params!$B$5/(Params!$B$6*$R327),"n/a")</f>
        <v>9.03428545094275</v>
      </c>
      <c r="AI327" s="28" t="n">
        <f aca="false">IF($R327&gt;0,Params!$B$15*Params!$B$4/(Params!$B$6*$R327),"n/a")</f>
        <v>1.50571424182379</v>
      </c>
      <c r="AJ327" s="29" t="n">
        <f aca="false">MIN(Params!$B$9,AD327*Params!$B$8/Params!$B$4)</f>
        <v>0.0199240992525</v>
      </c>
      <c r="AK327" s="28" t="n">
        <f aca="false">IF($R327&gt;0,Params!$B$9*Params!$B$4/(Params!$B$6*$R327*Params!$B$8),"n/a")</f>
        <v>9.03428545094275</v>
      </c>
      <c r="AL327" s="27" t="str">
        <f aca="false">IFERROR(ciq($D327,"IQ_PE_EXCL"),"")</f>
        <v/>
      </c>
      <c r="AM327" s="27" t="str">
        <f aca="false">IFERROR(ciq($D327,"IQ_PE_EXCL_FWD_CIQ"),"")</f>
        <v/>
      </c>
      <c r="AN327" s="27" t="str">
        <f aca="false">IFERROR(ciq($D327,"IQ_PBV"),"")</f>
        <v/>
      </c>
      <c r="AO327" s="27" t="str">
        <f aca="false">IFERROR(ciq($D327,"IQ_TEV_EBITDA"),"")</f>
        <v/>
      </c>
      <c r="AP327" s="24" t="str">
        <f aca="false">IFERROR(ciq($D327,"IQ_RETURN_EQUITY"),"")</f>
        <v/>
      </c>
      <c r="AQ327" s="24" t="str">
        <f aca="false">IFERROR(ciq($D327,"IQ_RETURN_CAPITAL"),"")</f>
        <v/>
      </c>
      <c r="AR327" s="24" t="str">
        <f aca="false">IFERROR(ciq($D327,"IQ_TOTAL_REV_1YR_ANN_GROWTH"),"")</f>
        <v/>
      </c>
      <c r="AS327" s="24" t="str">
        <f aca="false">IFERROR(ciq($D327,"IQ_EPS_1YR_ANN_GROWTH"),"")</f>
        <v/>
      </c>
      <c r="AT327" s="24" t="str">
        <f aca="false">IFERROR(ciq($D327,"IQ_DIVIDEND_YIELD"),"")</f>
        <v/>
      </c>
      <c r="AU327" s="24" t="str">
        <f aca="false">IFERROR(ciq($D327,"IQ_NET_DEBT"),"")</f>
        <v/>
      </c>
    </row>
    <row r="328" customFormat="false" ht="15" hidden="false" customHeight="false" outlineLevel="0" collapsed="false">
      <c r="A328" s="8" t="s">
        <v>384</v>
      </c>
      <c r="B328" s="6" t="s">
        <v>385</v>
      </c>
      <c r="C328" s="8" t="s">
        <v>72</v>
      </c>
      <c r="D328" s="8" t="s">
        <v>1714</v>
      </c>
      <c r="E328" s="8" t="s">
        <v>1715</v>
      </c>
      <c r="F328" s="6" t="s">
        <v>539</v>
      </c>
      <c r="G328" s="8" t="s">
        <v>57</v>
      </c>
      <c r="H328" s="8" t="s">
        <v>66</v>
      </c>
      <c r="I328" s="8" t="s">
        <v>508</v>
      </c>
      <c r="J328" s="8"/>
      <c r="K328" s="8"/>
      <c r="L328" s="8" t="s">
        <v>346</v>
      </c>
      <c r="M328" s="23" t="n">
        <v>8950</v>
      </c>
      <c r="N328" s="23" t="n">
        <v>10448.1328925</v>
      </c>
      <c r="O328" s="23" t="n">
        <v>8517.854932975</v>
      </c>
      <c r="P328" s="24" t="n">
        <v>70.151877205</v>
      </c>
      <c r="Q328" s="24" t="n">
        <v>42.934476645</v>
      </c>
      <c r="R328" s="24" t="n">
        <v>42.934476645</v>
      </c>
      <c r="S328" s="25" t="n">
        <v>0.00671429794459805</v>
      </c>
      <c r="T328" s="26" t="n">
        <v>0.628529408478262</v>
      </c>
      <c r="U328" s="23" t="n">
        <v>0</v>
      </c>
      <c r="V328" s="26" t="n">
        <v>-0.06</v>
      </c>
      <c r="W328" s="26" t="n">
        <v>0.517023225908833</v>
      </c>
      <c r="X328" s="26" t="n">
        <v>0.387644518334331</v>
      </c>
      <c r="Y328" s="26" t="n">
        <v>0.259083401957831</v>
      </c>
      <c r="Z328" s="26" t="n">
        <v>0.609463471243705</v>
      </c>
      <c r="AA328" s="26" t="n">
        <v>0.663358726238402</v>
      </c>
      <c r="AB328" s="26" t="n">
        <v>-0.0376606597887031</v>
      </c>
      <c r="AC328" s="27" t="n">
        <v>1.44749945003212</v>
      </c>
      <c r="AD328" s="28" t="n">
        <f aca="false">Params!$B$6*Params!$B$7*$R328</f>
        <v>25.760685987</v>
      </c>
      <c r="AE328" s="29" t="n">
        <f aca="false">MIN(Params!$B$9,AD328/Params!$B$4)</f>
        <v>0.051521371974</v>
      </c>
      <c r="AF328" s="29" t="n">
        <f aca="false">MIN(Params!$B$9,AD328/Params!$B$5)</f>
        <v>0.025760685987</v>
      </c>
      <c r="AG328" s="28" t="n">
        <f aca="false">IF($R328&gt;0,Params!$B$9*Params!$B$4/(Params!$B$6*$R328),"n/a")</f>
        <v>3.4936957830012</v>
      </c>
      <c r="AH328" s="28" t="n">
        <f aca="false">IF($R328&gt;0,Params!$B$9*Params!$B$5/(Params!$B$6*$R328),"n/a")</f>
        <v>6.9873915660024</v>
      </c>
      <c r="AI328" s="28" t="n">
        <f aca="false">IF($R328&gt;0,Params!$B$15*Params!$B$4/(Params!$B$6*$R328),"n/a")</f>
        <v>1.1645652610004</v>
      </c>
      <c r="AJ328" s="29" t="n">
        <f aca="false">MIN(Params!$B$9,AD328*Params!$B$8/Params!$B$4)</f>
        <v>0.025760685987</v>
      </c>
      <c r="AK328" s="28" t="n">
        <f aca="false">IF($R328&gt;0,Params!$B$9*Params!$B$4/(Params!$B$6*$R328*Params!$B$8),"n/a")</f>
        <v>6.9873915660024</v>
      </c>
      <c r="AL328" s="27" t="str">
        <f aca="false">IFERROR(ciq($D328,"IQ_PE_EXCL"),"")</f>
        <v/>
      </c>
      <c r="AM328" s="27" t="str">
        <f aca="false">IFERROR(ciq($D328,"IQ_PE_EXCL_FWD_CIQ"),"")</f>
        <v/>
      </c>
      <c r="AN328" s="27" t="str">
        <f aca="false">IFERROR(ciq($D328,"IQ_PBV"),"")</f>
        <v/>
      </c>
      <c r="AO328" s="27" t="str">
        <f aca="false">IFERROR(ciq($D328,"IQ_TEV_EBITDA"),"")</f>
        <v/>
      </c>
      <c r="AP328" s="24" t="str">
        <f aca="false">IFERROR(ciq($D328,"IQ_RETURN_EQUITY"),"")</f>
        <v/>
      </c>
      <c r="AQ328" s="24" t="str">
        <f aca="false">IFERROR(ciq($D328,"IQ_RETURN_CAPITAL"),"")</f>
        <v/>
      </c>
      <c r="AR328" s="24" t="str">
        <f aca="false">IFERROR(ciq($D328,"IQ_TOTAL_REV_1YR_ANN_GROWTH"),"")</f>
        <v/>
      </c>
      <c r="AS328" s="24" t="str">
        <f aca="false">IFERROR(ciq($D328,"IQ_EPS_1YR_ANN_GROWTH"),"")</f>
        <v/>
      </c>
      <c r="AT328" s="24" t="str">
        <f aca="false">IFERROR(ciq($D328,"IQ_DIVIDEND_YIELD"),"")</f>
        <v/>
      </c>
      <c r="AU328" s="24" t="str">
        <f aca="false">IFERROR(ciq($D328,"IQ_NET_DEBT"),"")</f>
        <v/>
      </c>
    </row>
    <row r="329" customFormat="false" ht="15" hidden="false" customHeight="false" outlineLevel="0" collapsed="false">
      <c r="A329" s="8" t="s">
        <v>386</v>
      </c>
      <c r="B329" s="8" t="s">
        <v>387</v>
      </c>
      <c r="C329" s="8" t="s">
        <v>72</v>
      </c>
      <c r="D329" s="8" t="s">
        <v>1716</v>
      </c>
      <c r="E329" s="8" t="s">
        <v>1717</v>
      </c>
      <c r="F329" s="8"/>
      <c r="G329" s="8" t="s">
        <v>57</v>
      </c>
      <c r="H329" s="8" t="s">
        <v>66</v>
      </c>
      <c r="I329" s="8" t="s">
        <v>508</v>
      </c>
      <c r="J329" s="8"/>
      <c r="K329" s="8"/>
      <c r="L329" s="6" t="s">
        <v>109</v>
      </c>
      <c r="M329" s="23" t="n">
        <v>130000</v>
      </c>
      <c r="N329" s="23" t="n">
        <v>9995.44</v>
      </c>
      <c r="O329" s="23" t="n">
        <v>9564.8672</v>
      </c>
      <c r="P329" s="24" t="n">
        <v>21.774642528</v>
      </c>
      <c r="Q329" s="24" t="n">
        <v>28.660124251</v>
      </c>
      <c r="R329" s="24" t="n">
        <v>21.774642528</v>
      </c>
      <c r="S329" s="25" t="n">
        <v>0.00217845762947904</v>
      </c>
      <c r="T329" s="26" t="n">
        <v>0.538645632354183</v>
      </c>
      <c r="U329" s="23" t="n">
        <v>0</v>
      </c>
      <c r="V329" s="26" t="n">
        <v>-0.06</v>
      </c>
      <c r="W329" s="26" t="n">
        <v>0.065679675387919</v>
      </c>
      <c r="X329" s="26" t="n">
        <v>-0.120167326035164</v>
      </c>
      <c r="Y329" s="26" t="n">
        <v>-0.181513359287168</v>
      </c>
      <c r="Z329" s="26" t="n">
        <v>-0.217508215395613</v>
      </c>
      <c r="AA329" s="26" t="n">
        <v>-0.0967473501370781</v>
      </c>
      <c r="AB329" s="26" t="n">
        <v>-0.37504704192897</v>
      </c>
      <c r="AC329" s="27" t="n">
        <v>0.438373230011399</v>
      </c>
      <c r="AD329" s="28" t="n">
        <f aca="false">Params!$B$6*Params!$B$7*$R329</f>
        <v>13.0647855168</v>
      </c>
      <c r="AE329" s="29" t="n">
        <f aca="false">MIN(Params!$B$9,AD329/Params!$B$4)</f>
        <v>0.0261295710336</v>
      </c>
      <c r="AF329" s="29" t="n">
        <f aca="false">MIN(Params!$B$9,AD329/Params!$B$5)</f>
        <v>0.0130647855168</v>
      </c>
      <c r="AG329" s="28" t="n">
        <f aca="false">IF($R329&gt;0,Params!$B$9*Params!$B$4/(Params!$B$6*$R329),"n/a")</f>
        <v>6.88874684427609</v>
      </c>
      <c r="AH329" s="28" t="n">
        <f aca="false">IF($R329&gt;0,Params!$B$9*Params!$B$5/(Params!$B$6*$R329),"n/a")</f>
        <v>13.7774936885522</v>
      </c>
      <c r="AI329" s="28" t="n">
        <f aca="false">IF($R329&gt;0,Params!$B$15*Params!$B$4/(Params!$B$6*$R329),"n/a")</f>
        <v>2.29624894809203</v>
      </c>
      <c r="AJ329" s="29" t="n">
        <f aca="false">MIN(Params!$B$9,AD329*Params!$B$8/Params!$B$4)</f>
        <v>0.0130647855168</v>
      </c>
      <c r="AK329" s="28" t="n">
        <f aca="false">IF($R329&gt;0,Params!$B$9*Params!$B$4/(Params!$B$6*$R329*Params!$B$8),"n/a")</f>
        <v>13.7774936885522</v>
      </c>
      <c r="AL329" s="27" t="str">
        <f aca="false">IFERROR(ciq($D329,"IQ_PE_EXCL"),"")</f>
        <v/>
      </c>
      <c r="AM329" s="27" t="str">
        <f aca="false">IFERROR(ciq($D329,"IQ_PE_EXCL_FWD_CIQ"),"")</f>
        <v/>
      </c>
      <c r="AN329" s="27" t="str">
        <f aca="false">IFERROR(ciq($D329,"IQ_PBV"),"")</f>
        <v/>
      </c>
      <c r="AO329" s="27" t="str">
        <f aca="false">IFERROR(ciq($D329,"IQ_TEV_EBITDA"),"")</f>
        <v/>
      </c>
      <c r="AP329" s="24" t="str">
        <f aca="false">IFERROR(ciq($D329,"IQ_RETURN_EQUITY"),"")</f>
        <v/>
      </c>
      <c r="AQ329" s="24" t="str">
        <f aca="false">IFERROR(ciq($D329,"IQ_RETURN_CAPITAL"),"")</f>
        <v/>
      </c>
      <c r="AR329" s="24" t="str">
        <f aca="false">IFERROR(ciq($D329,"IQ_TOTAL_REV_1YR_ANN_GROWTH"),"")</f>
        <v/>
      </c>
      <c r="AS329" s="24" t="str">
        <f aca="false">IFERROR(ciq($D329,"IQ_EPS_1YR_ANN_GROWTH"),"")</f>
        <v/>
      </c>
      <c r="AT329" s="24" t="str">
        <f aca="false">IFERROR(ciq($D329,"IQ_DIVIDEND_YIELD"),"")</f>
        <v/>
      </c>
      <c r="AU329" s="24" t="str">
        <f aca="false">IFERROR(ciq($D329,"IQ_NET_DEBT"),"")</f>
        <v/>
      </c>
    </row>
    <row r="330" customFormat="false" ht="15" hidden="false" customHeight="false" outlineLevel="0" collapsed="false">
      <c r="A330" s="8" t="s">
        <v>1718</v>
      </c>
      <c r="B330" s="8" t="s">
        <v>1719</v>
      </c>
      <c r="C330" s="8" t="s">
        <v>72</v>
      </c>
      <c r="D330" s="8" t="s">
        <v>1720</v>
      </c>
      <c r="E330" s="8" t="s">
        <v>1721</v>
      </c>
      <c r="F330" s="6" t="s">
        <v>1722</v>
      </c>
      <c r="G330" s="8" t="s">
        <v>57</v>
      </c>
      <c r="H330" s="8" t="s">
        <v>66</v>
      </c>
      <c r="I330" s="8"/>
      <c r="J330" s="8"/>
      <c r="K330" s="8"/>
      <c r="L330" s="8"/>
      <c r="M330" s="23" t="n">
        <v>54900</v>
      </c>
      <c r="N330" s="23" t="n">
        <v>9497.022534</v>
      </c>
      <c r="O330" s="23" t="n">
        <v>8458.66410485</v>
      </c>
      <c r="P330" s="24" t="n">
        <v>54.106956675</v>
      </c>
      <c r="Q330" s="24" t="n">
        <v>36.2783120125</v>
      </c>
      <c r="R330" s="24" t="n">
        <v>36.2783120125</v>
      </c>
      <c r="S330" s="25" t="n">
        <v>0.00569725474287266</v>
      </c>
      <c r="T330" s="26" t="n">
        <v>0.640338565929735</v>
      </c>
      <c r="U330" s="23" t="n">
        <v>0</v>
      </c>
      <c r="V330" s="26" t="n">
        <v>-0.06</v>
      </c>
      <c r="W330" s="26" t="n">
        <v>0.309991449653303</v>
      </c>
      <c r="X330" s="26" t="n">
        <v>0.355514309856804</v>
      </c>
      <c r="Y330" s="26" t="n">
        <v>-0.0849856107202436</v>
      </c>
      <c r="Z330" s="26" t="n">
        <v>-0.161780388848388</v>
      </c>
      <c r="AA330" s="26" t="n">
        <v>-0.0984835626488321</v>
      </c>
      <c r="AB330" s="26" t="n">
        <v>-0.311918258598867</v>
      </c>
      <c r="AC330" s="27" t="n">
        <v>1.56358600245116</v>
      </c>
      <c r="AD330" s="28" t="n">
        <f aca="false">Params!$B$6*Params!$B$7*$R330</f>
        <v>21.7669872075</v>
      </c>
      <c r="AE330" s="29" t="n">
        <f aca="false">MIN(Params!$B$9,AD330/Params!$B$4)</f>
        <v>0.043533974415</v>
      </c>
      <c r="AF330" s="29" t="n">
        <f aca="false">MIN(Params!$B$9,AD330/Params!$B$5)</f>
        <v>0.0217669872075</v>
      </c>
      <c r="AG330" s="28" t="n">
        <f aca="false">IF($R330&gt;0,Params!$B$9*Params!$B$4/(Params!$B$6*$R330),"n/a")</f>
        <v>4.13470174544825</v>
      </c>
      <c r="AH330" s="28" t="n">
        <f aca="false">IF($R330&gt;0,Params!$B$9*Params!$B$5/(Params!$B$6*$R330),"n/a")</f>
        <v>8.2694034908965</v>
      </c>
      <c r="AI330" s="28" t="n">
        <f aca="false">IF($R330&gt;0,Params!$B$15*Params!$B$4/(Params!$B$6*$R330),"n/a")</f>
        <v>1.37823391514942</v>
      </c>
      <c r="AJ330" s="29" t="n">
        <f aca="false">MIN(Params!$B$9,AD330*Params!$B$8/Params!$B$4)</f>
        <v>0.0217669872075</v>
      </c>
      <c r="AK330" s="28" t="n">
        <f aca="false">IF($R330&gt;0,Params!$B$9*Params!$B$4/(Params!$B$6*$R330*Params!$B$8),"n/a")</f>
        <v>8.2694034908965</v>
      </c>
      <c r="AL330" s="27" t="str">
        <f aca="false">IFERROR(ciq($D330,"IQ_PE_EXCL"),"")</f>
        <v/>
      </c>
      <c r="AM330" s="27" t="str">
        <f aca="false">IFERROR(ciq($D330,"IQ_PE_EXCL_FWD_CIQ"),"")</f>
        <v/>
      </c>
      <c r="AN330" s="27" t="str">
        <f aca="false">IFERROR(ciq($D330,"IQ_PBV"),"")</f>
        <v/>
      </c>
      <c r="AO330" s="27" t="str">
        <f aca="false">IFERROR(ciq($D330,"IQ_TEV_EBITDA"),"")</f>
        <v/>
      </c>
      <c r="AP330" s="24" t="str">
        <f aca="false">IFERROR(ciq($D330,"IQ_RETURN_EQUITY"),"")</f>
        <v/>
      </c>
      <c r="AQ330" s="24" t="str">
        <f aca="false">IFERROR(ciq($D330,"IQ_RETURN_CAPITAL"),"")</f>
        <v/>
      </c>
      <c r="AR330" s="24" t="str">
        <f aca="false">IFERROR(ciq($D330,"IQ_TOTAL_REV_1YR_ANN_GROWTH"),"")</f>
        <v/>
      </c>
      <c r="AS330" s="24" t="str">
        <f aca="false">IFERROR(ciq($D330,"IQ_EPS_1YR_ANN_GROWTH"),"")</f>
        <v/>
      </c>
      <c r="AT330" s="24" t="str">
        <f aca="false">IFERROR(ciq($D330,"IQ_DIVIDEND_YIELD"),"")</f>
        <v/>
      </c>
      <c r="AU330" s="24" t="str">
        <f aca="false">IFERROR(ciq($D330,"IQ_NET_DEBT"),"")</f>
        <v/>
      </c>
    </row>
    <row r="331" customFormat="false" ht="15" hidden="false" customHeight="false" outlineLevel="0" collapsed="false">
      <c r="A331" s="8" t="s">
        <v>1723</v>
      </c>
      <c r="B331" s="8" t="s">
        <v>1724</v>
      </c>
      <c r="C331" s="8" t="s">
        <v>72</v>
      </c>
      <c r="D331" s="8" t="s">
        <v>1725</v>
      </c>
      <c r="E331" s="8" t="s">
        <v>1726</v>
      </c>
      <c r="F331" s="6" t="s">
        <v>550</v>
      </c>
      <c r="G331" s="8" t="s">
        <v>57</v>
      </c>
      <c r="H331" s="8" t="s">
        <v>66</v>
      </c>
      <c r="I331" s="8"/>
      <c r="J331" s="8"/>
      <c r="K331" s="8"/>
      <c r="L331" s="8" t="s">
        <v>241</v>
      </c>
      <c r="M331" s="23" t="n">
        <v>23450</v>
      </c>
      <c r="N331" s="23" t="n">
        <v>9414.7207735</v>
      </c>
      <c r="O331" s="23" t="n">
        <v>10389.315002825</v>
      </c>
      <c r="P331" s="24" t="n">
        <v>42.6048587375</v>
      </c>
      <c r="Q331" s="24" t="n">
        <v>64.90472497</v>
      </c>
      <c r="R331" s="24" t="n">
        <v>42.6048587375</v>
      </c>
      <c r="S331" s="25" t="n">
        <v>0.00452534491064479</v>
      </c>
      <c r="T331" s="26" t="n">
        <v>0.990427923951245</v>
      </c>
      <c r="U331" s="23" t="n">
        <v>1</v>
      </c>
      <c r="V331" s="26" t="n">
        <v>-0.06</v>
      </c>
      <c r="W331" s="26" t="n">
        <v>-0.165623221350031</v>
      </c>
      <c r="X331" s="26" t="n">
        <v>-0.242566146381794</v>
      </c>
      <c r="Y331" s="26" t="n">
        <v>-0.309861067376534</v>
      </c>
      <c r="Z331" s="26" t="n">
        <v>-0.310997430407996</v>
      </c>
      <c r="AA331" s="26" t="n">
        <v>-0.327790734458809</v>
      </c>
      <c r="AB331" s="26" t="n">
        <v>-0.647568118495169</v>
      </c>
      <c r="AC331" s="27" t="n">
        <v>0.231016514256802</v>
      </c>
      <c r="AD331" s="28" t="n">
        <f aca="false">Params!$B$6*Params!$B$7*$R331</f>
        <v>25.5629152425</v>
      </c>
      <c r="AE331" s="29" t="n">
        <f aca="false">MIN(Params!$B$9,AD331/Params!$B$4)</f>
        <v>0.051125830485</v>
      </c>
      <c r="AF331" s="29" t="n">
        <f aca="false">MIN(Params!$B$9,AD331/Params!$B$5)</f>
        <v>0.0255629152425</v>
      </c>
      <c r="AG331" s="28" t="n">
        <f aca="false">IF($R331&gt;0,Params!$B$9*Params!$B$4/(Params!$B$6*$R331),"n/a")</f>
        <v>3.52072520470471</v>
      </c>
      <c r="AH331" s="28" t="n">
        <f aca="false">IF($R331&gt;0,Params!$B$9*Params!$B$5/(Params!$B$6*$R331),"n/a")</f>
        <v>7.04145040940942</v>
      </c>
      <c r="AI331" s="28" t="n">
        <f aca="false">IF($R331&gt;0,Params!$B$15*Params!$B$4/(Params!$B$6*$R331),"n/a")</f>
        <v>1.1735750682349</v>
      </c>
      <c r="AJ331" s="29" t="n">
        <f aca="false">MIN(Params!$B$9,AD331*Params!$B$8/Params!$B$4)</f>
        <v>0.0255629152425</v>
      </c>
      <c r="AK331" s="28" t="n">
        <f aca="false">IF($R331&gt;0,Params!$B$9*Params!$B$4/(Params!$B$6*$R331*Params!$B$8),"n/a")</f>
        <v>7.04145040940942</v>
      </c>
      <c r="AL331" s="27" t="str">
        <f aca="false">IFERROR(ciq($D331,"IQ_PE_EXCL"),"")</f>
        <v/>
      </c>
      <c r="AM331" s="27" t="str">
        <f aca="false">IFERROR(ciq($D331,"IQ_PE_EXCL_FWD_CIQ"),"")</f>
        <v/>
      </c>
      <c r="AN331" s="27" t="str">
        <f aca="false">IFERROR(ciq($D331,"IQ_PBV"),"")</f>
        <v/>
      </c>
      <c r="AO331" s="27" t="str">
        <f aca="false">IFERROR(ciq($D331,"IQ_TEV_EBITDA"),"")</f>
        <v/>
      </c>
      <c r="AP331" s="24" t="str">
        <f aca="false">IFERROR(ciq($D331,"IQ_RETURN_EQUITY"),"")</f>
        <v/>
      </c>
      <c r="AQ331" s="24" t="str">
        <f aca="false">IFERROR(ciq($D331,"IQ_RETURN_CAPITAL"),"")</f>
        <v/>
      </c>
      <c r="AR331" s="24" t="str">
        <f aca="false">IFERROR(ciq($D331,"IQ_TOTAL_REV_1YR_ANN_GROWTH"),"")</f>
        <v/>
      </c>
      <c r="AS331" s="24" t="str">
        <f aca="false">IFERROR(ciq($D331,"IQ_EPS_1YR_ANN_GROWTH"),"")</f>
        <v/>
      </c>
      <c r="AT331" s="24" t="str">
        <f aca="false">IFERROR(ciq($D331,"IQ_DIVIDEND_YIELD"),"")</f>
        <v/>
      </c>
      <c r="AU331" s="24" t="str">
        <f aca="false">IFERROR(ciq($D331,"IQ_NET_DEBT"),"")</f>
        <v/>
      </c>
    </row>
    <row r="332" customFormat="false" ht="15" hidden="false" customHeight="false" outlineLevel="0" collapsed="false">
      <c r="A332" s="8" t="s">
        <v>1727</v>
      </c>
      <c r="B332" s="6" t="s">
        <v>1728</v>
      </c>
      <c r="C332" s="8" t="s">
        <v>72</v>
      </c>
      <c r="D332" s="8" t="s">
        <v>1729</v>
      </c>
      <c r="E332" s="8" t="s">
        <v>1730</v>
      </c>
      <c r="F332" s="6" t="s">
        <v>852</v>
      </c>
      <c r="G332" s="8" t="s">
        <v>57</v>
      </c>
      <c r="H332" s="8" t="s">
        <v>66</v>
      </c>
      <c r="I332" s="8"/>
      <c r="J332" s="8"/>
      <c r="K332" s="8"/>
      <c r="L332" s="8"/>
      <c r="M332" s="23" t="n">
        <v>68200</v>
      </c>
      <c r="N332" s="23" t="n">
        <v>9413.49596</v>
      </c>
      <c r="O332" s="23" t="n">
        <v>9456.974717</v>
      </c>
      <c r="P332" s="24" t="n">
        <v>16.67641</v>
      </c>
      <c r="Q332" s="24" t="n">
        <v>18.9220797666667</v>
      </c>
      <c r="R332" s="24" t="n">
        <v>16.67641</v>
      </c>
      <c r="S332" s="25" t="n">
        <v>0.00177154269475036</v>
      </c>
      <c r="T332" s="26" t="n">
        <v>0.328986906699432</v>
      </c>
      <c r="U332" s="23" t="n">
        <v>0</v>
      </c>
      <c r="V332" s="26" t="n">
        <v>-0.06</v>
      </c>
      <c r="W332" s="26" t="n">
        <v>0.0104546291572858</v>
      </c>
      <c r="X332" s="26" t="n">
        <v>-0.036634357704726</v>
      </c>
      <c r="Y332" s="26" t="n">
        <v>-0.207643276348044</v>
      </c>
      <c r="Z332" s="26" t="n">
        <v>-0.177065821732677</v>
      </c>
      <c r="AA332" s="26" t="n">
        <v>-0.159102316754251</v>
      </c>
      <c r="AB332" s="26" t="n">
        <v>-0.301746578454452</v>
      </c>
      <c r="AC332" s="27" t="n">
        <v>0.75366707600234</v>
      </c>
      <c r="AD332" s="28" t="n">
        <f aca="false">Params!$B$6*Params!$B$7*$R332</f>
        <v>10.005846</v>
      </c>
      <c r="AE332" s="29" t="n">
        <f aca="false">MIN(Params!$B$9,AD332/Params!$B$4)</f>
        <v>0.020011692</v>
      </c>
      <c r="AF332" s="29" t="n">
        <f aca="false">MIN(Params!$B$9,AD332/Params!$B$5)</f>
        <v>0.010005846</v>
      </c>
      <c r="AG332" s="28" t="n">
        <f aca="false">IF($R332&gt;0,Params!$B$9*Params!$B$4/(Params!$B$6*$R332),"n/a")</f>
        <v>8.99474167401737</v>
      </c>
      <c r="AH332" s="28" t="n">
        <f aca="false">IF($R332&gt;0,Params!$B$9*Params!$B$5/(Params!$B$6*$R332),"n/a")</f>
        <v>17.9894833480347</v>
      </c>
      <c r="AI332" s="28" t="n">
        <f aca="false">IF($R332&gt;0,Params!$B$15*Params!$B$4/(Params!$B$6*$R332),"n/a")</f>
        <v>2.99824722467246</v>
      </c>
      <c r="AJ332" s="29" t="n">
        <f aca="false">MIN(Params!$B$9,AD332*Params!$B$8/Params!$B$4)</f>
        <v>0.010005846</v>
      </c>
      <c r="AK332" s="28" t="n">
        <f aca="false">IF($R332&gt;0,Params!$B$9*Params!$B$4/(Params!$B$6*$R332*Params!$B$8),"n/a")</f>
        <v>17.9894833480347</v>
      </c>
      <c r="AL332" s="27" t="str">
        <f aca="false">IFERROR(ciq($D332,"IQ_PE_EXCL"),"")</f>
        <v/>
      </c>
      <c r="AM332" s="27" t="str">
        <f aca="false">IFERROR(ciq($D332,"IQ_PE_EXCL_FWD_CIQ"),"")</f>
        <v/>
      </c>
      <c r="AN332" s="27" t="str">
        <f aca="false">IFERROR(ciq($D332,"IQ_PBV"),"")</f>
        <v/>
      </c>
      <c r="AO332" s="27" t="str">
        <f aca="false">IFERROR(ciq($D332,"IQ_TEV_EBITDA"),"")</f>
        <v/>
      </c>
      <c r="AP332" s="24" t="str">
        <f aca="false">IFERROR(ciq($D332,"IQ_RETURN_EQUITY"),"")</f>
        <v/>
      </c>
      <c r="AQ332" s="24" t="str">
        <f aca="false">IFERROR(ciq($D332,"IQ_RETURN_CAPITAL"),"")</f>
        <v/>
      </c>
      <c r="AR332" s="24" t="str">
        <f aca="false">IFERROR(ciq($D332,"IQ_TOTAL_REV_1YR_ANN_GROWTH"),"")</f>
        <v/>
      </c>
      <c r="AS332" s="24" t="str">
        <f aca="false">IFERROR(ciq($D332,"IQ_EPS_1YR_ANN_GROWTH"),"")</f>
        <v/>
      </c>
      <c r="AT332" s="24" t="str">
        <f aca="false">IFERROR(ciq($D332,"IQ_DIVIDEND_YIELD"),"")</f>
        <v/>
      </c>
      <c r="AU332" s="24" t="str">
        <f aca="false">IFERROR(ciq($D332,"IQ_NET_DEBT"),"")</f>
        <v/>
      </c>
    </row>
    <row r="333" customFormat="false" ht="15" hidden="false" customHeight="false" outlineLevel="0" collapsed="false">
      <c r="A333" s="8" t="s">
        <v>1731</v>
      </c>
      <c r="B333" s="6" t="s">
        <v>1732</v>
      </c>
      <c r="C333" s="8" t="s">
        <v>72</v>
      </c>
      <c r="D333" s="8" t="s">
        <v>1733</v>
      </c>
      <c r="E333" s="8" t="s">
        <v>1734</v>
      </c>
      <c r="F333" s="6" t="s">
        <v>565</v>
      </c>
      <c r="G333" s="8" t="s">
        <v>57</v>
      </c>
      <c r="H333" s="8" t="s">
        <v>66</v>
      </c>
      <c r="I333" s="8"/>
      <c r="J333" s="8"/>
      <c r="K333" s="8"/>
      <c r="L333" s="8"/>
      <c r="M333" s="23" t="n">
        <v>66500</v>
      </c>
      <c r="N333" s="23" t="n">
        <v>9216.9</v>
      </c>
      <c r="O333" s="23" t="n">
        <v>8171.163</v>
      </c>
      <c r="P333" s="24" t="n">
        <v>49.211563375</v>
      </c>
      <c r="Q333" s="24" t="n">
        <v>38.2645082458333</v>
      </c>
      <c r="R333" s="24" t="n">
        <v>38.2645082458333</v>
      </c>
      <c r="S333" s="25" t="n">
        <v>0.00533927495958511</v>
      </c>
      <c r="T333" s="26" t="n">
        <v>0.589331625326666</v>
      </c>
      <c r="U333" s="23" t="n">
        <v>0</v>
      </c>
      <c r="V333" s="26" t="n">
        <v>-0.06</v>
      </c>
      <c r="W333" s="26" t="n">
        <v>0.250171873159282</v>
      </c>
      <c r="X333" s="26" t="n">
        <v>0.279113730647596</v>
      </c>
      <c r="Y333" s="26" t="n">
        <v>0.0728777382044223</v>
      </c>
      <c r="Z333" s="26" t="n">
        <v>0.059281324107288</v>
      </c>
      <c r="AA333" s="26" t="n">
        <v>0.053715485396838</v>
      </c>
      <c r="AB333" s="26" t="n">
        <v>-0.0709554355694239</v>
      </c>
      <c r="AC333" s="27" t="n">
        <v>1.45092473007669</v>
      </c>
      <c r="AD333" s="28" t="n">
        <f aca="false">Params!$B$6*Params!$B$7*$R333</f>
        <v>22.9587049475</v>
      </c>
      <c r="AE333" s="29" t="n">
        <f aca="false">MIN(Params!$B$9,AD333/Params!$B$4)</f>
        <v>0.045917409895</v>
      </c>
      <c r="AF333" s="29" t="n">
        <f aca="false">MIN(Params!$B$9,AD333/Params!$B$5)</f>
        <v>0.0229587049475</v>
      </c>
      <c r="AG333" s="28" t="n">
        <f aca="false">IF($R333&gt;0,Params!$B$9*Params!$B$4/(Params!$B$6*$R333),"n/a")</f>
        <v>3.92008173831252</v>
      </c>
      <c r="AH333" s="28" t="n">
        <f aca="false">IF($R333&gt;0,Params!$B$9*Params!$B$5/(Params!$B$6*$R333),"n/a")</f>
        <v>7.84016347662504</v>
      </c>
      <c r="AI333" s="28" t="n">
        <f aca="false">IF($R333&gt;0,Params!$B$15*Params!$B$4/(Params!$B$6*$R333),"n/a")</f>
        <v>1.30669391277084</v>
      </c>
      <c r="AJ333" s="29" t="n">
        <f aca="false">MIN(Params!$B$9,AD333*Params!$B$8/Params!$B$4)</f>
        <v>0.0229587049475</v>
      </c>
      <c r="AK333" s="28" t="n">
        <f aca="false">IF($R333&gt;0,Params!$B$9*Params!$B$4/(Params!$B$6*$R333*Params!$B$8),"n/a")</f>
        <v>7.84016347662504</v>
      </c>
      <c r="AL333" s="27" t="str">
        <f aca="false">IFERROR(ciq($D333,"IQ_PE_EXCL"),"")</f>
        <v/>
      </c>
      <c r="AM333" s="27" t="str">
        <f aca="false">IFERROR(ciq($D333,"IQ_PE_EXCL_FWD_CIQ"),"")</f>
        <v/>
      </c>
      <c r="AN333" s="27" t="str">
        <f aca="false">IFERROR(ciq($D333,"IQ_PBV"),"")</f>
        <v/>
      </c>
      <c r="AO333" s="27" t="str">
        <f aca="false">IFERROR(ciq($D333,"IQ_TEV_EBITDA"),"")</f>
        <v/>
      </c>
      <c r="AP333" s="24" t="str">
        <f aca="false">IFERROR(ciq($D333,"IQ_RETURN_EQUITY"),"")</f>
        <v/>
      </c>
      <c r="AQ333" s="24" t="str">
        <f aca="false">IFERROR(ciq($D333,"IQ_RETURN_CAPITAL"),"")</f>
        <v/>
      </c>
      <c r="AR333" s="24" t="str">
        <f aca="false">IFERROR(ciq($D333,"IQ_TOTAL_REV_1YR_ANN_GROWTH"),"")</f>
        <v/>
      </c>
      <c r="AS333" s="24" t="str">
        <f aca="false">IFERROR(ciq($D333,"IQ_EPS_1YR_ANN_GROWTH"),"")</f>
        <v/>
      </c>
      <c r="AT333" s="24" t="str">
        <f aca="false">IFERROR(ciq($D333,"IQ_DIVIDEND_YIELD"),"")</f>
        <v/>
      </c>
      <c r="AU333" s="24" t="str">
        <f aca="false">IFERROR(ciq($D333,"IQ_NET_DEBT"),"")</f>
        <v/>
      </c>
    </row>
    <row r="334" customFormat="false" ht="15" hidden="false" customHeight="false" outlineLevel="0" collapsed="false">
      <c r="A334" s="8" t="s">
        <v>1735</v>
      </c>
      <c r="B334" s="6" t="s">
        <v>1736</v>
      </c>
      <c r="C334" s="8" t="s">
        <v>72</v>
      </c>
      <c r="D334" s="8" t="s">
        <v>1737</v>
      </c>
      <c r="E334" s="8" t="s">
        <v>1738</v>
      </c>
      <c r="F334" s="6" t="s">
        <v>1412</v>
      </c>
      <c r="G334" s="8" t="s">
        <v>57</v>
      </c>
      <c r="H334" s="8" t="s">
        <v>66</v>
      </c>
      <c r="I334" s="8"/>
      <c r="J334" s="8"/>
      <c r="K334" s="8"/>
      <c r="L334" s="8"/>
      <c r="M334" s="23" t="n">
        <v>98300</v>
      </c>
      <c r="N334" s="23" t="n">
        <v>9121.142972</v>
      </c>
      <c r="O334" s="23" t="n">
        <v>9196.7658766</v>
      </c>
      <c r="P334" s="24" t="n">
        <v>16.8118183</v>
      </c>
      <c r="Q334" s="24" t="n">
        <v>20.6902421833333</v>
      </c>
      <c r="R334" s="24" t="n">
        <v>16.8118183</v>
      </c>
      <c r="S334" s="25" t="n">
        <v>0.0018431701324723</v>
      </c>
      <c r="T334" s="26" t="n">
        <v>0.291251925373719</v>
      </c>
      <c r="U334" s="23" t="n">
        <v>0</v>
      </c>
      <c r="V334" s="26" t="n">
        <v>-0.06</v>
      </c>
      <c r="W334" s="26" t="n">
        <v>-0.0198889119771867</v>
      </c>
      <c r="X334" s="26" t="n">
        <v>-0.06371798566286</v>
      </c>
      <c r="Y334" s="26" t="n">
        <v>-0.20709501852784</v>
      </c>
      <c r="Z334" s="26" t="n">
        <v>-0.293813873496232</v>
      </c>
      <c r="AA334" s="26" t="n">
        <v>-0.187412762855593</v>
      </c>
      <c r="AB334" s="26" t="n">
        <v>-0.336619201630563</v>
      </c>
      <c r="AC334" s="27" t="n">
        <v>0.707089676014923</v>
      </c>
      <c r="AD334" s="28" t="n">
        <f aca="false">Params!$B$6*Params!$B$7*$R334</f>
        <v>10.08709098</v>
      </c>
      <c r="AE334" s="29" t="n">
        <f aca="false">MIN(Params!$B$9,AD334/Params!$B$4)</f>
        <v>0.02017418196</v>
      </c>
      <c r="AF334" s="29" t="n">
        <f aca="false">MIN(Params!$B$9,AD334/Params!$B$5)</f>
        <v>0.01008709098</v>
      </c>
      <c r="AG334" s="28" t="n">
        <f aca="false">IF($R334&gt;0,Params!$B$9*Params!$B$4/(Params!$B$6*$R334),"n/a")</f>
        <v>8.92229485968213</v>
      </c>
      <c r="AH334" s="28" t="n">
        <f aca="false">IF($R334&gt;0,Params!$B$9*Params!$B$5/(Params!$B$6*$R334),"n/a")</f>
        <v>17.8445897193643</v>
      </c>
      <c r="AI334" s="28" t="n">
        <f aca="false">IF($R334&gt;0,Params!$B$15*Params!$B$4/(Params!$B$6*$R334),"n/a")</f>
        <v>2.97409828656071</v>
      </c>
      <c r="AJ334" s="29" t="n">
        <f aca="false">MIN(Params!$B$9,AD334*Params!$B$8/Params!$B$4)</f>
        <v>0.01008709098</v>
      </c>
      <c r="AK334" s="28" t="n">
        <f aca="false">IF($R334&gt;0,Params!$B$9*Params!$B$4/(Params!$B$6*$R334*Params!$B$8),"n/a")</f>
        <v>17.8445897193643</v>
      </c>
      <c r="AL334" s="27" t="str">
        <f aca="false">IFERROR(ciq($D334,"IQ_PE_EXCL"),"")</f>
        <v/>
      </c>
      <c r="AM334" s="27" t="str">
        <f aca="false">IFERROR(ciq($D334,"IQ_PE_EXCL_FWD_CIQ"),"")</f>
        <v/>
      </c>
      <c r="AN334" s="27" t="str">
        <f aca="false">IFERROR(ciq($D334,"IQ_PBV"),"")</f>
        <v/>
      </c>
      <c r="AO334" s="27" t="str">
        <f aca="false">IFERROR(ciq($D334,"IQ_TEV_EBITDA"),"")</f>
        <v/>
      </c>
      <c r="AP334" s="24" t="str">
        <f aca="false">IFERROR(ciq($D334,"IQ_RETURN_EQUITY"),"")</f>
        <v/>
      </c>
      <c r="AQ334" s="24" t="str">
        <f aca="false">IFERROR(ciq($D334,"IQ_RETURN_CAPITAL"),"")</f>
        <v/>
      </c>
      <c r="AR334" s="24" t="str">
        <f aca="false">IFERROR(ciq($D334,"IQ_TOTAL_REV_1YR_ANN_GROWTH"),"")</f>
        <v/>
      </c>
      <c r="AS334" s="24" t="str">
        <f aca="false">IFERROR(ciq($D334,"IQ_EPS_1YR_ANN_GROWTH"),"")</f>
        <v/>
      </c>
      <c r="AT334" s="24" t="str">
        <f aca="false">IFERROR(ciq($D334,"IQ_DIVIDEND_YIELD"),"")</f>
        <v/>
      </c>
      <c r="AU334" s="24" t="str">
        <f aca="false">IFERROR(ciq($D334,"IQ_NET_DEBT"),"")</f>
        <v/>
      </c>
    </row>
    <row r="335" customFormat="false" ht="15" hidden="false" customHeight="false" outlineLevel="0" collapsed="false">
      <c r="A335" s="8" t="s">
        <v>1739</v>
      </c>
      <c r="B335" s="6" t="s">
        <v>1740</v>
      </c>
      <c r="C335" s="8" t="s">
        <v>72</v>
      </c>
      <c r="D335" s="8" t="s">
        <v>1741</v>
      </c>
      <c r="E335" s="8" t="s">
        <v>1742</v>
      </c>
      <c r="F335" s="6" t="s">
        <v>1565</v>
      </c>
      <c r="G335" s="8" t="s">
        <v>57</v>
      </c>
      <c r="H335" s="8" t="s">
        <v>66</v>
      </c>
      <c r="I335" s="8"/>
      <c r="J335" s="8"/>
      <c r="K335" s="8"/>
      <c r="L335" s="8" t="s">
        <v>241</v>
      </c>
      <c r="M335" s="23" t="n">
        <v>9820</v>
      </c>
      <c r="N335" s="23" t="n">
        <v>9096.2053124</v>
      </c>
      <c r="O335" s="23" t="n">
        <v>9082.3109051</v>
      </c>
      <c r="P335" s="24" t="n">
        <v>48.5742287825</v>
      </c>
      <c r="Q335" s="24" t="n">
        <v>75.7993070575</v>
      </c>
      <c r="R335" s="24" t="n">
        <v>48.5742287825</v>
      </c>
      <c r="S335" s="25" t="n">
        <v>0.0053400541340336</v>
      </c>
      <c r="T335" s="26" t="n">
        <v>0.656155875419445</v>
      </c>
      <c r="U335" s="23" t="n">
        <v>0</v>
      </c>
      <c r="V335" s="26" t="n">
        <v>-0.06</v>
      </c>
      <c r="W335" s="26" t="n">
        <v>0.00420025488820497</v>
      </c>
      <c r="X335" s="26" t="n">
        <v>-0.346267425733712</v>
      </c>
      <c r="Y335" s="26" t="n">
        <v>-0.424889124212768</v>
      </c>
      <c r="Z335" s="26" t="n">
        <v>-0.406716527475616</v>
      </c>
      <c r="AA335" s="26" t="n">
        <v>-0.522241722592167</v>
      </c>
      <c r="AB335" s="26" t="n">
        <v>-0.584828137821961</v>
      </c>
      <c r="AC335" s="27" t="n">
        <v>0.508462362192319</v>
      </c>
      <c r="AD335" s="28" t="n">
        <f aca="false">Params!$B$6*Params!$B$7*$R335</f>
        <v>29.1445372695</v>
      </c>
      <c r="AE335" s="29" t="n">
        <f aca="false">MIN(Params!$B$9,AD335/Params!$B$4)</f>
        <v>0.058289074539</v>
      </c>
      <c r="AF335" s="29" t="n">
        <f aca="false">MIN(Params!$B$9,AD335/Params!$B$5)</f>
        <v>0.0291445372695</v>
      </c>
      <c r="AG335" s="28" t="n">
        <f aca="false">IF($R335&gt;0,Params!$B$9*Params!$B$4/(Params!$B$6*$R335),"n/a")</f>
        <v>3.08805726327951</v>
      </c>
      <c r="AH335" s="28" t="n">
        <f aca="false">IF($R335&gt;0,Params!$B$9*Params!$B$5/(Params!$B$6*$R335),"n/a")</f>
        <v>6.17611452655903</v>
      </c>
      <c r="AI335" s="28" t="n">
        <f aca="false">IF($R335&gt;0,Params!$B$15*Params!$B$4/(Params!$B$6*$R335),"n/a")</f>
        <v>1.02935242109317</v>
      </c>
      <c r="AJ335" s="29" t="n">
        <f aca="false">MIN(Params!$B$9,AD335*Params!$B$8/Params!$B$4)</f>
        <v>0.0291445372695</v>
      </c>
      <c r="AK335" s="28" t="n">
        <f aca="false">IF($R335&gt;0,Params!$B$9*Params!$B$4/(Params!$B$6*$R335*Params!$B$8),"n/a")</f>
        <v>6.17611452655903</v>
      </c>
      <c r="AL335" s="27" t="str">
        <f aca="false">IFERROR(ciq($D335,"IQ_PE_EXCL"),"")</f>
        <v/>
      </c>
      <c r="AM335" s="27" t="str">
        <f aca="false">IFERROR(ciq($D335,"IQ_PE_EXCL_FWD_CIQ"),"")</f>
        <v/>
      </c>
      <c r="AN335" s="27" t="str">
        <f aca="false">IFERROR(ciq($D335,"IQ_PBV"),"")</f>
        <v/>
      </c>
      <c r="AO335" s="27" t="str">
        <f aca="false">IFERROR(ciq($D335,"IQ_TEV_EBITDA"),"")</f>
        <v/>
      </c>
      <c r="AP335" s="24" t="str">
        <f aca="false">IFERROR(ciq($D335,"IQ_RETURN_EQUITY"),"")</f>
        <v/>
      </c>
      <c r="AQ335" s="24" t="str">
        <f aca="false">IFERROR(ciq($D335,"IQ_RETURN_CAPITAL"),"")</f>
        <v/>
      </c>
      <c r="AR335" s="24" t="str">
        <f aca="false">IFERROR(ciq($D335,"IQ_TOTAL_REV_1YR_ANN_GROWTH"),"")</f>
        <v/>
      </c>
      <c r="AS335" s="24" t="str">
        <f aca="false">IFERROR(ciq($D335,"IQ_EPS_1YR_ANN_GROWTH"),"")</f>
        <v/>
      </c>
      <c r="AT335" s="24" t="str">
        <f aca="false">IFERROR(ciq($D335,"IQ_DIVIDEND_YIELD"),"")</f>
        <v/>
      </c>
      <c r="AU335" s="24" t="str">
        <f aca="false">IFERROR(ciq($D335,"IQ_NET_DEBT"),"")</f>
        <v/>
      </c>
    </row>
    <row r="336" customFormat="false" ht="15" hidden="false" customHeight="false" outlineLevel="0" collapsed="false">
      <c r="A336" s="8" t="s">
        <v>1743</v>
      </c>
      <c r="B336" s="6" t="s">
        <v>1744</v>
      </c>
      <c r="C336" s="8" t="s">
        <v>72</v>
      </c>
      <c r="D336" s="8" t="s">
        <v>1745</v>
      </c>
      <c r="E336" s="8" t="s">
        <v>1746</v>
      </c>
      <c r="F336" s="6" t="s">
        <v>1747</v>
      </c>
      <c r="G336" s="8" t="s">
        <v>57</v>
      </c>
      <c r="H336" s="8" t="s">
        <v>66</v>
      </c>
      <c r="I336" s="8"/>
      <c r="J336" s="8"/>
      <c r="K336" s="8"/>
      <c r="L336" s="8"/>
      <c r="M336" s="23" t="n">
        <v>60300</v>
      </c>
      <c r="N336" s="23" t="n">
        <v>8784.860976</v>
      </c>
      <c r="O336" s="23" t="n">
        <v>9626.9255936</v>
      </c>
      <c r="P336" s="24" t="n">
        <v>45.96725855</v>
      </c>
      <c r="Q336" s="24" t="n">
        <v>31.3074495</v>
      </c>
      <c r="R336" s="24" t="n">
        <v>31.3074495</v>
      </c>
      <c r="S336" s="25" t="n">
        <v>0.0052325538987562</v>
      </c>
      <c r="T336" s="26" t="n">
        <v>0.503993302215383</v>
      </c>
      <c r="U336" s="23" t="n">
        <v>0</v>
      </c>
      <c r="V336" s="26" t="n">
        <v>-0.06</v>
      </c>
      <c r="W336" s="26" t="n">
        <v>-0.120911820286057</v>
      </c>
      <c r="X336" s="26" t="n">
        <v>-0.13097397632516</v>
      </c>
      <c r="Y336" s="26" t="n">
        <v>-0.0159942825393472</v>
      </c>
      <c r="Z336" s="26" t="n">
        <v>0.0871460718306045</v>
      </c>
      <c r="AA336" s="26" t="n">
        <v>-0.219700726795118</v>
      </c>
      <c r="AB336" s="26" t="n">
        <v>-0.268771846361735</v>
      </c>
      <c r="AC336" s="27" t="n">
        <v>1.14875900547182</v>
      </c>
      <c r="AD336" s="28" t="n">
        <f aca="false">Params!$B$6*Params!$B$7*$R336</f>
        <v>18.7844697</v>
      </c>
      <c r="AE336" s="29" t="n">
        <f aca="false">MIN(Params!$B$9,AD336/Params!$B$4)</f>
        <v>0.0375689394</v>
      </c>
      <c r="AF336" s="29" t="n">
        <f aca="false">MIN(Params!$B$9,AD336/Params!$B$5)</f>
        <v>0.0187844697</v>
      </c>
      <c r="AG336" s="28" t="n">
        <f aca="false">IF($R336&gt;0,Params!$B$9*Params!$B$4/(Params!$B$6*$R336),"n/a")</f>
        <v>4.79119194937933</v>
      </c>
      <c r="AH336" s="28" t="n">
        <f aca="false">IF($R336&gt;0,Params!$B$9*Params!$B$5/(Params!$B$6*$R336),"n/a")</f>
        <v>9.58238389875866</v>
      </c>
      <c r="AI336" s="28" t="n">
        <f aca="false">IF($R336&gt;0,Params!$B$15*Params!$B$4/(Params!$B$6*$R336),"n/a")</f>
        <v>1.59706398312644</v>
      </c>
      <c r="AJ336" s="29" t="n">
        <f aca="false">MIN(Params!$B$9,AD336*Params!$B$8/Params!$B$4)</f>
        <v>0.0187844697</v>
      </c>
      <c r="AK336" s="28" t="n">
        <f aca="false">IF($R336&gt;0,Params!$B$9*Params!$B$4/(Params!$B$6*$R336*Params!$B$8),"n/a")</f>
        <v>9.58238389875866</v>
      </c>
      <c r="AL336" s="27" t="str">
        <f aca="false">IFERROR(ciq($D336,"IQ_PE_EXCL"),"")</f>
        <v/>
      </c>
      <c r="AM336" s="27" t="str">
        <f aca="false">IFERROR(ciq($D336,"IQ_PE_EXCL_FWD_CIQ"),"")</f>
        <v/>
      </c>
      <c r="AN336" s="27" t="str">
        <f aca="false">IFERROR(ciq($D336,"IQ_PBV"),"")</f>
        <v/>
      </c>
      <c r="AO336" s="27" t="str">
        <f aca="false">IFERROR(ciq($D336,"IQ_TEV_EBITDA"),"")</f>
        <v/>
      </c>
      <c r="AP336" s="24" t="str">
        <f aca="false">IFERROR(ciq($D336,"IQ_RETURN_EQUITY"),"")</f>
        <v/>
      </c>
      <c r="AQ336" s="24" t="str">
        <f aca="false">IFERROR(ciq($D336,"IQ_RETURN_CAPITAL"),"")</f>
        <v/>
      </c>
      <c r="AR336" s="24" t="str">
        <f aca="false">IFERROR(ciq($D336,"IQ_TOTAL_REV_1YR_ANN_GROWTH"),"")</f>
        <v/>
      </c>
      <c r="AS336" s="24" t="str">
        <f aca="false">IFERROR(ciq($D336,"IQ_EPS_1YR_ANN_GROWTH"),"")</f>
        <v/>
      </c>
      <c r="AT336" s="24" t="str">
        <f aca="false">IFERROR(ciq($D336,"IQ_DIVIDEND_YIELD"),"")</f>
        <v/>
      </c>
      <c r="AU336" s="24" t="str">
        <f aca="false">IFERROR(ciq($D336,"IQ_NET_DEBT"),"")</f>
        <v/>
      </c>
    </row>
    <row r="337" customFormat="false" ht="15" hidden="false" customHeight="false" outlineLevel="0" collapsed="false">
      <c r="A337" s="8" t="s">
        <v>1748</v>
      </c>
      <c r="B337" s="6" t="s">
        <v>1749</v>
      </c>
      <c r="C337" s="8" t="s">
        <v>72</v>
      </c>
      <c r="D337" s="8" t="s">
        <v>1750</v>
      </c>
      <c r="E337" s="8" t="s">
        <v>1751</v>
      </c>
      <c r="F337" s="6" t="s">
        <v>951</v>
      </c>
      <c r="G337" s="8" t="s">
        <v>57</v>
      </c>
      <c r="H337" s="8" t="s">
        <v>66</v>
      </c>
      <c r="I337" s="8"/>
      <c r="J337" s="8"/>
      <c r="K337" s="8"/>
      <c r="L337" s="8"/>
      <c r="M337" s="23" t="n">
        <v>37000</v>
      </c>
      <c r="N337" s="23" t="n">
        <v>8707.55336</v>
      </c>
      <c r="O337" s="23" t="n">
        <v>9262.9540608</v>
      </c>
      <c r="P337" s="24" t="n">
        <v>21.7132078375</v>
      </c>
      <c r="Q337" s="24" t="n">
        <v>19.2719180791667</v>
      </c>
      <c r="R337" s="24" t="n">
        <v>19.2719180791667</v>
      </c>
      <c r="S337" s="25" t="n">
        <v>0.00249360606128976</v>
      </c>
      <c r="T337" s="26" t="n">
        <v>0.456857250412246</v>
      </c>
      <c r="U337" s="23" t="n">
        <v>0</v>
      </c>
      <c r="V337" s="26" t="n">
        <v>-0.06</v>
      </c>
      <c r="W337" s="26" t="n">
        <v>-0.0427874077005364</v>
      </c>
      <c r="X337" s="26" t="n">
        <v>0.237386485184954</v>
      </c>
      <c r="Y337" s="26" t="n">
        <v>-0.148255038872131</v>
      </c>
      <c r="Z337" s="26" t="n">
        <v>-0.198040385086451</v>
      </c>
      <c r="AA337" s="26" t="n">
        <v>-0.123249064097635</v>
      </c>
      <c r="AB337" s="26" t="n">
        <v>-0.279904264107774</v>
      </c>
      <c r="AC337" s="27" t="n">
        <v>0.988708965816428</v>
      </c>
      <c r="AD337" s="28" t="n">
        <f aca="false">Params!$B$6*Params!$B$7*$R337</f>
        <v>11.5631508475</v>
      </c>
      <c r="AE337" s="29" t="n">
        <f aca="false">MIN(Params!$B$9,AD337/Params!$B$4)</f>
        <v>0.023126301695</v>
      </c>
      <c r="AF337" s="29" t="n">
        <f aca="false">MIN(Params!$B$9,AD337/Params!$B$5)</f>
        <v>0.0115631508475</v>
      </c>
      <c r="AG337" s="28" t="n">
        <f aca="false">IF($R337&gt;0,Params!$B$9*Params!$B$4/(Params!$B$6*$R337),"n/a")</f>
        <v>7.7833456630429</v>
      </c>
      <c r="AH337" s="28" t="n">
        <f aca="false">IF($R337&gt;0,Params!$B$9*Params!$B$5/(Params!$B$6*$R337),"n/a")</f>
        <v>15.5666913260858</v>
      </c>
      <c r="AI337" s="28" t="n">
        <f aca="false">IF($R337&gt;0,Params!$B$15*Params!$B$4/(Params!$B$6*$R337),"n/a")</f>
        <v>2.59444855434763</v>
      </c>
      <c r="AJ337" s="29" t="n">
        <f aca="false">MIN(Params!$B$9,AD337*Params!$B$8/Params!$B$4)</f>
        <v>0.0115631508475</v>
      </c>
      <c r="AK337" s="28" t="n">
        <f aca="false">IF($R337&gt;0,Params!$B$9*Params!$B$4/(Params!$B$6*$R337*Params!$B$8),"n/a")</f>
        <v>15.5666913260858</v>
      </c>
      <c r="AL337" s="27" t="str">
        <f aca="false">IFERROR(ciq($D337,"IQ_PE_EXCL"),"")</f>
        <v/>
      </c>
      <c r="AM337" s="27" t="str">
        <f aca="false">IFERROR(ciq($D337,"IQ_PE_EXCL_FWD_CIQ"),"")</f>
        <v/>
      </c>
      <c r="AN337" s="27" t="str">
        <f aca="false">IFERROR(ciq($D337,"IQ_PBV"),"")</f>
        <v/>
      </c>
      <c r="AO337" s="27" t="str">
        <f aca="false">IFERROR(ciq($D337,"IQ_TEV_EBITDA"),"")</f>
        <v/>
      </c>
      <c r="AP337" s="24" t="str">
        <f aca="false">IFERROR(ciq($D337,"IQ_RETURN_EQUITY"),"")</f>
        <v/>
      </c>
      <c r="AQ337" s="24" t="str">
        <f aca="false">IFERROR(ciq($D337,"IQ_RETURN_CAPITAL"),"")</f>
        <v/>
      </c>
      <c r="AR337" s="24" t="str">
        <f aca="false">IFERROR(ciq($D337,"IQ_TOTAL_REV_1YR_ANN_GROWTH"),"")</f>
        <v/>
      </c>
      <c r="AS337" s="24" t="str">
        <f aca="false">IFERROR(ciq($D337,"IQ_EPS_1YR_ANN_GROWTH"),"")</f>
        <v/>
      </c>
      <c r="AT337" s="24" t="str">
        <f aca="false">IFERROR(ciq($D337,"IQ_DIVIDEND_YIELD"),"")</f>
        <v/>
      </c>
      <c r="AU337" s="24" t="str">
        <f aca="false">IFERROR(ciq($D337,"IQ_NET_DEBT"),"")</f>
        <v/>
      </c>
    </row>
    <row r="338" customFormat="false" ht="15" hidden="false" customHeight="false" outlineLevel="0" collapsed="false">
      <c r="A338" s="8" t="s">
        <v>1752</v>
      </c>
      <c r="B338" s="8" t="s">
        <v>1753</v>
      </c>
      <c r="C338" s="8" t="s">
        <v>72</v>
      </c>
      <c r="D338" s="8" t="s">
        <v>1754</v>
      </c>
      <c r="E338" s="8" t="s">
        <v>1755</v>
      </c>
      <c r="F338" s="6" t="s">
        <v>1756</v>
      </c>
      <c r="G338" s="8" t="s">
        <v>57</v>
      </c>
      <c r="H338" s="8" t="s">
        <v>66</v>
      </c>
      <c r="I338" s="8"/>
      <c r="J338" s="8"/>
      <c r="K338" s="8"/>
      <c r="L338" s="8"/>
      <c r="M338" s="23" t="n">
        <v>5210</v>
      </c>
      <c r="N338" s="23" t="n">
        <v>8626.8637237</v>
      </c>
      <c r="O338" s="23" t="n">
        <v>8877.71727433</v>
      </c>
      <c r="P338" s="24" t="n">
        <v>41.26041135</v>
      </c>
      <c r="Q338" s="24" t="n">
        <v>28.457769561</v>
      </c>
      <c r="R338" s="24" t="n">
        <v>28.457769561</v>
      </c>
      <c r="S338" s="25" t="n">
        <v>0.00478278232640305</v>
      </c>
      <c r="T338" s="26" t="n">
        <v>0.543196426687531</v>
      </c>
      <c r="U338" s="23" t="n">
        <v>0</v>
      </c>
      <c r="V338" s="26" t="n">
        <v>-0.06</v>
      </c>
      <c r="W338" s="26" t="n">
        <v>0.0138385141788109</v>
      </c>
      <c r="X338" s="26" t="n">
        <v>0.199654936430683</v>
      </c>
      <c r="Y338" s="26" t="n">
        <v>0.0680616873287301</v>
      </c>
      <c r="Z338" s="26" t="n">
        <v>-0.124037186504399</v>
      </c>
      <c r="AA338" s="26" t="n">
        <v>0.0848219574825722</v>
      </c>
      <c r="AB338" s="26" t="n">
        <v>-0.206713491447444</v>
      </c>
      <c r="AC338" s="27" t="n">
        <v>1.64566503234229</v>
      </c>
      <c r="AD338" s="28" t="n">
        <f aca="false">Params!$B$6*Params!$B$7*$R338</f>
        <v>17.0746617366</v>
      </c>
      <c r="AE338" s="29" t="n">
        <f aca="false">MIN(Params!$B$9,AD338/Params!$B$4)</f>
        <v>0.0341493234732</v>
      </c>
      <c r="AF338" s="29" t="n">
        <f aca="false">MIN(Params!$B$9,AD338/Params!$B$5)</f>
        <v>0.0170746617366</v>
      </c>
      <c r="AG338" s="28" t="n">
        <f aca="false">IF($R338&gt;0,Params!$B$9*Params!$B$4/(Params!$B$6*$R338),"n/a")</f>
        <v>5.27096825626024</v>
      </c>
      <c r="AH338" s="28" t="n">
        <f aca="false">IF($R338&gt;0,Params!$B$9*Params!$B$5/(Params!$B$6*$R338),"n/a")</f>
        <v>10.5419365125205</v>
      </c>
      <c r="AI338" s="28" t="n">
        <f aca="false">IF($R338&gt;0,Params!$B$15*Params!$B$4/(Params!$B$6*$R338),"n/a")</f>
        <v>1.75698941875341</v>
      </c>
      <c r="AJ338" s="29" t="n">
        <f aca="false">MIN(Params!$B$9,AD338*Params!$B$8/Params!$B$4)</f>
        <v>0.0170746617366</v>
      </c>
      <c r="AK338" s="28" t="n">
        <f aca="false">IF($R338&gt;0,Params!$B$9*Params!$B$4/(Params!$B$6*$R338*Params!$B$8),"n/a")</f>
        <v>10.5419365125205</v>
      </c>
      <c r="AL338" s="27" t="str">
        <f aca="false">IFERROR(ciq($D338,"IQ_PE_EXCL"),"")</f>
        <v/>
      </c>
      <c r="AM338" s="27" t="str">
        <f aca="false">IFERROR(ciq($D338,"IQ_PE_EXCL_FWD_CIQ"),"")</f>
        <v/>
      </c>
      <c r="AN338" s="27" t="str">
        <f aca="false">IFERROR(ciq($D338,"IQ_PBV"),"")</f>
        <v/>
      </c>
      <c r="AO338" s="27" t="str">
        <f aca="false">IFERROR(ciq($D338,"IQ_TEV_EBITDA"),"")</f>
        <v/>
      </c>
      <c r="AP338" s="24" t="str">
        <f aca="false">IFERROR(ciq($D338,"IQ_RETURN_EQUITY"),"")</f>
        <v/>
      </c>
      <c r="AQ338" s="24" t="str">
        <f aca="false">IFERROR(ciq($D338,"IQ_RETURN_CAPITAL"),"")</f>
        <v/>
      </c>
      <c r="AR338" s="24" t="str">
        <f aca="false">IFERROR(ciq($D338,"IQ_TOTAL_REV_1YR_ANN_GROWTH"),"")</f>
        <v/>
      </c>
      <c r="AS338" s="24" t="str">
        <f aca="false">IFERROR(ciq($D338,"IQ_EPS_1YR_ANN_GROWTH"),"")</f>
        <v/>
      </c>
      <c r="AT338" s="24" t="str">
        <f aca="false">IFERROR(ciq($D338,"IQ_DIVIDEND_YIELD"),"")</f>
        <v/>
      </c>
      <c r="AU338" s="24" t="str">
        <f aca="false">IFERROR(ciq($D338,"IQ_NET_DEBT"),"")</f>
        <v/>
      </c>
    </row>
    <row r="339" customFormat="false" ht="15" hidden="false" customHeight="false" outlineLevel="0" collapsed="false">
      <c r="A339" s="8" t="s">
        <v>1757</v>
      </c>
      <c r="B339" s="8" t="s">
        <v>1758</v>
      </c>
      <c r="C339" s="8" t="s">
        <v>74</v>
      </c>
      <c r="D339" s="8" t="s">
        <v>1759</v>
      </c>
      <c r="E339" s="8" t="s">
        <v>1760</v>
      </c>
      <c r="F339" s="6" t="s">
        <v>627</v>
      </c>
      <c r="G339" s="8" t="s">
        <v>57</v>
      </c>
      <c r="H339" s="8" t="s">
        <v>66</v>
      </c>
      <c r="I339" s="8"/>
      <c r="J339" s="8"/>
      <c r="K339" s="8"/>
      <c r="L339" s="8"/>
      <c r="M339" s="23" t="n">
        <v>23900</v>
      </c>
      <c r="N339" s="23" t="n">
        <v>8582.19364</v>
      </c>
      <c r="O339" s="23" t="n">
        <v>8527.432781</v>
      </c>
      <c r="P339" s="24" t="n">
        <v>29.1377638625</v>
      </c>
      <c r="Q339" s="24" t="n">
        <v>25.2436697808333</v>
      </c>
      <c r="R339" s="24" t="n">
        <v>25.2436697808333</v>
      </c>
      <c r="S339" s="25" t="n">
        <v>0.00339514174169811</v>
      </c>
      <c r="T339" s="26" t="n">
        <v>0.643798640591232</v>
      </c>
      <c r="U339" s="23" t="n">
        <v>0</v>
      </c>
      <c r="V339" s="26" t="n">
        <v>-0.06</v>
      </c>
      <c r="W339" s="26" t="n">
        <v>0.0989087001624689</v>
      </c>
      <c r="X339" s="26" t="n">
        <v>-0.016347560784051</v>
      </c>
      <c r="Y339" s="26" t="n">
        <v>-0.181434289832549</v>
      </c>
      <c r="Z339" s="26" t="n">
        <v>0.021292153345329</v>
      </c>
      <c r="AA339" s="26" t="n">
        <v>0.0696550727130036</v>
      </c>
      <c r="AB339" s="26" t="n">
        <v>-0.329642906600007</v>
      </c>
      <c r="AC339" s="27" t="n">
        <v>0.94159408266689</v>
      </c>
      <c r="AD339" s="28" t="n">
        <f aca="false">Params!$B$6*Params!$B$7*$R339</f>
        <v>15.1462018685</v>
      </c>
      <c r="AE339" s="29" t="n">
        <f aca="false">MIN(Params!$B$9,AD339/Params!$B$4)</f>
        <v>0.030292403737</v>
      </c>
      <c r="AF339" s="29" t="n">
        <f aca="false">MIN(Params!$B$9,AD339/Params!$B$5)</f>
        <v>0.0151462018685</v>
      </c>
      <c r="AG339" s="28" t="n">
        <f aca="false">IF($R339&gt;0,Params!$B$9*Params!$B$4/(Params!$B$6*$R339),"n/a")</f>
        <v>5.94208375019586</v>
      </c>
      <c r="AH339" s="28" t="n">
        <f aca="false">IF($R339&gt;0,Params!$B$9*Params!$B$5/(Params!$B$6*$R339),"n/a")</f>
        <v>11.8841675003917</v>
      </c>
      <c r="AI339" s="28" t="n">
        <f aca="false">IF($R339&gt;0,Params!$B$15*Params!$B$4/(Params!$B$6*$R339),"n/a")</f>
        <v>1.98069458339862</v>
      </c>
      <c r="AJ339" s="29" t="n">
        <f aca="false">MIN(Params!$B$9,AD339*Params!$B$8/Params!$B$4)</f>
        <v>0.0151462018685</v>
      </c>
      <c r="AK339" s="28" t="n">
        <f aca="false">IF($R339&gt;0,Params!$B$9*Params!$B$4/(Params!$B$6*$R339*Params!$B$8),"n/a")</f>
        <v>11.8841675003917</v>
      </c>
      <c r="AL339" s="27" t="str">
        <f aca="false">IFERROR(ciq($D339,"IQ_PE_EXCL"),"")</f>
        <v/>
      </c>
      <c r="AM339" s="27" t="str">
        <f aca="false">IFERROR(ciq($D339,"IQ_PE_EXCL_FWD_CIQ"),"")</f>
        <v/>
      </c>
      <c r="AN339" s="27" t="str">
        <f aca="false">IFERROR(ciq($D339,"IQ_PBV"),"")</f>
        <v/>
      </c>
      <c r="AO339" s="27" t="str">
        <f aca="false">IFERROR(ciq($D339,"IQ_TEV_EBITDA"),"")</f>
        <v/>
      </c>
      <c r="AP339" s="24" t="str">
        <f aca="false">IFERROR(ciq($D339,"IQ_RETURN_EQUITY"),"")</f>
        <v/>
      </c>
      <c r="AQ339" s="24" t="str">
        <f aca="false">IFERROR(ciq($D339,"IQ_RETURN_CAPITAL"),"")</f>
        <v/>
      </c>
      <c r="AR339" s="24" t="str">
        <f aca="false">IFERROR(ciq($D339,"IQ_TOTAL_REV_1YR_ANN_GROWTH"),"")</f>
        <v/>
      </c>
      <c r="AS339" s="24" t="str">
        <f aca="false">IFERROR(ciq($D339,"IQ_EPS_1YR_ANN_GROWTH"),"")</f>
        <v/>
      </c>
      <c r="AT339" s="24" t="str">
        <f aca="false">IFERROR(ciq($D339,"IQ_DIVIDEND_YIELD"),"")</f>
        <v/>
      </c>
      <c r="AU339" s="24" t="str">
        <f aca="false">IFERROR(ciq($D339,"IQ_NET_DEBT"),"")</f>
        <v/>
      </c>
    </row>
    <row r="340" customFormat="false" ht="15" hidden="false" customHeight="false" outlineLevel="0" collapsed="false">
      <c r="A340" s="8" t="s">
        <v>1761</v>
      </c>
      <c r="B340" s="6" t="s">
        <v>1762</v>
      </c>
      <c r="C340" s="8" t="s">
        <v>74</v>
      </c>
      <c r="D340" s="8" t="s">
        <v>1763</v>
      </c>
      <c r="E340" s="8" t="s">
        <v>1764</v>
      </c>
      <c r="F340" s="6" t="s">
        <v>721</v>
      </c>
      <c r="G340" s="8" t="s">
        <v>57</v>
      </c>
      <c r="H340" s="8" t="s">
        <v>66</v>
      </c>
      <c r="I340" s="8"/>
      <c r="J340" s="8"/>
      <c r="K340" s="8"/>
      <c r="L340" s="8"/>
      <c r="M340" s="23" t="n">
        <v>41500</v>
      </c>
      <c r="N340" s="23" t="n">
        <v>8509.152115</v>
      </c>
      <c r="O340" s="23" t="n">
        <v>8360.49825275</v>
      </c>
      <c r="P340" s="24" t="n">
        <v>27.8821475625</v>
      </c>
      <c r="Q340" s="24" t="n">
        <v>25.4068411083333</v>
      </c>
      <c r="R340" s="24" t="n">
        <v>25.4068411083333</v>
      </c>
      <c r="S340" s="25" t="n">
        <v>0.00327672454149094</v>
      </c>
      <c r="T340" s="26" t="n">
        <v>0.866234265393821</v>
      </c>
      <c r="U340" s="23" t="n">
        <v>1</v>
      </c>
      <c r="V340" s="26" t="n">
        <v>-0.06</v>
      </c>
      <c r="W340" s="26" t="n">
        <v>0.206541081605419</v>
      </c>
      <c r="X340" s="26" t="n">
        <v>-0.036073020148608</v>
      </c>
      <c r="Y340" s="26" t="n">
        <v>-0.334916862526246</v>
      </c>
      <c r="Z340" s="26" t="n">
        <v>0.112453227790994</v>
      </c>
      <c r="AA340" s="26" t="n">
        <v>-0.0363761906394554</v>
      </c>
      <c r="AB340" s="26" t="n">
        <v>-0.478618585739974</v>
      </c>
      <c r="AC340" s="27" t="n">
        <v>0.601422887553701</v>
      </c>
      <c r="AD340" s="28" t="n">
        <f aca="false">Params!$B$6*Params!$B$7*$R340</f>
        <v>15.244104665</v>
      </c>
      <c r="AE340" s="29" t="n">
        <f aca="false">MIN(Params!$B$9,AD340/Params!$B$4)</f>
        <v>0.03048820933</v>
      </c>
      <c r="AF340" s="29" t="n">
        <f aca="false">MIN(Params!$B$9,AD340/Params!$B$5)</f>
        <v>0.015244104665</v>
      </c>
      <c r="AG340" s="28" t="n">
        <f aca="false">IF($R340&gt;0,Params!$B$9*Params!$B$4/(Params!$B$6*$R340),"n/a")</f>
        <v>5.90392167843332</v>
      </c>
      <c r="AH340" s="28" t="n">
        <f aca="false">IF($R340&gt;0,Params!$B$9*Params!$B$5/(Params!$B$6*$R340),"n/a")</f>
        <v>11.8078433568666</v>
      </c>
      <c r="AI340" s="28" t="n">
        <f aca="false">IF($R340&gt;0,Params!$B$15*Params!$B$4/(Params!$B$6*$R340),"n/a")</f>
        <v>1.96797389281111</v>
      </c>
      <c r="AJ340" s="29" t="n">
        <f aca="false">MIN(Params!$B$9,AD340*Params!$B$8/Params!$B$4)</f>
        <v>0.015244104665</v>
      </c>
      <c r="AK340" s="28" t="n">
        <f aca="false">IF($R340&gt;0,Params!$B$9*Params!$B$4/(Params!$B$6*$R340*Params!$B$8),"n/a")</f>
        <v>11.8078433568666</v>
      </c>
      <c r="AL340" s="27" t="str">
        <f aca="false">IFERROR(ciq($D340,"IQ_PE_EXCL"),"")</f>
        <v/>
      </c>
      <c r="AM340" s="27" t="str">
        <f aca="false">IFERROR(ciq($D340,"IQ_PE_EXCL_FWD_CIQ"),"")</f>
        <v/>
      </c>
      <c r="AN340" s="27" t="str">
        <f aca="false">IFERROR(ciq($D340,"IQ_PBV"),"")</f>
        <v/>
      </c>
      <c r="AO340" s="27" t="str">
        <f aca="false">IFERROR(ciq($D340,"IQ_TEV_EBITDA"),"")</f>
        <v/>
      </c>
      <c r="AP340" s="24" t="str">
        <f aca="false">IFERROR(ciq($D340,"IQ_RETURN_EQUITY"),"")</f>
        <v/>
      </c>
      <c r="AQ340" s="24" t="str">
        <f aca="false">IFERROR(ciq($D340,"IQ_RETURN_CAPITAL"),"")</f>
        <v/>
      </c>
      <c r="AR340" s="24" t="str">
        <f aca="false">IFERROR(ciq($D340,"IQ_TOTAL_REV_1YR_ANN_GROWTH"),"")</f>
        <v/>
      </c>
      <c r="AS340" s="24" t="str">
        <f aca="false">IFERROR(ciq($D340,"IQ_EPS_1YR_ANN_GROWTH"),"")</f>
        <v/>
      </c>
      <c r="AT340" s="24" t="str">
        <f aca="false">IFERROR(ciq($D340,"IQ_DIVIDEND_YIELD"),"")</f>
        <v/>
      </c>
      <c r="AU340" s="24" t="str">
        <f aca="false">IFERROR(ciq($D340,"IQ_NET_DEBT"),"")</f>
        <v/>
      </c>
    </row>
    <row r="341" customFormat="false" ht="15" hidden="false" customHeight="false" outlineLevel="0" collapsed="false">
      <c r="A341" s="8" t="s">
        <v>1765</v>
      </c>
      <c r="B341" s="8" t="s">
        <v>1766</v>
      </c>
      <c r="C341" s="8" t="s">
        <v>72</v>
      </c>
      <c r="D341" s="8" t="s">
        <v>1767</v>
      </c>
      <c r="E341" s="8" t="s">
        <v>1768</v>
      </c>
      <c r="F341" s="8"/>
      <c r="G341" s="8" t="s">
        <v>57</v>
      </c>
      <c r="H341" s="8" t="s">
        <v>66</v>
      </c>
      <c r="I341" s="8"/>
      <c r="J341" s="8"/>
      <c r="K341" s="8"/>
      <c r="L341" s="8"/>
      <c r="M341" s="23" t="n">
        <v>41400</v>
      </c>
      <c r="N341" s="23" t="n">
        <v>8209.968174</v>
      </c>
      <c r="O341" s="23" t="n">
        <v>8388.941514025</v>
      </c>
      <c r="P341" s="24" t="n">
        <v>23.3269076125</v>
      </c>
      <c r="Q341" s="24" t="n">
        <v>47.0991003541667</v>
      </c>
      <c r="R341" s="24" t="n">
        <v>23.3269076125</v>
      </c>
      <c r="S341" s="25" t="n">
        <v>0.00284129086960088</v>
      </c>
      <c r="T341" s="26" t="n">
        <v>0.678873986559449</v>
      </c>
      <c r="U341" s="23" t="n">
        <v>0</v>
      </c>
      <c r="V341" s="26" t="n">
        <v>-0.06</v>
      </c>
      <c r="W341" s="26" t="n">
        <v>-0.0695055030758153</v>
      </c>
      <c r="X341" s="26" t="n">
        <v>-0.11924333476829</v>
      </c>
      <c r="Y341" s="26" t="n">
        <v>-0.105084261624176</v>
      </c>
      <c r="Z341" s="26" t="n">
        <v>-0.0146708616779573</v>
      </c>
      <c r="AA341" s="26" t="n">
        <v>-0.110557923396747</v>
      </c>
      <c r="AB341" s="26" t="n">
        <v>-0.359232409757652</v>
      </c>
      <c r="AC341" s="27" t="n">
        <v>0.401041043858604</v>
      </c>
      <c r="AD341" s="28" t="n">
        <f aca="false">Params!$B$6*Params!$B$7*$R341</f>
        <v>13.9961445675</v>
      </c>
      <c r="AE341" s="29" t="n">
        <f aca="false">MIN(Params!$B$9,AD341/Params!$B$4)</f>
        <v>0.027992289135</v>
      </c>
      <c r="AF341" s="29" t="n">
        <f aca="false">MIN(Params!$B$9,AD341/Params!$B$5)</f>
        <v>0.0139961445675</v>
      </c>
      <c r="AG341" s="28" t="n">
        <f aca="false">IF($R341&gt;0,Params!$B$9*Params!$B$4/(Params!$B$6*$R341),"n/a")</f>
        <v>6.43034226789755</v>
      </c>
      <c r="AH341" s="28" t="n">
        <f aca="false">IF($R341&gt;0,Params!$B$9*Params!$B$5/(Params!$B$6*$R341),"n/a")</f>
        <v>12.8606845357951</v>
      </c>
      <c r="AI341" s="28" t="n">
        <f aca="false">IF($R341&gt;0,Params!$B$15*Params!$B$4/(Params!$B$6*$R341),"n/a")</f>
        <v>2.14344742263252</v>
      </c>
      <c r="AJ341" s="29" t="n">
        <f aca="false">MIN(Params!$B$9,AD341*Params!$B$8/Params!$B$4)</f>
        <v>0.0139961445675</v>
      </c>
      <c r="AK341" s="28" t="n">
        <f aca="false">IF($R341&gt;0,Params!$B$9*Params!$B$4/(Params!$B$6*$R341*Params!$B$8),"n/a")</f>
        <v>12.8606845357951</v>
      </c>
      <c r="AL341" s="27" t="str">
        <f aca="false">IFERROR(ciq($D341,"IQ_PE_EXCL"),"")</f>
        <v/>
      </c>
      <c r="AM341" s="27" t="str">
        <f aca="false">IFERROR(ciq($D341,"IQ_PE_EXCL_FWD_CIQ"),"")</f>
        <v/>
      </c>
      <c r="AN341" s="27" t="str">
        <f aca="false">IFERROR(ciq($D341,"IQ_PBV"),"")</f>
        <v/>
      </c>
      <c r="AO341" s="27" t="str">
        <f aca="false">IFERROR(ciq($D341,"IQ_TEV_EBITDA"),"")</f>
        <v/>
      </c>
      <c r="AP341" s="24" t="str">
        <f aca="false">IFERROR(ciq($D341,"IQ_RETURN_EQUITY"),"")</f>
        <v/>
      </c>
      <c r="AQ341" s="24" t="str">
        <f aca="false">IFERROR(ciq($D341,"IQ_RETURN_CAPITAL"),"")</f>
        <v/>
      </c>
      <c r="AR341" s="24" t="str">
        <f aca="false">IFERROR(ciq($D341,"IQ_TOTAL_REV_1YR_ANN_GROWTH"),"")</f>
        <v/>
      </c>
      <c r="AS341" s="24" t="str">
        <f aca="false">IFERROR(ciq($D341,"IQ_EPS_1YR_ANN_GROWTH"),"")</f>
        <v/>
      </c>
      <c r="AT341" s="24" t="str">
        <f aca="false">IFERROR(ciq($D341,"IQ_DIVIDEND_YIELD"),"")</f>
        <v/>
      </c>
      <c r="AU341" s="24" t="str">
        <f aca="false">IFERROR(ciq($D341,"IQ_NET_DEBT"),"")</f>
        <v/>
      </c>
    </row>
    <row r="342" customFormat="false" ht="15" hidden="false" customHeight="false" outlineLevel="0" collapsed="false">
      <c r="A342" s="8" t="s">
        <v>1769</v>
      </c>
      <c r="B342" s="6" t="s">
        <v>1770</v>
      </c>
      <c r="C342" s="8" t="s">
        <v>74</v>
      </c>
      <c r="D342" s="8" t="s">
        <v>1771</v>
      </c>
      <c r="E342" s="8" t="s">
        <v>1772</v>
      </c>
      <c r="F342" s="8" t="s">
        <v>587</v>
      </c>
      <c r="G342" s="8" t="s">
        <v>57</v>
      </c>
      <c r="H342" s="8" t="s">
        <v>66</v>
      </c>
      <c r="I342" s="8"/>
      <c r="J342" s="8"/>
      <c r="K342" s="8"/>
      <c r="L342" s="8"/>
      <c r="M342" s="23" t="n">
        <v>30400</v>
      </c>
      <c r="N342" s="23" t="n">
        <v>8073.438656</v>
      </c>
      <c r="O342" s="23" t="n">
        <v>7299.9554295</v>
      </c>
      <c r="P342" s="24" t="n">
        <v>59.9162017875</v>
      </c>
      <c r="Q342" s="24" t="n">
        <v>49.091479105</v>
      </c>
      <c r="R342" s="24" t="n">
        <v>49.091479105</v>
      </c>
      <c r="S342" s="25" t="n">
        <v>0.00742139803625951</v>
      </c>
      <c r="T342" s="26" t="n">
        <v>0.848740155001438</v>
      </c>
      <c r="U342" s="23" t="n">
        <v>0</v>
      </c>
      <c r="V342" s="26" t="n">
        <v>-0.06</v>
      </c>
      <c r="W342" s="26" t="n">
        <v>0.107384822217417</v>
      </c>
      <c r="X342" s="26" t="n">
        <v>0.0857655024083555</v>
      </c>
      <c r="Y342" s="26" t="n">
        <v>-0.0528840227830592</v>
      </c>
      <c r="Z342" s="26" t="n">
        <v>0.180380315358832</v>
      </c>
      <c r="AA342" s="26" t="n">
        <v>-0.00374465666962409</v>
      </c>
      <c r="AB342" s="26" t="n">
        <v>-0.370542999607736</v>
      </c>
      <c r="AC342" s="27" t="n">
        <v>0.638028383225924</v>
      </c>
      <c r="AD342" s="28" t="n">
        <f aca="false">Params!$B$6*Params!$B$7*$R342</f>
        <v>29.454887463</v>
      </c>
      <c r="AE342" s="29" t="n">
        <f aca="false">MIN(Params!$B$9,AD342/Params!$B$4)</f>
        <v>0.058909774926</v>
      </c>
      <c r="AF342" s="29" t="n">
        <f aca="false">MIN(Params!$B$9,AD342/Params!$B$5)</f>
        <v>0.029454887463</v>
      </c>
      <c r="AG342" s="28" t="n">
        <f aca="false">IF($R342&gt;0,Params!$B$9*Params!$B$4/(Params!$B$6*$R342),"n/a")</f>
        <v>3.0555200766954</v>
      </c>
      <c r="AH342" s="28" t="n">
        <f aca="false">IF($R342&gt;0,Params!$B$9*Params!$B$5/(Params!$B$6*$R342),"n/a")</f>
        <v>6.11104015339079</v>
      </c>
      <c r="AI342" s="28" t="n">
        <f aca="false">IF($R342&gt;0,Params!$B$15*Params!$B$4/(Params!$B$6*$R342),"n/a")</f>
        <v>1.0185066922318</v>
      </c>
      <c r="AJ342" s="29" t="n">
        <f aca="false">MIN(Params!$B$9,AD342*Params!$B$8/Params!$B$4)</f>
        <v>0.029454887463</v>
      </c>
      <c r="AK342" s="28" t="n">
        <f aca="false">IF($R342&gt;0,Params!$B$9*Params!$B$4/(Params!$B$6*$R342*Params!$B$8),"n/a")</f>
        <v>6.11104015339079</v>
      </c>
      <c r="AL342" s="27" t="str">
        <f aca="false">IFERROR(ciq($D342,"IQ_PE_EXCL"),"")</f>
        <v/>
      </c>
      <c r="AM342" s="27" t="str">
        <f aca="false">IFERROR(ciq($D342,"IQ_PE_EXCL_FWD_CIQ"),"")</f>
        <v/>
      </c>
      <c r="AN342" s="27" t="str">
        <f aca="false">IFERROR(ciq($D342,"IQ_PBV"),"")</f>
        <v/>
      </c>
      <c r="AO342" s="27" t="str">
        <f aca="false">IFERROR(ciq($D342,"IQ_TEV_EBITDA"),"")</f>
        <v/>
      </c>
      <c r="AP342" s="24" t="str">
        <f aca="false">IFERROR(ciq($D342,"IQ_RETURN_EQUITY"),"")</f>
        <v/>
      </c>
      <c r="AQ342" s="24" t="str">
        <f aca="false">IFERROR(ciq($D342,"IQ_RETURN_CAPITAL"),"")</f>
        <v/>
      </c>
      <c r="AR342" s="24" t="str">
        <f aca="false">IFERROR(ciq($D342,"IQ_TOTAL_REV_1YR_ANN_GROWTH"),"")</f>
        <v/>
      </c>
      <c r="AS342" s="24" t="str">
        <f aca="false">IFERROR(ciq($D342,"IQ_EPS_1YR_ANN_GROWTH"),"")</f>
        <v/>
      </c>
      <c r="AT342" s="24" t="str">
        <f aca="false">IFERROR(ciq($D342,"IQ_DIVIDEND_YIELD"),"")</f>
        <v/>
      </c>
      <c r="AU342" s="24" t="str">
        <f aca="false">IFERROR(ciq($D342,"IQ_NET_DEBT"),"")</f>
        <v/>
      </c>
    </row>
    <row r="343" customFormat="false" ht="15" hidden="false" customHeight="false" outlineLevel="0" collapsed="false">
      <c r="A343" s="8" t="s">
        <v>1773</v>
      </c>
      <c r="B343" s="6" t="s">
        <v>1774</v>
      </c>
      <c r="C343" s="8" t="s">
        <v>73</v>
      </c>
      <c r="D343" s="8" t="s">
        <v>1775</v>
      </c>
      <c r="E343" s="8" t="s">
        <v>1776</v>
      </c>
      <c r="F343" s="6" t="s">
        <v>1747</v>
      </c>
      <c r="G343" s="8" t="s">
        <v>57</v>
      </c>
      <c r="H343" s="8" t="s">
        <v>66</v>
      </c>
      <c r="I343" s="8"/>
      <c r="J343" s="8"/>
      <c r="K343" s="8"/>
      <c r="L343" s="8" t="s">
        <v>241</v>
      </c>
      <c r="M343" s="23" t="n">
        <v>29250</v>
      </c>
      <c r="N343" s="23" t="n">
        <v>8039.05479</v>
      </c>
      <c r="O343" s="23" t="n">
        <v>8464.3688853</v>
      </c>
      <c r="P343" s="24" t="n">
        <v>44.32485125</v>
      </c>
      <c r="Q343" s="24" t="n">
        <v>52.2634419916667</v>
      </c>
      <c r="R343" s="24" t="n">
        <v>44.32485125</v>
      </c>
      <c r="S343" s="25" t="n">
        <v>0.00551368940850321</v>
      </c>
      <c r="T343" s="26" t="n">
        <v>0.945156732388688</v>
      </c>
      <c r="U343" s="23" t="n">
        <v>1</v>
      </c>
      <c r="V343" s="26" t="n">
        <v>-0.06</v>
      </c>
      <c r="W343" s="26" t="n">
        <v>-0.0817432773410842</v>
      </c>
      <c r="X343" s="26" t="n">
        <v>-0.251790221202079</v>
      </c>
      <c r="Y343" s="26" t="n">
        <v>-0.536378321542497</v>
      </c>
      <c r="Z343" s="26" t="n">
        <v>-0.484060272822097</v>
      </c>
      <c r="AA343" s="26" t="n">
        <v>-0.516158054979562</v>
      </c>
      <c r="AB343" s="26" t="n">
        <v>-0.632971365913609</v>
      </c>
      <c r="AC343" s="27" t="n">
        <v>0.67320103774854</v>
      </c>
      <c r="AD343" s="28" t="n">
        <f aca="false">Params!$B$6*Params!$B$7*$R343</f>
        <v>26.59491075</v>
      </c>
      <c r="AE343" s="29" t="n">
        <f aca="false">MIN(Params!$B$9,AD343/Params!$B$4)</f>
        <v>0.0531898215</v>
      </c>
      <c r="AF343" s="29" t="n">
        <f aca="false">MIN(Params!$B$9,AD343/Params!$B$5)</f>
        <v>0.02659491075</v>
      </c>
      <c r="AG343" s="28" t="n">
        <f aca="false">IF($R343&gt;0,Params!$B$9*Params!$B$4/(Params!$B$6*$R343),"n/a")</f>
        <v>3.38410611135441</v>
      </c>
      <c r="AH343" s="28" t="n">
        <f aca="false">IF($R343&gt;0,Params!$B$9*Params!$B$5/(Params!$B$6*$R343),"n/a")</f>
        <v>6.76821222270881</v>
      </c>
      <c r="AI343" s="28" t="n">
        <f aca="false">IF($R343&gt;0,Params!$B$15*Params!$B$4/(Params!$B$6*$R343),"n/a")</f>
        <v>1.12803537045147</v>
      </c>
      <c r="AJ343" s="29" t="n">
        <f aca="false">MIN(Params!$B$9,AD343*Params!$B$8/Params!$B$4)</f>
        <v>0.02659491075</v>
      </c>
      <c r="AK343" s="28" t="n">
        <f aca="false">IF($R343&gt;0,Params!$B$9*Params!$B$4/(Params!$B$6*$R343*Params!$B$8),"n/a")</f>
        <v>6.76821222270881</v>
      </c>
      <c r="AL343" s="27" t="str">
        <f aca="false">IFERROR(ciq($D343,"IQ_PE_EXCL"),"")</f>
        <v/>
      </c>
      <c r="AM343" s="27" t="str">
        <f aca="false">IFERROR(ciq($D343,"IQ_PE_EXCL_FWD_CIQ"),"")</f>
        <v/>
      </c>
      <c r="AN343" s="27" t="str">
        <f aca="false">IFERROR(ciq($D343,"IQ_PBV"),"")</f>
        <v/>
      </c>
      <c r="AO343" s="27" t="str">
        <f aca="false">IFERROR(ciq($D343,"IQ_TEV_EBITDA"),"")</f>
        <v/>
      </c>
      <c r="AP343" s="24" t="str">
        <f aca="false">IFERROR(ciq($D343,"IQ_RETURN_EQUITY"),"")</f>
        <v/>
      </c>
      <c r="AQ343" s="24" t="str">
        <f aca="false">IFERROR(ciq($D343,"IQ_RETURN_CAPITAL"),"")</f>
        <v/>
      </c>
      <c r="AR343" s="24" t="str">
        <f aca="false">IFERROR(ciq($D343,"IQ_TOTAL_REV_1YR_ANN_GROWTH"),"")</f>
        <v/>
      </c>
      <c r="AS343" s="24" t="str">
        <f aca="false">IFERROR(ciq($D343,"IQ_EPS_1YR_ANN_GROWTH"),"")</f>
        <v/>
      </c>
      <c r="AT343" s="24" t="str">
        <f aca="false">IFERROR(ciq($D343,"IQ_DIVIDEND_YIELD"),"")</f>
        <v/>
      </c>
      <c r="AU343" s="24" t="str">
        <f aca="false">IFERROR(ciq($D343,"IQ_NET_DEBT"),"")</f>
        <v/>
      </c>
    </row>
    <row r="344" customFormat="false" ht="15" hidden="false" customHeight="false" outlineLevel="0" collapsed="false">
      <c r="A344" s="8" t="s">
        <v>1777</v>
      </c>
      <c r="B344" s="8" t="s">
        <v>1778</v>
      </c>
      <c r="C344" s="8" t="s">
        <v>72</v>
      </c>
      <c r="D344" s="8" t="s">
        <v>1779</v>
      </c>
      <c r="E344" s="8" t="s">
        <v>1780</v>
      </c>
      <c r="F344" s="6" t="s">
        <v>1191</v>
      </c>
      <c r="G344" s="8" t="s">
        <v>57</v>
      </c>
      <c r="H344" s="8" t="s">
        <v>66</v>
      </c>
      <c r="I344" s="8"/>
      <c r="J344" s="8"/>
      <c r="K344" s="8"/>
      <c r="L344" s="8"/>
      <c r="M344" s="23" t="n">
        <v>175300</v>
      </c>
      <c r="N344" s="23" t="n">
        <v>7853.348844</v>
      </c>
      <c r="O344" s="23" t="n">
        <v>7794.2135304</v>
      </c>
      <c r="P344" s="24" t="n">
        <v>31.049740675</v>
      </c>
      <c r="Q344" s="24" t="n">
        <v>26.9849176833333</v>
      </c>
      <c r="R344" s="24" t="n">
        <v>26.9849176833333</v>
      </c>
      <c r="S344" s="25" t="n">
        <v>0.00395369431458812</v>
      </c>
      <c r="T344" s="26" t="n">
        <v>0.573905563335222</v>
      </c>
      <c r="U344" s="23" t="n">
        <v>0</v>
      </c>
      <c r="V344" s="26" t="n">
        <v>-0.06</v>
      </c>
      <c r="W344" s="26" t="n">
        <v>-0.000691577204843141</v>
      </c>
      <c r="X344" s="26" t="n">
        <v>-0.0844394937880054</v>
      </c>
      <c r="Y344" s="26" t="n">
        <v>-0.193512564273632</v>
      </c>
      <c r="Z344" s="26" t="n">
        <v>-0.0340355983256748</v>
      </c>
      <c r="AA344" s="26" t="n">
        <v>-0.0514172880392</v>
      </c>
      <c r="AB344" s="26" t="n">
        <v>-0.368000491419888</v>
      </c>
      <c r="AC344" s="27" t="n">
        <v>0.88516403265272</v>
      </c>
      <c r="AD344" s="28" t="n">
        <f aca="false">Params!$B$6*Params!$B$7*$R344</f>
        <v>16.19095061</v>
      </c>
      <c r="AE344" s="29" t="n">
        <f aca="false">MIN(Params!$B$9,AD344/Params!$B$4)</f>
        <v>0.03238190122</v>
      </c>
      <c r="AF344" s="29" t="n">
        <f aca="false">MIN(Params!$B$9,AD344/Params!$B$5)</f>
        <v>0.01619095061</v>
      </c>
      <c r="AG344" s="28" t="n">
        <f aca="false">IF($R344&gt;0,Params!$B$9*Params!$B$4/(Params!$B$6*$R344),"n/a")</f>
        <v>5.5586606474121</v>
      </c>
      <c r="AH344" s="28" t="n">
        <f aca="false">IF($R344&gt;0,Params!$B$9*Params!$B$5/(Params!$B$6*$R344),"n/a")</f>
        <v>11.1173212948242</v>
      </c>
      <c r="AI344" s="28" t="n">
        <f aca="false">IF($R344&gt;0,Params!$B$15*Params!$B$4/(Params!$B$6*$R344),"n/a")</f>
        <v>1.8528868824707</v>
      </c>
      <c r="AJ344" s="29" t="n">
        <f aca="false">MIN(Params!$B$9,AD344*Params!$B$8/Params!$B$4)</f>
        <v>0.01619095061</v>
      </c>
      <c r="AK344" s="28" t="n">
        <f aca="false">IF($R344&gt;0,Params!$B$9*Params!$B$4/(Params!$B$6*$R344*Params!$B$8),"n/a")</f>
        <v>11.1173212948242</v>
      </c>
      <c r="AL344" s="27" t="str">
        <f aca="false">IFERROR(ciq($D344,"IQ_PE_EXCL"),"")</f>
        <v/>
      </c>
      <c r="AM344" s="27" t="str">
        <f aca="false">IFERROR(ciq($D344,"IQ_PE_EXCL_FWD_CIQ"),"")</f>
        <v/>
      </c>
      <c r="AN344" s="27" t="str">
        <f aca="false">IFERROR(ciq($D344,"IQ_PBV"),"")</f>
        <v/>
      </c>
      <c r="AO344" s="27" t="str">
        <f aca="false">IFERROR(ciq($D344,"IQ_TEV_EBITDA"),"")</f>
        <v/>
      </c>
      <c r="AP344" s="24" t="str">
        <f aca="false">IFERROR(ciq($D344,"IQ_RETURN_EQUITY"),"")</f>
        <v/>
      </c>
      <c r="AQ344" s="24" t="str">
        <f aca="false">IFERROR(ciq($D344,"IQ_RETURN_CAPITAL"),"")</f>
        <v/>
      </c>
      <c r="AR344" s="24" t="str">
        <f aca="false">IFERROR(ciq($D344,"IQ_TOTAL_REV_1YR_ANN_GROWTH"),"")</f>
        <v/>
      </c>
      <c r="AS344" s="24" t="str">
        <f aca="false">IFERROR(ciq($D344,"IQ_EPS_1YR_ANN_GROWTH"),"")</f>
        <v/>
      </c>
      <c r="AT344" s="24" t="str">
        <f aca="false">IFERROR(ciq($D344,"IQ_DIVIDEND_YIELD"),"")</f>
        <v/>
      </c>
      <c r="AU344" s="24" t="str">
        <f aca="false">IFERROR(ciq($D344,"IQ_NET_DEBT"),"")</f>
        <v/>
      </c>
    </row>
    <row r="345" customFormat="false" ht="15" hidden="false" customHeight="false" outlineLevel="0" collapsed="false">
      <c r="A345" s="8" t="s">
        <v>1781</v>
      </c>
      <c r="B345" s="6" t="s">
        <v>1782</v>
      </c>
      <c r="C345" s="8" t="s">
        <v>74</v>
      </c>
      <c r="D345" s="8" t="s">
        <v>1783</v>
      </c>
      <c r="E345" s="8" t="s">
        <v>1784</v>
      </c>
      <c r="F345" s="6" t="s">
        <v>1075</v>
      </c>
      <c r="G345" s="8" t="s">
        <v>57</v>
      </c>
      <c r="H345" s="8" t="s">
        <v>66</v>
      </c>
      <c r="I345" s="8"/>
      <c r="J345" s="8"/>
      <c r="K345" s="8"/>
      <c r="L345" s="8" t="s">
        <v>241</v>
      </c>
      <c r="M345" s="23" t="n">
        <v>7180</v>
      </c>
      <c r="N345" s="23" t="n">
        <v>7748.3907708</v>
      </c>
      <c r="O345" s="23" t="n">
        <v>8387.79488385</v>
      </c>
      <c r="P345" s="24" t="n">
        <v>30.264405345</v>
      </c>
      <c r="Q345" s="24" t="n">
        <v>73.8836145675</v>
      </c>
      <c r="R345" s="24" t="n">
        <v>30.264405345</v>
      </c>
      <c r="S345" s="25" t="n">
        <v>0.00390589559048211</v>
      </c>
      <c r="T345" s="26" t="n">
        <v>0.699701094318017</v>
      </c>
      <c r="U345" s="23" t="n">
        <v>0</v>
      </c>
      <c r="V345" s="26" t="n">
        <v>-0.06</v>
      </c>
      <c r="W345" s="26" t="n">
        <v>-0.087606902636029</v>
      </c>
      <c r="X345" s="26" t="n">
        <v>-0.319948547078011</v>
      </c>
      <c r="Y345" s="26" t="n">
        <v>-0.603980087017864</v>
      </c>
      <c r="Z345" s="26" t="n">
        <v>0.43963838904923</v>
      </c>
      <c r="AA345" s="26" t="n">
        <v>1.17343028558625</v>
      </c>
      <c r="AB345" s="26" t="n">
        <v>-0.644378670095064</v>
      </c>
      <c r="AC345" s="27" t="n">
        <v>0.0691419378391509</v>
      </c>
      <c r="AD345" s="28" t="n">
        <f aca="false">Params!$B$6*Params!$B$7*$R345</f>
        <v>18.158643207</v>
      </c>
      <c r="AE345" s="29" t="n">
        <f aca="false">MIN(Params!$B$9,AD345/Params!$B$4)</f>
        <v>0.036317286414</v>
      </c>
      <c r="AF345" s="29" t="n">
        <f aca="false">MIN(Params!$B$9,AD345/Params!$B$5)</f>
        <v>0.018158643207</v>
      </c>
      <c r="AG345" s="28" t="n">
        <f aca="false">IF($R345&gt;0,Params!$B$9*Params!$B$4/(Params!$B$6*$R345),"n/a")</f>
        <v>4.95631743925151</v>
      </c>
      <c r="AH345" s="28" t="n">
        <f aca="false">IF($R345&gt;0,Params!$B$9*Params!$B$5/(Params!$B$6*$R345),"n/a")</f>
        <v>9.91263487850301</v>
      </c>
      <c r="AI345" s="28" t="n">
        <f aca="false">IF($R345&gt;0,Params!$B$15*Params!$B$4/(Params!$B$6*$R345),"n/a")</f>
        <v>1.65210581308384</v>
      </c>
      <c r="AJ345" s="29" t="n">
        <f aca="false">MIN(Params!$B$9,AD345*Params!$B$8/Params!$B$4)</f>
        <v>0.018158643207</v>
      </c>
      <c r="AK345" s="28" t="n">
        <f aca="false">IF($R345&gt;0,Params!$B$9*Params!$B$4/(Params!$B$6*$R345*Params!$B$8),"n/a")</f>
        <v>9.91263487850301</v>
      </c>
      <c r="AL345" s="27" t="str">
        <f aca="false">IFERROR(ciq($D345,"IQ_PE_EXCL"),"")</f>
        <v/>
      </c>
      <c r="AM345" s="27" t="str">
        <f aca="false">IFERROR(ciq($D345,"IQ_PE_EXCL_FWD_CIQ"),"")</f>
        <v/>
      </c>
      <c r="AN345" s="27" t="str">
        <f aca="false">IFERROR(ciq($D345,"IQ_PBV"),"")</f>
        <v/>
      </c>
      <c r="AO345" s="27" t="str">
        <f aca="false">IFERROR(ciq($D345,"IQ_TEV_EBITDA"),"")</f>
        <v/>
      </c>
      <c r="AP345" s="24" t="str">
        <f aca="false">IFERROR(ciq($D345,"IQ_RETURN_EQUITY"),"")</f>
        <v/>
      </c>
      <c r="AQ345" s="24" t="str">
        <f aca="false">IFERROR(ciq($D345,"IQ_RETURN_CAPITAL"),"")</f>
        <v/>
      </c>
      <c r="AR345" s="24" t="str">
        <f aca="false">IFERROR(ciq($D345,"IQ_TOTAL_REV_1YR_ANN_GROWTH"),"")</f>
        <v/>
      </c>
      <c r="AS345" s="24" t="str">
        <f aca="false">IFERROR(ciq($D345,"IQ_EPS_1YR_ANN_GROWTH"),"")</f>
        <v/>
      </c>
      <c r="AT345" s="24" t="str">
        <f aca="false">IFERROR(ciq($D345,"IQ_DIVIDEND_YIELD"),"")</f>
        <v/>
      </c>
      <c r="AU345" s="24" t="str">
        <f aca="false">IFERROR(ciq($D345,"IQ_NET_DEBT"),"")</f>
        <v/>
      </c>
    </row>
    <row r="346" customFormat="false" ht="15" hidden="false" customHeight="false" outlineLevel="0" collapsed="false">
      <c r="A346" s="8" t="s">
        <v>1785</v>
      </c>
      <c r="B346" s="6" t="s">
        <v>1786</v>
      </c>
      <c r="C346" s="8" t="s">
        <v>73</v>
      </c>
      <c r="D346" s="8" t="s">
        <v>1787</v>
      </c>
      <c r="E346" s="8" t="s">
        <v>1788</v>
      </c>
      <c r="F346" s="6" t="s">
        <v>545</v>
      </c>
      <c r="G346" s="8" t="s">
        <v>57</v>
      </c>
      <c r="H346" s="8" t="s">
        <v>66</v>
      </c>
      <c r="I346" s="8"/>
      <c r="J346" s="8"/>
      <c r="K346" s="8"/>
      <c r="L346" s="8" t="s">
        <v>241</v>
      </c>
      <c r="M346" s="23" t="n">
        <v>67400</v>
      </c>
      <c r="N346" s="23" t="n">
        <v>7381.161372</v>
      </c>
      <c r="O346" s="23" t="n">
        <v>8208.5304249</v>
      </c>
      <c r="P346" s="24" t="n">
        <v>32.069936825</v>
      </c>
      <c r="Q346" s="24" t="n">
        <v>64.9935314583333</v>
      </c>
      <c r="R346" s="24" t="n">
        <v>32.069936825</v>
      </c>
      <c r="S346" s="25" t="n">
        <v>0.0043448361590705</v>
      </c>
      <c r="T346" s="26" t="n">
        <v>0.986175103903623</v>
      </c>
      <c r="U346" s="23" t="n">
        <v>0</v>
      </c>
      <c r="V346" s="26" t="n">
        <v>-0.06</v>
      </c>
      <c r="W346" s="26" t="n">
        <v>-0.0867258077824813</v>
      </c>
      <c r="X346" s="26" t="n">
        <v>-0.40049497099657</v>
      </c>
      <c r="Y346" s="26" t="n">
        <v>-0.646393003114895</v>
      </c>
      <c r="Z346" s="26" t="n">
        <v>-0.0171384062891761</v>
      </c>
      <c r="AA346" s="26" t="n">
        <v>0.274589899986371</v>
      </c>
      <c r="AB346" s="26" t="n">
        <v>-0.684921595582744</v>
      </c>
      <c r="AC346" s="27" t="n">
        <v>0.198349938245718</v>
      </c>
      <c r="AD346" s="28" t="n">
        <f aca="false">Params!$B$6*Params!$B$7*$R346</f>
        <v>19.241962095</v>
      </c>
      <c r="AE346" s="29" t="n">
        <f aca="false">MIN(Params!$B$9,AD346/Params!$B$4)</f>
        <v>0.03848392419</v>
      </c>
      <c r="AF346" s="29" t="n">
        <f aca="false">MIN(Params!$B$9,AD346/Params!$B$5)</f>
        <v>0.019241962095</v>
      </c>
      <c r="AG346" s="28" t="n">
        <f aca="false">IF($R346&gt;0,Params!$B$9*Params!$B$4/(Params!$B$6*$R346),"n/a")</f>
        <v>4.67727768902457</v>
      </c>
      <c r="AH346" s="28" t="n">
        <f aca="false">IF($R346&gt;0,Params!$B$9*Params!$B$5/(Params!$B$6*$R346),"n/a")</f>
        <v>9.35455537804914</v>
      </c>
      <c r="AI346" s="28" t="n">
        <f aca="false">IF($R346&gt;0,Params!$B$15*Params!$B$4/(Params!$B$6*$R346),"n/a")</f>
        <v>1.55909256300819</v>
      </c>
      <c r="AJ346" s="29" t="n">
        <f aca="false">MIN(Params!$B$9,AD346*Params!$B$8/Params!$B$4)</f>
        <v>0.019241962095</v>
      </c>
      <c r="AK346" s="28" t="n">
        <f aca="false">IF($R346&gt;0,Params!$B$9*Params!$B$4/(Params!$B$6*$R346*Params!$B$8),"n/a")</f>
        <v>9.35455537804914</v>
      </c>
      <c r="AL346" s="27" t="str">
        <f aca="false">IFERROR(ciq($D346,"IQ_PE_EXCL"),"")</f>
        <v/>
      </c>
      <c r="AM346" s="27" t="str">
        <f aca="false">IFERROR(ciq($D346,"IQ_PE_EXCL_FWD_CIQ"),"")</f>
        <v/>
      </c>
      <c r="AN346" s="27" t="str">
        <f aca="false">IFERROR(ciq($D346,"IQ_PBV"),"")</f>
        <v/>
      </c>
      <c r="AO346" s="27" t="str">
        <f aca="false">IFERROR(ciq($D346,"IQ_TEV_EBITDA"),"")</f>
        <v/>
      </c>
      <c r="AP346" s="24" t="str">
        <f aca="false">IFERROR(ciq($D346,"IQ_RETURN_EQUITY"),"")</f>
        <v/>
      </c>
      <c r="AQ346" s="24" t="str">
        <f aca="false">IFERROR(ciq($D346,"IQ_RETURN_CAPITAL"),"")</f>
        <v/>
      </c>
      <c r="AR346" s="24" t="str">
        <f aca="false">IFERROR(ciq($D346,"IQ_TOTAL_REV_1YR_ANN_GROWTH"),"")</f>
        <v/>
      </c>
      <c r="AS346" s="24" t="str">
        <f aca="false">IFERROR(ciq($D346,"IQ_EPS_1YR_ANN_GROWTH"),"")</f>
        <v/>
      </c>
      <c r="AT346" s="24" t="str">
        <f aca="false">IFERROR(ciq($D346,"IQ_DIVIDEND_YIELD"),"")</f>
        <v/>
      </c>
      <c r="AU346" s="24" t="str">
        <f aca="false">IFERROR(ciq($D346,"IQ_NET_DEBT"),"")</f>
        <v/>
      </c>
    </row>
    <row r="347" customFormat="false" ht="15" hidden="false" customHeight="false" outlineLevel="0" collapsed="false">
      <c r="A347" s="8" t="s">
        <v>1789</v>
      </c>
      <c r="B347" s="6" t="s">
        <v>1790</v>
      </c>
      <c r="C347" s="8" t="s">
        <v>73</v>
      </c>
      <c r="D347" s="8" t="s">
        <v>1791</v>
      </c>
      <c r="E347" s="8" t="s">
        <v>1792</v>
      </c>
      <c r="F347" s="6" t="s">
        <v>632</v>
      </c>
      <c r="G347" s="8" t="s">
        <v>57</v>
      </c>
      <c r="H347" s="8" t="s">
        <v>66</v>
      </c>
      <c r="I347" s="8"/>
      <c r="J347" s="8"/>
      <c r="K347" s="8"/>
      <c r="L347" s="8" t="s">
        <v>115</v>
      </c>
      <c r="M347" s="23" t="n">
        <v>19650</v>
      </c>
      <c r="N347" s="23" t="n">
        <v>7375.4606715</v>
      </c>
      <c r="O347" s="23" t="n">
        <v>8938.96405075</v>
      </c>
      <c r="P347" s="24" t="n">
        <v>59.762456825</v>
      </c>
      <c r="Q347" s="24" t="n">
        <v>37.534325895</v>
      </c>
      <c r="R347" s="24" t="n">
        <v>37.534325895</v>
      </c>
      <c r="S347" s="25" t="n">
        <v>0.00810287783865922</v>
      </c>
      <c r="T347" s="26" t="n">
        <v>1.21237078927116</v>
      </c>
      <c r="U347" s="23" t="n">
        <v>2</v>
      </c>
      <c r="V347" s="26" t="n">
        <v>-0.04</v>
      </c>
      <c r="W347" s="26" t="n">
        <v>-0.0903071067894951</v>
      </c>
      <c r="X347" s="26" t="n">
        <v>-0.227913941719609</v>
      </c>
      <c r="Y347" s="26" t="n">
        <v>-0.598929223601174</v>
      </c>
      <c r="Z347" s="26" t="n">
        <v>-0.350413598941316</v>
      </c>
      <c r="AA347" s="26" t="n">
        <v>0.887417709951211</v>
      </c>
      <c r="AB347" s="26" t="n">
        <v>-0.61388916356085</v>
      </c>
      <c r="AC347" s="27" t="n">
        <v>0.889324359506008</v>
      </c>
      <c r="AD347" s="28" t="n">
        <f aca="false">Params!$B$6*Params!$B$7*$R347</f>
        <v>22.520595537</v>
      </c>
      <c r="AE347" s="29" t="n">
        <f aca="false">MIN(Params!$B$9,AD347/Params!$B$4)</f>
        <v>0.045041191074</v>
      </c>
      <c r="AF347" s="29" t="n">
        <f aca="false">MIN(Params!$B$9,AD347/Params!$B$5)</f>
        <v>0.022520595537</v>
      </c>
      <c r="AG347" s="28" t="n">
        <f aca="false">IF($R347&gt;0,Params!$B$9*Params!$B$4/(Params!$B$6*$R347),"n/a")</f>
        <v>3.99634191965019</v>
      </c>
      <c r="AH347" s="28" t="n">
        <f aca="false">IF($R347&gt;0,Params!$B$9*Params!$B$5/(Params!$B$6*$R347),"n/a")</f>
        <v>7.99268383930037</v>
      </c>
      <c r="AI347" s="28" t="n">
        <f aca="false">IF($R347&gt;0,Params!$B$15*Params!$B$4/(Params!$B$6*$R347),"n/a")</f>
        <v>1.33211397321673</v>
      </c>
      <c r="AJ347" s="29" t="n">
        <f aca="false">MIN(Params!$B$9,AD347*Params!$B$8/Params!$B$4)</f>
        <v>0.022520595537</v>
      </c>
      <c r="AK347" s="28" t="n">
        <f aca="false">IF($R347&gt;0,Params!$B$9*Params!$B$4/(Params!$B$6*$R347*Params!$B$8),"n/a")</f>
        <v>7.99268383930037</v>
      </c>
      <c r="AL347" s="27" t="str">
        <f aca="false">IFERROR(ciq($D347,"IQ_PE_EXCL"),"")</f>
        <v/>
      </c>
      <c r="AM347" s="27" t="str">
        <f aca="false">IFERROR(ciq($D347,"IQ_PE_EXCL_FWD_CIQ"),"")</f>
        <v/>
      </c>
      <c r="AN347" s="27" t="str">
        <f aca="false">IFERROR(ciq($D347,"IQ_PBV"),"")</f>
        <v/>
      </c>
      <c r="AO347" s="27" t="str">
        <f aca="false">IFERROR(ciq($D347,"IQ_TEV_EBITDA"),"")</f>
        <v/>
      </c>
      <c r="AP347" s="24" t="str">
        <f aca="false">IFERROR(ciq($D347,"IQ_RETURN_EQUITY"),"")</f>
        <v/>
      </c>
      <c r="AQ347" s="24" t="str">
        <f aca="false">IFERROR(ciq($D347,"IQ_RETURN_CAPITAL"),"")</f>
        <v/>
      </c>
      <c r="AR347" s="24" t="str">
        <f aca="false">IFERROR(ciq($D347,"IQ_TOTAL_REV_1YR_ANN_GROWTH"),"")</f>
        <v/>
      </c>
      <c r="AS347" s="24" t="str">
        <f aca="false">IFERROR(ciq($D347,"IQ_EPS_1YR_ANN_GROWTH"),"")</f>
        <v/>
      </c>
      <c r="AT347" s="24" t="str">
        <f aca="false">IFERROR(ciq($D347,"IQ_DIVIDEND_YIELD"),"")</f>
        <v/>
      </c>
      <c r="AU347" s="24" t="str">
        <f aca="false">IFERROR(ciq($D347,"IQ_NET_DEBT"),"")</f>
        <v/>
      </c>
    </row>
    <row r="348" customFormat="false" ht="15" hidden="false" customHeight="false" outlineLevel="0" collapsed="false">
      <c r="A348" s="8" t="s">
        <v>1793</v>
      </c>
      <c r="B348" s="6" t="s">
        <v>1794</v>
      </c>
      <c r="C348" s="8" t="s">
        <v>73</v>
      </c>
      <c r="D348" s="8" t="s">
        <v>1795</v>
      </c>
      <c r="E348" s="8" t="s">
        <v>1796</v>
      </c>
      <c r="F348" s="6" t="s">
        <v>533</v>
      </c>
      <c r="G348" s="8" t="s">
        <v>57</v>
      </c>
      <c r="H348" s="8" t="s">
        <v>66</v>
      </c>
      <c r="I348" s="8"/>
      <c r="J348" s="8"/>
      <c r="K348" s="8"/>
      <c r="L348" s="8" t="s">
        <v>241</v>
      </c>
      <c r="M348" s="23" t="n">
        <v>7920</v>
      </c>
      <c r="N348" s="23" t="n">
        <v>7363.4494032</v>
      </c>
      <c r="O348" s="23" t="n">
        <v>8108.62676389</v>
      </c>
      <c r="P348" s="24" t="n">
        <v>30.4320494725</v>
      </c>
      <c r="Q348" s="24" t="n">
        <v>32.6219134708333</v>
      </c>
      <c r="R348" s="24" t="n">
        <v>30.4320494725</v>
      </c>
      <c r="S348" s="25" t="n">
        <v>0.00413285239106483</v>
      </c>
      <c r="T348" s="26" t="n">
        <v>0.571955444483726</v>
      </c>
      <c r="U348" s="23" t="n">
        <v>0</v>
      </c>
      <c r="V348" s="26" t="n">
        <v>-0.06</v>
      </c>
      <c r="W348" s="26" t="n">
        <v>-0.130624710356212</v>
      </c>
      <c r="X348" s="26" t="n">
        <v>-0.317717825833976</v>
      </c>
      <c r="Y348" s="26" t="n">
        <v>-0.564628104776126</v>
      </c>
      <c r="Z348" s="26" t="n">
        <v>-0.459954206627563</v>
      </c>
      <c r="AA348" s="26" t="n">
        <v>-0.265084025428557</v>
      </c>
      <c r="AB348" s="26" t="n">
        <v>-0.667825203345145</v>
      </c>
      <c r="AC348" s="27" t="n">
        <v>0.593532973420784</v>
      </c>
      <c r="AD348" s="28" t="n">
        <f aca="false">Params!$B$6*Params!$B$7*$R348</f>
        <v>18.2592296835</v>
      </c>
      <c r="AE348" s="29" t="n">
        <f aca="false">MIN(Params!$B$9,AD348/Params!$B$4)</f>
        <v>0.036518459367</v>
      </c>
      <c r="AF348" s="29" t="n">
        <f aca="false">MIN(Params!$B$9,AD348/Params!$B$5)</f>
        <v>0.0182592296835</v>
      </c>
      <c r="AG348" s="28" t="n">
        <f aca="false">IF($R348&gt;0,Params!$B$9*Params!$B$4/(Params!$B$6*$R348),"n/a")</f>
        <v>4.92901406905072</v>
      </c>
      <c r="AH348" s="28" t="n">
        <f aca="false">IF($R348&gt;0,Params!$B$9*Params!$B$5/(Params!$B$6*$R348),"n/a")</f>
        <v>9.85802813810144</v>
      </c>
      <c r="AI348" s="28" t="n">
        <f aca="false">IF($R348&gt;0,Params!$B$15*Params!$B$4/(Params!$B$6*$R348),"n/a")</f>
        <v>1.64300468968357</v>
      </c>
      <c r="AJ348" s="29" t="n">
        <f aca="false">MIN(Params!$B$9,AD348*Params!$B$8/Params!$B$4)</f>
        <v>0.0182592296835</v>
      </c>
      <c r="AK348" s="28" t="n">
        <f aca="false">IF($R348&gt;0,Params!$B$9*Params!$B$4/(Params!$B$6*$R348*Params!$B$8),"n/a")</f>
        <v>9.85802813810144</v>
      </c>
      <c r="AL348" s="27" t="str">
        <f aca="false">IFERROR(ciq($D348,"IQ_PE_EXCL"),"")</f>
        <v/>
      </c>
      <c r="AM348" s="27" t="str">
        <f aca="false">IFERROR(ciq($D348,"IQ_PE_EXCL_FWD_CIQ"),"")</f>
        <v/>
      </c>
      <c r="AN348" s="27" t="str">
        <f aca="false">IFERROR(ciq($D348,"IQ_PBV"),"")</f>
        <v/>
      </c>
      <c r="AO348" s="27" t="str">
        <f aca="false">IFERROR(ciq($D348,"IQ_TEV_EBITDA"),"")</f>
        <v/>
      </c>
      <c r="AP348" s="24" t="str">
        <f aca="false">IFERROR(ciq($D348,"IQ_RETURN_EQUITY"),"")</f>
        <v/>
      </c>
      <c r="AQ348" s="24" t="str">
        <f aca="false">IFERROR(ciq($D348,"IQ_RETURN_CAPITAL"),"")</f>
        <v/>
      </c>
      <c r="AR348" s="24" t="str">
        <f aca="false">IFERROR(ciq($D348,"IQ_TOTAL_REV_1YR_ANN_GROWTH"),"")</f>
        <v/>
      </c>
      <c r="AS348" s="24" t="str">
        <f aca="false">IFERROR(ciq($D348,"IQ_EPS_1YR_ANN_GROWTH"),"")</f>
        <v/>
      </c>
      <c r="AT348" s="24" t="str">
        <f aca="false">IFERROR(ciq($D348,"IQ_DIVIDEND_YIELD"),"")</f>
        <v/>
      </c>
      <c r="AU348" s="24" t="str">
        <f aca="false">IFERROR(ciq($D348,"IQ_NET_DEBT"),"")</f>
        <v/>
      </c>
    </row>
    <row r="349" customFormat="false" ht="15" hidden="false" customHeight="false" outlineLevel="0" collapsed="false">
      <c r="A349" s="8" t="s">
        <v>1797</v>
      </c>
      <c r="B349" s="6" t="s">
        <v>1798</v>
      </c>
      <c r="C349" s="8" t="s">
        <v>73</v>
      </c>
      <c r="D349" s="8" t="s">
        <v>1799</v>
      </c>
      <c r="E349" s="8" t="s">
        <v>1800</v>
      </c>
      <c r="F349" s="6" t="s">
        <v>650</v>
      </c>
      <c r="G349" s="8" t="s">
        <v>57</v>
      </c>
      <c r="H349" s="8" t="s">
        <v>66</v>
      </c>
      <c r="I349" s="8"/>
      <c r="J349" s="8"/>
      <c r="K349" s="8"/>
      <c r="L349" s="8" t="s">
        <v>241</v>
      </c>
      <c r="M349" s="23" t="n">
        <v>11000</v>
      </c>
      <c r="N349" s="23" t="n">
        <v>7230.36028</v>
      </c>
      <c r="O349" s="23" t="n">
        <v>8103.26195744</v>
      </c>
      <c r="P349" s="24" t="n">
        <v>48.2333861225</v>
      </c>
      <c r="Q349" s="24" t="n">
        <v>53.9996338233333</v>
      </c>
      <c r="R349" s="24" t="n">
        <v>48.2333861225</v>
      </c>
      <c r="S349" s="25" t="n">
        <v>0.00667095196568822</v>
      </c>
      <c r="T349" s="26" t="n">
        <v>0.776930777951816</v>
      </c>
      <c r="U349" s="23" t="n">
        <v>0</v>
      </c>
      <c r="V349" s="26" t="n">
        <v>-0.06</v>
      </c>
      <c r="W349" s="26" t="n">
        <v>-0.102174522200651</v>
      </c>
      <c r="X349" s="26" t="n">
        <v>-0.291290483926663</v>
      </c>
      <c r="Y349" s="26" t="n">
        <v>-0.471123427796642</v>
      </c>
      <c r="Z349" s="26" t="n">
        <v>-0.254141147904521</v>
      </c>
      <c r="AA349" s="26" t="n">
        <v>-0.106318241571831</v>
      </c>
      <c r="AB349" s="26" t="n">
        <v>-0.600674085248833</v>
      </c>
      <c r="AC349" s="27" t="n">
        <v>0.397152935266402</v>
      </c>
      <c r="AD349" s="28" t="n">
        <f aca="false">Params!$B$6*Params!$B$7*$R349</f>
        <v>28.9400316735</v>
      </c>
      <c r="AE349" s="29" t="n">
        <f aca="false">MIN(Params!$B$9,AD349/Params!$B$4)</f>
        <v>0.057880063347</v>
      </c>
      <c r="AF349" s="29" t="n">
        <f aca="false">MIN(Params!$B$9,AD349/Params!$B$5)</f>
        <v>0.0289400316735</v>
      </c>
      <c r="AG349" s="28" t="n">
        <f aca="false">IF($R349&gt;0,Params!$B$9*Params!$B$4/(Params!$B$6*$R349),"n/a")</f>
        <v>3.10987911192965</v>
      </c>
      <c r="AH349" s="28" t="n">
        <f aca="false">IF($R349&gt;0,Params!$B$9*Params!$B$5/(Params!$B$6*$R349),"n/a")</f>
        <v>6.21975822385929</v>
      </c>
      <c r="AI349" s="28" t="n">
        <f aca="false">IF($R349&gt;0,Params!$B$15*Params!$B$4/(Params!$B$6*$R349),"n/a")</f>
        <v>1.03662637064322</v>
      </c>
      <c r="AJ349" s="29" t="n">
        <f aca="false">MIN(Params!$B$9,AD349*Params!$B$8/Params!$B$4)</f>
        <v>0.0289400316735</v>
      </c>
      <c r="AK349" s="28" t="n">
        <f aca="false">IF($R349&gt;0,Params!$B$9*Params!$B$4/(Params!$B$6*$R349*Params!$B$8),"n/a")</f>
        <v>6.21975822385929</v>
      </c>
      <c r="AL349" s="27" t="str">
        <f aca="false">IFERROR(ciq($D349,"IQ_PE_EXCL"),"")</f>
        <v/>
      </c>
      <c r="AM349" s="27" t="str">
        <f aca="false">IFERROR(ciq($D349,"IQ_PE_EXCL_FWD_CIQ"),"")</f>
        <v/>
      </c>
      <c r="AN349" s="27" t="str">
        <f aca="false">IFERROR(ciq($D349,"IQ_PBV"),"")</f>
        <v/>
      </c>
      <c r="AO349" s="27" t="str">
        <f aca="false">IFERROR(ciq($D349,"IQ_TEV_EBITDA"),"")</f>
        <v/>
      </c>
      <c r="AP349" s="24" t="str">
        <f aca="false">IFERROR(ciq($D349,"IQ_RETURN_EQUITY"),"")</f>
        <v/>
      </c>
      <c r="AQ349" s="24" t="str">
        <f aca="false">IFERROR(ciq($D349,"IQ_RETURN_CAPITAL"),"")</f>
        <v/>
      </c>
      <c r="AR349" s="24" t="str">
        <f aca="false">IFERROR(ciq($D349,"IQ_TOTAL_REV_1YR_ANN_GROWTH"),"")</f>
        <v/>
      </c>
      <c r="AS349" s="24" t="str">
        <f aca="false">IFERROR(ciq($D349,"IQ_EPS_1YR_ANN_GROWTH"),"")</f>
        <v/>
      </c>
      <c r="AT349" s="24" t="str">
        <f aca="false">IFERROR(ciq($D349,"IQ_DIVIDEND_YIELD"),"")</f>
        <v/>
      </c>
      <c r="AU349" s="24" t="str">
        <f aca="false">IFERROR(ciq($D349,"IQ_NET_DEBT"),"")</f>
        <v/>
      </c>
    </row>
    <row r="350" customFormat="false" ht="15" hidden="false" customHeight="false" outlineLevel="0" collapsed="false">
      <c r="A350" s="8" t="s">
        <v>1801</v>
      </c>
      <c r="B350" s="8" t="s">
        <v>1802</v>
      </c>
      <c r="C350" s="8" t="s">
        <v>72</v>
      </c>
      <c r="D350" s="8" t="s">
        <v>1803</v>
      </c>
      <c r="E350" s="8" t="s">
        <v>1804</v>
      </c>
      <c r="F350" s="8"/>
      <c r="G350" s="8" t="s">
        <v>57</v>
      </c>
      <c r="H350" s="8" t="s">
        <v>66</v>
      </c>
      <c r="I350" s="8"/>
      <c r="J350" s="8"/>
      <c r="K350" s="8"/>
      <c r="L350" s="8"/>
      <c r="M350" s="23" t="n">
        <v>79800</v>
      </c>
      <c r="N350" s="23" t="n">
        <v>7144.09101</v>
      </c>
      <c r="O350" s="23" t="n">
        <v>7145.881509</v>
      </c>
      <c r="P350" s="24" t="n">
        <v>35.340975</v>
      </c>
      <c r="Q350" s="24" t="n">
        <v>54.59779445</v>
      </c>
      <c r="R350" s="24" t="n">
        <v>35.340975</v>
      </c>
      <c r="S350" s="25" t="n">
        <v>0.0049468819686831</v>
      </c>
      <c r="T350" s="26" t="n">
        <v>0.762005719450042</v>
      </c>
      <c r="U350" s="23" t="n">
        <v>0</v>
      </c>
      <c r="V350" s="26" t="n">
        <v>-0.06</v>
      </c>
      <c r="W350" s="26" t="n">
        <v>0.0417593843983166</v>
      </c>
      <c r="X350" s="26" t="n">
        <v>-0.26471478099494</v>
      </c>
      <c r="Y350" s="26" t="n">
        <v>-0.0431736009528667</v>
      </c>
      <c r="Z350" s="26" t="n">
        <v>0.339412735472912</v>
      </c>
      <c r="AA350" s="26" t="n">
        <v>0.430586112785533</v>
      </c>
      <c r="AB350" s="26" t="n">
        <v>-0.46820896301544</v>
      </c>
      <c r="AC350" s="27" t="n">
        <v>0.358909048520465</v>
      </c>
      <c r="AD350" s="28" t="n">
        <f aca="false">Params!$B$6*Params!$B$7*$R350</f>
        <v>21.204585</v>
      </c>
      <c r="AE350" s="29" t="n">
        <f aca="false">MIN(Params!$B$9,AD350/Params!$B$4)</f>
        <v>0.04240917</v>
      </c>
      <c r="AF350" s="29" t="n">
        <f aca="false">MIN(Params!$B$9,AD350/Params!$B$5)</f>
        <v>0.021204585</v>
      </c>
      <c r="AG350" s="28" t="n">
        <f aca="false">IF($R350&gt;0,Params!$B$9*Params!$B$4/(Params!$B$6*$R350),"n/a")</f>
        <v>4.24436507481755</v>
      </c>
      <c r="AH350" s="28" t="n">
        <f aca="false">IF($R350&gt;0,Params!$B$9*Params!$B$5/(Params!$B$6*$R350),"n/a")</f>
        <v>8.48873014963509</v>
      </c>
      <c r="AI350" s="28" t="n">
        <f aca="false">IF($R350&gt;0,Params!$B$15*Params!$B$4/(Params!$B$6*$R350),"n/a")</f>
        <v>1.41478835827252</v>
      </c>
      <c r="AJ350" s="29" t="n">
        <f aca="false">MIN(Params!$B$9,AD350*Params!$B$8/Params!$B$4)</f>
        <v>0.021204585</v>
      </c>
      <c r="AK350" s="28" t="n">
        <f aca="false">IF($R350&gt;0,Params!$B$9*Params!$B$4/(Params!$B$6*$R350*Params!$B$8),"n/a")</f>
        <v>8.48873014963509</v>
      </c>
      <c r="AL350" s="27" t="str">
        <f aca="false">IFERROR(ciq($D350,"IQ_PE_EXCL"),"")</f>
        <v/>
      </c>
      <c r="AM350" s="27" t="str">
        <f aca="false">IFERROR(ciq($D350,"IQ_PE_EXCL_FWD_CIQ"),"")</f>
        <v/>
      </c>
      <c r="AN350" s="27" t="str">
        <f aca="false">IFERROR(ciq($D350,"IQ_PBV"),"")</f>
        <v/>
      </c>
      <c r="AO350" s="27" t="str">
        <f aca="false">IFERROR(ciq($D350,"IQ_TEV_EBITDA"),"")</f>
        <v/>
      </c>
      <c r="AP350" s="24" t="str">
        <f aca="false">IFERROR(ciq($D350,"IQ_RETURN_EQUITY"),"")</f>
        <v/>
      </c>
      <c r="AQ350" s="24" t="str">
        <f aca="false">IFERROR(ciq($D350,"IQ_RETURN_CAPITAL"),"")</f>
        <v/>
      </c>
      <c r="AR350" s="24" t="str">
        <f aca="false">IFERROR(ciq($D350,"IQ_TOTAL_REV_1YR_ANN_GROWTH"),"")</f>
        <v/>
      </c>
      <c r="AS350" s="24" t="str">
        <f aca="false">IFERROR(ciq($D350,"IQ_EPS_1YR_ANN_GROWTH"),"")</f>
        <v/>
      </c>
      <c r="AT350" s="24" t="str">
        <f aca="false">IFERROR(ciq($D350,"IQ_DIVIDEND_YIELD"),"")</f>
        <v/>
      </c>
      <c r="AU350" s="24" t="str">
        <f aca="false">IFERROR(ciq($D350,"IQ_NET_DEBT"),"")</f>
        <v/>
      </c>
    </row>
    <row r="351" customFormat="false" ht="15" hidden="false" customHeight="false" outlineLevel="0" collapsed="false">
      <c r="A351" s="8" t="s">
        <v>1805</v>
      </c>
      <c r="B351" s="6" t="s">
        <v>1806</v>
      </c>
      <c r="C351" s="8" t="s">
        <v>74</v>
      </c>
      <c r="D351" s="8" t="s">
        <v>1807</v>
      </c>
      <c r="E351" s="8" t="s">
        <v>1808</v>
      </c>
      <c r="F351" s="8"/>
      <c r="G351" s="8" t="s">
        <v>57</v>
      </c>
      <c r="H351" s="8" t="s">
        <v>66</v>
      </c>
      <c r="I351" s="8"/>
      <c r="J351" s="8"/>
      <c r="K351" s="8"/>
      <c r="L351" s="8"/>
      <c r="M351" s="23" t="n">
        <v>57500</v>
      </c>
      <c r="N351" s="23" t="n">
        <v>7130</v>
      </c>
      <c r="O351" s="23" t="n">
        <v>7003.52</v>
      </c>
      <c r="P351" s="24" t="n">
        <v>61.26688715</v>
      </c>
      <c r="Q351" s="24" t="n">
        <v>38.8367183708333</v>
      </c>
      <c r="R351" s="24" t="n">
        <v>38.8367183708333</v>
      </c>
      <c r="S351" s="25" t="n">
        <v>0.0085928312973352</v>
      </c>
      <c r="T351" s="26" t="n">
        <v>0.851499264408453</v>
      </c>
      <c r="U351" s="23" t="n">
        <v>1</v>
      </c>
      <c r="V351" s="26" t="n">
        <v>-0.06</v>
      </c>
      <c r="W351" s="26" t="n">
        <v>0.229909558307122</v>
      </c>
      <c r="X351" s="26" t="n">
        <v>0.693297157191851</v>
      </c>
      <c r="Y351" s="26" t="n">
        <v>0.249631116953918</v>
      </c>
      <c r="Z351" s="26" t="n">
        <v>0.10306623564477</v>
      </c>
      <c r="AA351" s="26" t="n">
        <v>-0.135908729652053</v>
      </c>
      <c r="AB351" s="26" t="n">
        <v>-0.142341170870524</v>
      </c>
      <c r="AC351" s="27" t="n">
        <v>2.19366599909546</v>
      </c>
      <c r="AD351" s="28" t="n">
        <f aca="false">Params!$B$6*Params!$B$7*$R351</f>
        <v>23.3020310225</v>
      </c>
      <c r="AE351" s="29" t="n">
        <f aca="false">MIN(Params!$B$9,AD351/Params!$B$4)</f>
        <v>0.046604062045</v>
      </c>
      <c r="AF351" s="29" t="n">
        <f aca="false">MIN(Params!$B$9,AD351/Params!$B$5)</f>
        <v>0.0233020310225</v>
      </c>
      <c r="AG351" s="28" t="n">
        <f aca="false">IF($R351&gt;0,Params!$B$9*Params!$B$4/(Params!$B$6*$R351),"n/a")</f>
        <v>3.86232427178119</v>
      </c>
      <c r="AH351" s="28" t="n">
        <f aca="false">IF($R351&gt;0,Params!$B$9*Params!$B$5/(Params!$B$6*$R351),"n/a")</f>
        <v>7.72464854356238</v>
      </c>
      <c r="AI351" s="28" t="n">
        <f aca="false">IF($R351&gt;0,Params!$B$15*Params!$B$4/(Params!$B$6*$R351),"n/a")</f>
        <v>1.28744142392706</v>
      </c>
      <c r="AJ351" s="29" t="n">
        <f aca="false">MIN(Params!$B$9,AD351*Params!$B$8/Params!$B$4)</f>
        <v>0.0233020310225</v>
      </c>
      <c r="AK351" s="28" t="n">
        <f aca="false">IF($R351&gt;0,Params!$B$9*Params!$B$4/(Params!$B$6*$R351*Params!$B$8),"n/a")</f>
        <v>7.72464854356238</v>
      </c>
      <c r="AL351" s="27" t="str">
        <f aca="false">IFERROR(ciq($D351,"IQ_PE_EXCL"),"")</f>
        <v/>
      </c>
      <c r="AM351" s="27" t="str">
        <f aca="false">IFERROR(ciq($D351,"IQ_PE_EXCL_FWD_CIQ"),"")</f>
        <v/>
      </c>
      <c r="AN351" s="27" t="str">
        <f aca="false">IFERROR(ciq($D351,"IQ_PBV"),"")</f>
        <v/>
      </c>
      <c r="AO351" s="27" t="str">
        <f aca="false">IFERROR(ciq($D351,"IQ_TEV_EBITDA"),"")</f>
        <v/>
      </c>
      <c r="AP351" s="24" t="str">
        <f aca="false">IFERROR(ciq($D351,"IQ_RETURN_EQUITY"),"")</f>
        <v/>
      </c>
      <c r="AQ351" s="24" t="str">
        <f aca="false">IFERROR(ciq($D351,"IQ_RETURN_CAPITAL"),"")</f>
        <v/>
      </c>
      <c r="AR351" s="24" t="str">
        <f aca="false">IFERROR(ciq($D351,"IQ_TOTAL_REV_1YR_ANN_GROWTH"),"")</f>
        <v/>
      </c>
      <c r="AS351" s="24" t="str">
        <f aca="false">IFERROR(ciq($D351,"IQ_EPS_1YR_ANN_GROWTH"),"")</f>
        <v/>
      </c>
      <c r="AT351" s="24" t="str">
        <f aca="false">IFERROR(ciq($D351,"IQ_DIVIDEND_YIELD"),"")</f>
        <v/>
      </c>
      <c r="AU351" s="24" t="str">
        <f aca="false">IFERROR(ciq($D351,"IQ_NET_DEBT"),"")</f>
        <v/>
      </c>
    </row>
    <row r="352" customFormat="false" ht="15" hidden="false" customHeight="false" outlineLevel="0" collapsed="false">
      <c r="A352" s="8" t="s">
        <v>1809</v>
      </c>
      <c r="B352" s="8" t="s">
        <v>1810</v>
      </c>
      <c r="C352" s="8" t="s">
        <v>72</v>
      </c>
      <c r="D352" s="8" t="s">
        <v>1811</v>
      </c>
      <c r="E352" s="8" t="s">
        <v>1812</v>
      </c>
      <c r="F352" s="6" t="s">
        <v>572</v>
      </c>
      <c r="G352" s="8" t="s">
        <v>57</v>
      </c>
      <c r="H352" s="8" t="s">
        <v>66</v>
      </c>
      <c r="I352" s="8"/>
      <c r="J352" s="8"/>
      <c r="K352" s="8"/>
      <c r="L352" s="8"/>
      <c r="M352" s="23" t="n">
        <v>26800</v>
      </c>
      <c r="N352" s="23" t="n">
        <v>7112.792896</v>
      </c>
      <c r="O352" s="23" t="n">
        <v>7143.3142088</v>
      </c>
      <c r="P352" s="24" t="n">
        <v>22.1511110125</v>
      </c>
      <c r="Q352" s="24" t="n">
        <v>19.1755356583333</v>
      </c>
      <c r="R352" s="24" t="n">
        <v>19.1755356583333</v>
      </c>
      <c r="S352" s="25" t="n">
        <v>0.00311426345971033</v>
      </c>
      <c r="T352" s="26" t="n">
        <v>0.449834409872216</v>
      </c>
      <c r="U352" s="23" t="n">
        <v>0</v>
      </c>
      <c r="V352" s="26" t="n">
        <v>-0.06</v>
      </c>
      <c r="W352" s="26" t="n">
        <v>-0.0147012467147106</v>
      </c>
      <c r="X352" s="26" t="n">
        <v>-0.0463432174114513</v>
      </c>
      <c r="Y352" s="26" t="n">
        <v>-0.197487627770655</v>
      </c>
      <c r="Z352" s="26" t="n">
        <v>-0.223154051465032</v>
      </c>
      <c r="AA352" s="26" t="n">
        <v>-0.200130776453548</v>
      </c>
      <c r="AB352" s="26" t="n">
        <v>-0.320620185249363</v>
      </c>
      <c r="AC352" s="27" t="n">
        <v>0.970424620290632</v>
      </c>
      <c r="AD352" s="28" t="n">
        <f aca="false">Params!$B$6*Params!$B$7*$R352</f>
        <v>11.505321395</v>
      </c>
      <c r="AE352" s="29" t="n">
        <f aca="false">MIN(Params!$B$9,AD352/Params!$B$4)</f>
        <v>0.02301064279</v>
      </c>
      <c r="AF352" s="29" t="n">
        <f aca="false">MIN(Params!$B$9,AD352/Params!$B$5)</f>
        <v>0.011505321395</v>
      </c>
      <c r="AG352" s="28" t="n">
        <f aca="false">IF($R352&gt;0,Params!$B$9*Params!$B$4/(Params!$B$6*$R352),"n/a")</f>
        <v>7.82246726624363</v>
      </c>
      <c r="AH352" s="28" t="n">
        <f aca="false">IF($R352&gt;0,Params!$B$9*Params!$B$5/(Params!$B$6*$R352),"n/a")</f>
        <v>15.6449345324873</v>
      </c>
      <c r="AI352" s="28" t="n">
        <f aca="false">IF($R352&gt;0,Params!$B$15*Params!$B$4/(Params!$B$6*$R352),"n/a")</f>
        <v>2.60748908874788</v>
      </c>
      <c r="AJ352" s="29" t="n">
        <f aca="false">MIN(Params!$B$9,AD352*Params!$B$8/Params!$B$4)</f>
        <v>0.011505321395</v>
      </c>
      <c r="AK352" s="28" t="n">
        <f aca="false">IF($R352&gt;0,Params!$B$9*Params!$B$4/(Params!$B$6*$R352*Params!$B$8),"n/a")</f>
        <v>15.6449345324873</v>
      </c>
      <c r="AL352" s="27" t="str">
        <f aca="false">IFERROR(ciq($D352,"IQ_PE_EXCL"),"")</f>
        <v/>
      </c>
      <c r="AM352" s="27" t="str">
        <f aca="false">IFERROR(ciq($D352,"IQ_PE_EXCL_FWD_CIQ"),"")</f>
        <v/>
      </c>
      <c r="AN352" s="27" t="str">
        <f aca="false">IFERROR(ciq($D352,"IQ_PBV"),"")</f>
        <v/>
      </c>
      <c r="AO352" s="27" t="str">
        <f aca="false">IFERROR(ciq($D352,"IQ_TEV_EBITDA"),"")</f>
        <v/>
      </c>
      <c r="AP352" s="24" t="str">
        <f aca="false">IFERROR(ciq($D352,"IQ_RETURN_EQUITY"),"")</f>
        <v/>
      </c>
      <c r="AQ352" s="24" t="str">
        <f aca="false">IFERROR(ciq($D352,"IQ_RETURN_CAPITAL"),"")</f>
        <v/>
      </c>
      <c r="AR352" s="24" t="str">
        <f aca="false">IFERROR(ciq($D352,"IQ_TOTAL_REV_1YR_ANN_GROWTH"),"")</f>
        <v/>
      </c>
      <c r="AS352" s="24" t="str">
        <f aca="false">IFERROR(ciq($D352,"IQ_EPS_1YR_ANN_GROWTH"),"")</f>
        <v/>
      </c>
      <c r="AT352" s="24" t="str">
        <f aca="false">IFERROR(ciq($D352,"IQ_DIVIDEND_YIELD"),"")</f>
        <v/>
      </c>
      <c r="AU352" s="24" t="str">
        <f aca="false">IFERROR(ciq($D352,"IQ_NET_DEBT"),"")</f>
        <v/>
      </c>
    </row>
    <row r="353" customFormat="false" ht="15" hidden="false" customHeight="false" outlineLevel="0" collapsed="false">
      <c r="A353" s="8" t="s">
        <v>1813</v>
      </c>
      <c r="B353" s="8" t="s">
        <v>1814</v>
      </c>
      <c r="C353" s="8" t="s">
        <v>74</v>
      </c>
      <c r="D353" s="8" t="s">
        <v>1815</v>
      </c>
      <c r="E353" s="8" t="s">
        <v>1816</v>
      </c>
      <c r="F353" s="6" t="s">
        <v>1817</v>
      </c>
      <c r="G353" s="8" t="s">
        <v>57</v>
      </c>
      <c r="H353" s="8" t="s">
        <v>66</v>
      </c>
      <c r="I353" s="8"/>
      <c r="J353" s="8"/>
      <c r="K353" s="8"/>
      <c r="L353" s="8" t="s">
        <v>241</v>
      </c>
      <c r="M353" s="23" t="n">
        <v>32200</v>
      </c>
      <c r="N353" s="23" t="n">
        <v>7061.187588</v>
      </c>
      <c r="O353" s="23" t="n">
        <v>7376.9674056</v>
      </c>
      <c r="P353" s="24" t="n">
        <v>29.2295782875</v>
      </c>
      <c r="Q353" s="24" t="n">
        <v>27.7999074458333</v>
      </c>
      <c r="R353" s="24" t="n">
        <v>27.7999074458333</v>
      </c>
      <c r="S353" s="25" t="n">
        <v>0.00413947058100731</v>
      </c>
      <c r="T353" s="26" t="n">
        <v>0.560749454430468</v>
      </c>
      <c r="U353" s="23" t="n">
        <v>0</v>
      </c>
      <c r="V353" s="26" t="n">
        <v>-0.06</v>
      </c>
      <c r="W353" s="26" t="n">
        <v>0.00180661991180542</v>
      </c>
      <c r="X353" s="26" t="n">
        <v>-0.107986746237043</v>
      </c>
      <c r="Y353" s="26" t="n">
        <v>-0.487400093841606</v>
      </c>
      <c r="Z353" s="26" t="n">
        <v>-0.50158781820929</v>
      </c>
      <c r="AA353" s="26" t="n">
        <v>-0.585020382043223</v>
      </c>
      <c r="AB353" s="26" t="n">
        <v>-0.597578360790722</v>
      </c>
      <c r="AC353" s="27" t="n">
        <v>0.863483172988035</v>
      </c>
      <c r="AD353" s="28" t="n">
        <f aca="false">Params!$B$6*Params!$B$7*$R353</f>
        <v>16.6799444675</v>
      </c>
      <c r="AE353" s="29" t="n">
        <f aca="false">MIN(Params!$B$9,AD353/Params!$B$4)</f>
        <v>0.033359888935</v>
      </c>
      <c r="AF353" s="29" t="n">
        <f aca="false">MIN(Params!$B$9,AD353/Params!$B$5)</f>
        <v>0.0166799444675</v>
      </c>
      <c r="AG353" s="28" t="n">
        <f aca="false">IF($R353&gt;0,Params!$B$9*Params!$B$4/(Params!$B$6*$R353),"n/a")</f>
        <v>5.39570141707368</v>
      </c>
      <c r="AH353" s="28" t="n">
        <f aca="false">IF($R353&gt;0,Params!$B$9*Params!$B$5/(Params!$B$6*$R353),"n/a")</f>
        <v>10.7914028341474</v>
      </c>
      <c r="AI353" s="28" t="n">
        <f aca="false">IF($R353&gt;0,Params!$B$15*Params!$B$4/(Params!$B$6*$R353),"n/a")</f>
        <v>1.79856713902456</v>
      </c>
      <c r="AJ353" s="29" t="n">
        <f aca="false">MIN(Params!$B$9,AD353*Params!$B$8/Params!$B$4)</f>
        <v>0.0166799444675</v>
      </c>
      <c r="AK353" s="28" t="n">
        <f aca="false">IF($R353&gt;0,Params!$B$9*Params!$B$4/(Params!$B$6*$R353*Params!$B$8),"n/a")</f>
        <v>10.7914028341474</v>
      </c>
      <c r="AL353" s="27" t="str">
        <f aca="false">IFERROR(ciq($D353,"IQ_PE_EXCL"),"")</f>
        <v/>
      </c>
      <c r="AM353" s="27" t="str">
        <f aca="false">IFERROR(ciq($D353,"IQ_PE_EXCL_FWD_CIQ"),"")</f>
        <v/>
      </c>
      <c r="AN353" s="27" t="str">
        <f aca="false">IFERROR(ciq($D353,"IQ_PBV"),"")</f>
        <v/>
      </c>
      <c r="AO353" s="27" t="str">
        <f aca="false">IFERROR(ciq($D353,"IQ_TEV_EBITDA"),"")</f>
        <v/>
      </c>
      <c r="AP353" s="24" t="str">
        <f aca="false">IFERROR(ciq($D353,"IQ_RETURN_EQUITY"),"")</f>
        <v/>
      </c>
      <c r="AQ353" s="24" t="str">
        <f aca="false">IFERROR(ciq($D353,"IQ_RETURN_CAPITAL"),"")</f>
        <v/>
      </c>
      <c r="AR353" s="24" t="str">
        <f aca="false">IFERROR(ciq($D353,"IQ_TOTAL_REV_1YR_ANN_GROWTH"),"")</f>
        <v/>
      </c>
      <c r="AS353" s="24" t="str">
        <f aca="false">IFERROR(ciq($D353,"IQ_EPS_1YR_ANN_GROWTH"),"")</f>
        <v/>
      </c>
      <c r="AT353" s="24" t="str">
        <f aca="false">IFERROR(ciq($D353,"IQ_DIVIDEND_YIELD"),"")</f>
        <v/>
      </c>
      <c r="AU353" s="24" t="str">
        <f aca="false">IFERROR(ciq($D353,"IQ_NET_DEBT"),"")</f>
        <v/>
      </c>
    </row>
    <row r="354" customFormat="false" ht="15" hidden="false" customHeight="false" outlineLevel="0" collapsed="false">
      <c r="A354" s="8" t="s">
        <v>1818</v>
      </c>
      <c r="B354" s="6" t="s">
        <v>1819</v>
      </c>
      <c r="C354" s="8" t="s">
        <v>74</v>
      </c>
      <c r="D354" s="8" t="s">
        <v>1820</v>
      </c>
      <c r="E354" s="8" t="s">
        <v>1821</v>
      </c>
      <c r="F354" s="6" t="s">
        <v>627</v>
      </c>
      <c r="G354" s="8" t="s">
        <v>57</v>
      </c>
      <c r="H354" s="8" t="s">
        <v>66</v>
      </c>
      <c r="I354" s="8"/>
      <c r="J354" s="8"/>
      <c r="K354" s="8"/>
      <c r="L354" s="8" t="s">
        <v>241</v>
      </c>
      <c r="M354" s="23" t="n">
        <v>29200</v>
      </c>
      <c r="N354" s="23" t="n">
        <v>6917.692576</v>
      </c>
      <c r="O354" s="23" t="n">
        <v>7277.1993734</v>
      </c>
      <c r="P354" s="24" t="n">
        <v>47.1664733625</v>
      </c>
      <c r="Q354" s="24" t="n">
        <v>46.4712706291667</v>
      </c>
      <c r="R354" s="24" t="n">
        <v>46.4712706291667</v>
      </c>
      <c r="S354" s="25" t="n">
        <v>0.00681823785088943</v>
      </c>
      <c r="T354" s="26" t="n">
        <v>0.784166999162979</v>
      </c>
      <c r="U354" s="23" t="n">
        <v>0</v>
      </c>
      <c r="V354" s="26" t="n">
        <v>-0.06</v>
      </c>
      <c r="W354" s="26" t="n">
        <v>-0.0594907822447985</v>
      </c>
      <c r="X354" s="26" t="n">
        <v>-0.256600135349561</v>
      </c>
      <c r="Y354" s="26" t="n">
        <v>-0.401176222749402</v>
      </c>
      <c r="Z354" s="26" t="n">
        <v>-0.222862478191818</v>
      </c>
      <c r="AA354" s="26" t="n">
        <v>-0.276474979023516</v>
      </c>
      <c r="AB354" s="26" t="n">
        <v>-0.520253323599755</v>
      </c>
      <c r="AC354" s="27" t="n">
        <v>0.606674902663795</v>
      </c>
      <c r="AD354" s="28" t="n">
        <f aca="false">Params!$B$6*Params!$B$7*$R354</f>
        <v>27.8827623775</v>
      </c>
      <c r="AE354" s="29" t="n">
        <f aca="false">MIN(Params!$B$9,AD354/Params!$B$4)</f>
        <v>0.055765524755</v>
      </c>
      <c r="AF354" s="29" t="n">
        <f aca="false">MIN(Params!$B$9,AD354/Params!$B$5)</f>
        <v>0.0278827623775</v>
      </c>
      <c r="AG354" s="28" t="n">
        <f aca="false">IF($R354&gt;0,Params!$B$9*Params!$B$4/(Params!$B$6*$R354),"n/a")</f>
        <v>3.22780070286815</v>
      </c>
      <c r="AH354" s="28" t="n">
        <f aca="false">IF($R354&gt;0,Params!$B$9*Params!$B$5/(Params!$B$6*$R354),"n/a")</f>
        <v>6.45560140573629</v>
      </c>
      <c r="AI354" s="28" t="n">
        <f aca="false">IF($R354&gt;0,Params!$B$15*Params!$B$4/(Params!$B$6*$R354),"n/a")</f>
        <v>1.07593356762272</v>
      </c>
      <c r="AJ354" s="29" t="n">
        <f aca="false">MIN(Params!$B$9,AD354*Params!$B$8/Params!$B$4)</f>
        <v>0.0278827623775</v>
      </c>
      <c r="AK354" s="28" t="n">
        <f aca="false">IF($R354&gt;0,Params!$B$9*Params!$B$4/(Params!$B$6*$R354*Params!$B$8),"n/a")</f>
        <v>6.45560140573629</v>
      </c>
      <c r="AL354" s="27" t="str">
        <f aca="false">IFERROR(ciq($D354,"IQ_PE_EXCL"),"")</f>
        <v/>
      </c>
      <c r="AM354" s="27" t="str">
        <f aca="false">IFERROR(ciq($D354,"IQ_PE_EXCL_FWD_CIQ"),"")</f>
        <v/>
      </c>
      <c r="AN354" s="27" t="str">
        <f aca="false">IFERROR(ciq($D354,"IQ_PBV"),"")</f>
        <v/>
      </c>
      <c r="AO354" s="27" t="str">
        <f aca="false">IFERROR(ciq($D354,"IQ_TEV_EBITDA"),"")</f>
        <v/>
      </c>
      <c r="AP354" s="24" t="str">
        <f aca="false">IFERROR(ciq($D354,"IQ_RETURN_EQUITY"),"")</f>
        <v/>
      </c>
      <c r="AQ354" s="24" t="str">
        <f aca="false">IFERROR(ciq($D354,"IQ_RETURN_CAPITAL"),"")</f>
        <v/>
      </c>
      <c r="AR354" s="24" t="str">
        <f aca="false">IFERROR(ciq($D354,"IQ_TOTAL_REV_1YR_ANN_GROWTH"),"")</f>
        <v/>
      </c>
      <c r="AS354" s="24" t="str">
        <f aca="false">IFERROR(ciq($D354,"IQ_EPS_1YR_ANN_GROWTH"),"")</f>
        <v/>
      </c>
      <c r="AT354" s="24" t="str">
        <f aca="false">IFERROR(ciq($D354,"IQ_DIVIDEND_YIELD"),"")</f>
        <v/>
      </c>
      <c r="AU354" s="24" t="str">
        <f aca="false">IFERROR(ciq($D354,"IQ_NET_DEBT"),"")</f>
        <v/>
      </c>
    </row>
    <row r="355" customFormat="false" ht="15" hidden="false" customHeight="false" outlineLevel="0" collapsed="false">
      <c r="A355" s="8" t="s">
        <v>1822</v>
      </c>
      <c r="B355" s="6" t="s">
        <v>1823</v>
      </c>
      <c r="C355" s="8" t="s">
        <v>73</v>
      </c>
      <c r="D355" s="8" t="s">
        <v>1824</v>
      </c>
      <c r="E355" s="8" t="s">
        <v>1825</v>
      </c>
      <c r="F355" s="6" t="s">
        <v>577</v>
      </c>
      <c r="G355" s="8" t="s">
        <v>57</v>
      </c>
      <c r="H355" s="8" t="s">
        <v>66</v>
      </c>
      <c r="I355" s="8"/>
      <c r="J355" s="8"/>
      <c r="K355" s="8"/>
      <c r="L355" s="8"/>
      <c r="M355" s="23" t="n">
        <v>135800</v>
      </c>
      <c r="N355" s="23" t="n">
        <v>6627.04</v>
      </c>
      <c r="O355" s="23" t="n">
        <v>7057.7</v>
      </c>
      <c r="P355" s="24" t="n">
        <v>18.104458925</v>
      </c>
      <c r="Q355" s="24" t="n">
        <v>19.5363842583333</v>
      </c>
      <c r="R355" s="24" t="n">
        <v>18.104458925</v>
      </c>
      <c r="S355" s="25" t="n">
        <v>0.00273190729571573</v>
      </c>
      <c r="T355" s="26" t="n">
        <v>0.772173485907787</v>
      </c>
      <c r="U355" s="23" t="n">
        <v>1</v>
      </c>
      <c r="V355" s="26" t="n">
        <v>-0.06</v>
      </c>
      <c r="W355" s="26" t="n">
        <v>-0.0334494431103366</v>
      </c>
      <c r="X355" s="26" t="n">
        <v>0.223654067046347</v>
      </c>
      <c r="Y355" s="26" t="n">
        <v>0.269484223993603</v>
      </c>
      <c r="Z355" s="26" t="n">
        <v>0.121611599946989</v>
      </c>
      <c r="AA355" s="26" t="n">
        <v>0.655862882443124</v>
      </c>
      <c r="AB355" s="26" t="n">
        <v>-0.166909499409713</v>
      </c>
      <c r="AC355" s="27" t="n">
        <v>1.18392692368405</v>
      </c>
      <c r="AD355" s="28" t="n">
        <f aca="false">Params!$B$6*Params!$B$7*$R355</f>
        <v>10.862675355</v>
      </c>
      <c r="AE355" s="29" t="n">
        <f aca="false">MIN(Params!$B$9,AD355/Params!$B$4)</f>
        <v>0.02172535071</v>
      </c>
      <c r="AF355" s="29" t="n">
        <f aca="false">MIN(Params!$B$9,AD355/Params!$B$5)</f>
        <v>0.010862675355</v>
      </c>
      <c r="AG355" s="28" t="n">
        <f aca="false">IF($R355&gt;0,Params!$B$9*Params!$B$4/(Params!$B$6*$R355),"n/a")</f>
        <v>8.28525175048831</v>
      </c>
      <c r="AH355" s="28" t="n">
        <f aca="false">IF($R355&gt;0,Params!$B$9*Params!$B$5/(Params!$B$6*$R355),"n/a")</f>
        <v>16.5705035009766</v>
      </c>
      <c r="AI355" s="28" t="n">
        <f aca="false">IF($R355&gt;0,Params!$B$15*Params!$B$4/(Params!$B$6*$R355),"n/a")</f>
        <v>2.7617505834961</v>
      </c>
      <c r="AJ355" s="29" t="n">
        <f aca="false">MIN(Params!$B$9,AD355*Params!$B$8/Params!$B$4)</f>
        <v>0.010862675355</v>
      </c>
      <c r="AK355" s="28" t="n">
        <f aca="false">IF($R355&gt;0,Params!$B$9*Params!$B$4/(Params!$B$6*$R355*Params!$B$8),"n/a")</f>
        <v>16.5705035009766</v>
      </c>
      <c r="AL355" s="27" t="str">
        <f aca="false">IFERROR(ciq($D355,"IQ_PE_EXCL"),"")</f>
        <v/>
      </c>
      <c r="AM355" s="27" t="str">
        <f aca="false">IFERROR(ciq($D355,"IQ_PE_EXCL_FWD_CIQ"),"")</f>
        <v/>
      </c>
      <c r="AN355" s="27" t="str">
        <f aca="false">IFERROR(ciq($D355,"IQ_PBV"),"")</f>
        <v/>
      </c>
      <c r="AO355" s="27" t="str">
        <f aca="false">IFERROR(ciq($D355,"IQ_TEV_EBITDA"),"")</f>
        <v/>
      </c>
      <c r="AP355" s="24" t="str">
        <f aca="false">IFERROR(ciq($D355,"IQ_RETURN_EQUITY"),"")</f>
        <v/>
      </c>
      <c r="AQ355" s="24" t="str">
        <f aca="false">IFERROR(ciq($D355,"IQ_RETURN_CAPITAL"),"")</f>
        <v/>
      </c>
      <c r="AR355" s="24" t="str">
        <f aca="false">IFERROR(ciq($D355,"IQ_TOTAL_REV_1YR_ANN_GROWTH"),"")</f>
        <v/>
      </c>
      <c r="AS355" s="24" t="str">
        <f aca="false">IFERROR(ciq($D355,"IQ_EPS_1YR_ANN_GROWTH"),"")</f>
        <v/>
      </c>
      <c r="AT355" s="24" t="str">
        <f aca="false">IFERROR(ciq($D355,"IQ_DIVIDEND_YIELD"),"")</f>
        <v/>
      </c>
      <c r="AU355" s="24" t="str">
        <f aca="false">IFERROR(ciq($D355,"IQ_NET_DEBT"),"")</f>
        <v/>
      </c>
    </row>
    <row r="356" customFormat="false" ht="15" hidden="false" customHeight="false" outlineLevel="0" collapsed="false">
      <c r="A356" s="8" t="s">
        <v>1826</v>
      </c>
      <c r="B356" s="6" t="s">
        <v>1827</v>
      </c>
      <c r="C356" s="8" t="s">
        <v>73</v>
      </c>
      <c r="D356" s="8" t="s">
        <v>1828</v>
      </c>
      <c r="E356" s="8" t="s">
        <v>1829</v>
      </c>
      <c r="F356" s="8"/>
      <c r="G356" s="8" t="s">
        <v>57</v>
      </c>
      <c r="H356" s="8" t="s">
        <v>66</v>
      </c>
      <c r="I356" s="8"/>
      <c r="J356" s="8"/>
      <c r="K356" s="8"/>
      <c r="L356" s="8" t="s">
        <v>115</v>
      </c>
      <c r="M356" s="23" t="n">
        <v>68600</v>
      </c>
      <c r="N356" s="23" t="n">
        <v>6622.944468</v>
      </c>
      <c r="O356" s="23" t="n">
        <v>7240.8285</v>
      </c>
      <c r="P356" s="24" t="n">
        <v>32.363759525</v>
      </c>
      <c r="Q356" s="24" t="n">
        <v>53.7077492333333</v>
      </c>
      <c r="R356" s="24" t="n">
        <v>32.363759525</v>
      </c>
      <c r="S356" s="25" t="n">
        <v>0.00488661194146676</v>
      </c>
      <c r="T356" s="26" t="n">
        <v>0.979033656369936</v>
      </c>
      <c r="U356" s="23" t="n">
        <v>2</v>
      </c>
      <c r="V356" s="26" t="n">
        <v>-0.04</v>
      </c>
      <c r="W356" s="26" t="n">
        <v>-0.131595812481962</v>
      </c>
      <c r="X356" s="26" t="n">
        <v>-0.36170681963324</v>
      </c>
      <c r="Y356" s="26" t="n">
        <v>-0.505445611096206</v>
      </c>
      <c r="Z356" s="26" t="n">
        <v>-0.312648763321105</v>
      </c>
      <c r="AA356" s="26"/>
      <c r="AB356" s="26" t="n">
        <v>-0.582395324839285</v>
      </c>
      <c r="AC356" s="27" t="n">
        <v>0.287562089276324</v>
      </c>
      <c r="AD356" s="28" t="n">
        <f aca="false">Params!$B$6*Params!$B$7*$R356</f>
        <v>19.418255715</v>
      </c>
      <c r="AE356" s="29" t="n">
        <f aca="false">MIN(Params!$B$9,AD356/Params!$B$4)</f>
        <v>0.03883651143</v>
      </c>
      <c r="AF356" s="29" t="n">
        <f aca="false">MIN(Params!$B$9,AD356/Params!$B$5)</f>
        <v>0.019418255715</v>
      </c>
      <c r="AG356" s="28" t="n">
        <f aca="false">IF($R356&gt;0,Params!$B$9*Params!$B$4/(Params!$B$6*$R356),"n/a")</f>
        <v>4.63481382266883</v>
      </c>
      <c r="AH356" s="28" t="n">
        <f aca="false">IF($R356&gt;0,Params!$B$9*Params!$B$5/(Params!$B$6*$R356),"n/a")</f>
        <v>9.26962764533766</v>
      </c>
      <c r="AI356" s="28" t="n">
        <f aca="false">IF($R356&gt;0,Params!$B$15*Params!$B$4/(Params!$B$6*$R356),"n/a")</f>
        <v>1.54493794088961</v>
      </c>
      <c r="AJ356" s="29" t="n">
        <f aca="false">MIN(Params!$B$9,AD356*Params!$B$8/Params!$B$4)</f>
        <v>0.019418255715</v>
      </c>
      <c r="AK356" s="28" t="n">
        <f aca="false">IF($R356&gt;0,Params!$B$9*Params!$B$4/(Params!$B$6*$R356*Params!$B$8),"n/a")</f>
        <v>9.26962764533766</v>
      </c>
      <c r="AL356" s="27" t="str">
        <f aca="false">IFERROR(ciq($D356,"IQ_PE_EXCL"),"")</f>
        <v/>
      </c>
      <c r="AM356" s="27" t="str">
        <f aca="false">IFERROR(ciq($D356,"IQ_PE_EXCL_FWD_CIQ"),"")</f>
        <v/>
      </c>
      <c r="AN356" s="27" t="str">
        <f aca="false">IFERROR(ciq($D356,"IQ_PBV"),"")</f>
        <v/>
      </c>
      <c r="AO356" s="27" t="str">
        <f aca="false">IFERROR(ciq($D356,"IQ_TEV_EBITDA"),"")</f>
        <v/>
      </c>
      <c r="AP356" s="24" t="str">
        <f aca="false">IFERROR(ciq($D356,"IQ_RETURN_EQUITY"),"")</f>
        <v/>
      </c>
      <c r="AQ356" s="24" t="str">
        <f aca="false">IFERROR(ciq($D356,"IQ_RETURN_CAPITAL"),"")</f>
        <v/>
      </c>
      <c r="AR356" s="24" t="str">
        <f aca="false">IFERROR(ciq($D356,"IQ_TOTAL_REV_1YR_ANN_GROWTH"),"")</f>
        <v/>
      </c>
      <c r="AS356" s="24" t="str">
        <f aca="false">IFERROR(ciq($D356,"IQ_EPS_1YR_ANN_GROWTH"),"")</f>
        <v/>
      </c>
      <c r="AT356" s="24" t="str">
        <f aca="false">IFERROR(ciq($D356,"IQ_DIVIDEND_YIELD"),"")</f>
        <v/>
      </c>
      <c r="AU356" s="24" t="str">
        <f aca="false">IFERROR(ciq($D356,"IQ_NET_DEBT"),"")</f>
        <v/>
      </c>
    </row>
    <row r="357" customFormat="false" ht="15" hidden="false" customHeight="false" outlineLevel="0" collapsed="false">
      <c r="A357" s="8" t="s">
        <v>388</v>
      </c>
      <c r="B357" s="6" t="s">
        <v>389</v>
      </c>
      <c r="C357" s="8" t="s">
        <v>73</v>
      </c>
      <c r="D357" s="8" t="s">
        <v>1830</v>
      </c>
      <c r="E357" s="8" t="s">
        <v>1831</v>
      </c>
      <c r="F357" s="8"/>
      <c r="G357" s="8" t="s">
        <v>57</v>
      </c>
      <c r="H357" s="8" t="s">
        <v>66</v>
      </c>
      <c r="I357" s="8" t="s">
        <v>508</v>
      </c>
      <c r="J357" s="8"/>
      <c r="K357" s="8"/>
      <c r="L357" s="6" t="s">
        <v>351</v>
      </c>
      <c r="M357" s="23" t="n">
        <v>8560</v>
      </c>
      <c r="N357" s="23" t="n">
        <v>6373.620208</v>
      </c>
      <c r="O357" s="23" t="n">
        <v>7287.2220766</v>
      </c>
      <c r="P357" s="24" t="n">
        <v>40.95473745</v>
      </c>
      <c r="Q357" s="24" t="n">
        <v>47.88009156</v>
      </c>
      <c r="R357" s="24" t="n">
        <v>40.95473745</v>
      </c>
      <c r="S357" s="25" t="n">
        <v>0.00642566329863751</v>
      </c>
      <c r="T357" s="26" t="n">
        <v>0.856888644051889</v>
      </c>
      <c r="U357" s="23" t="n">
        <v>0</v>
      </c>
      <c r="V357" s="26" t="n">
        <v>-0.06</v>
      </c>
      <c r="W357" s="26" t="n">
        <v>-0.204528753004342</v>
      </c>
      <c r="X357" s="26" t="n">
        <v>-0.41488666857657</v>
      </c>
      <c r="Y357" s="26" t="n">
        <v>-0.494167673973529</v>
      </c>
      <c r="Z357" s="26" t="n">
        <v>-0.555724743785064</v>
      </c>
      <c r="AA357" s="26" t="n">
        <v>-0.539007827380461</v>
      </c>
      <c r="AB357" s="26" t="n">
        <v>-0.627710171316234</v>
      </c>
      <c r="AC357" s="27" t="n">
        <v>0.665363066451437</v>
      </c>
      <c r="AD357" s="28" t="n">
        <f aca="false">Params!$B$6*Params!$B$7*$R357</f>
        <v>24.57284247</v>
      </c>
      <c r="AE357" s="29" t="n">
        <f aca="false">MIN(Params!$B$9,AD357/Params!$B$4)</f>
        <v>0.04914568494</v>
      </c>
      <c r="AF357" s="29" t="n">
        <f aca="false">MIN(Params!$B$9,AD357/Params!$B$5)</f>
        <v>0.02457284247</v>
      </c>
      <c r="AG357" s="28" t="n">
        <f aca="false">IF($R357&gt;0,Params!$B$9*Params!$B$4/(Params!$B$6*$R357),"n/a")</f>
        <v>3.66257994409387</v>
      </c>
      <c r="AH357" s="28" t="n">
        <f aca="false">IF($R357&gt;0,Params!$B$9*Params!$B$5/(Params!$B$6*$R357),"n/a")</f>
        <v>7.32515988818773</v>
      </c>
      <c r="AI357" s="28" t="n">
        <f aca="false">IF($R357&gt;0,Params!$B$15*Params!$B$4/(Params!$B$6*$R357),"n/a")</f>
        <v>1.22085998136462</v>
      </c>
      <c r="AJ357" s="29" t="n">
        <f aca="false">MIN(Params!$B$9,AD357*Params!$B$8/Params!$B$4)</f>
        <v>0.02457284247</v>
      </c>
      <c r="AK357" s="28" t="n">
        <f aca="false">IF($R357&gt;0,Params!$B$9*Params!$B$4/(Params!$B$6*$R357*Params!$B$8),"n/a")</f>
        <v>7.32515988818773</v>
      </c>
      <c r="AL357" s="27" t="str">
        <f aca="false">IFERROR(ciq($D357,"IQ_PE_EXCL"),"")</f>
        <v/>
      </c>
      <c r="AM357" s="27" t="str">
        <f aca="false">IFERROR(ciq($D357,"IQ_PE_EXCL_FWD_CIQ"),"")</f>
        <v/>
      </c>
      <c r="AN357" s="27" t="str">
        <f aca="false">IFERROR(ciq($D357,"IQ_PBV"),"")</f>
        <v/>
      </c>
      <c r="AO357" s="27" t="str">
        <f aca="false">IFERROR(ciq($D357,"IQ_TEV_EBITDA"),"")</f>
        <v/>
      </c>
      <c r="AP357" s="24" t="str">
        <f aca="false">IFERROR(ciq($D357,"IQ_RETURN_EQUITY"),"")</f>
        <v/>
      </c>
      <c r="AQ357" s="24" t="str">
        <f aca="false">IFERROR(ciq($D357,"IQ_RETURN_CAPITAL"),"")</f>
        <v/>
      </c>
      <c r="AR357" s="24" t="str">
        <f aca="false">IFERROR(ciq($D357,"IQ_TOTAL_REV_1YR_ANN_GROWTH"),"")</f>
        <v/>
      </c>
      <c r="AS357" s="24" t="str">
        <f aca="false">IFERROR(ciq($D357,"IQ_EPS_1YR_ANN_GROWTH"),"")</f>
        <v/>
      </c>
      <c r="AT357" s="24" t="str">
        <f aca="false">IFERROR(ciq($D357,"IQ_DIVIDEND_YIELD"),"")</f>
        <v/>
      </c>
      <c r="AU357" s="24" t="str">
        <f aca="false">IFERROR(ciq($D357,"IQ_NET_DEBT"),"")</f>
        <v/>
      </c>
    </row>
    <row r="358" customFormat="false" ht="15" hidden="false" customHeight="false" outlineLevel="0" collapsed="false">
      <c r="A358" s="8" t="s">
        <v>390</v>
      </c>
      <c r="B358" s="6" t="s">
        <v>391</v>
      </c>
      <c r="C358" s="8" t="s">
        <v>73</v>
      </c>
      <c r="D358" s="8" t="s">
        <v>1832</v>
      </c>
      <c r="E358" s="8" t="s">
        <v>1833</v>
      </c>
      <c r="F358" s="8"/>
      <c r="G358" s="8" t="s">
        <v>58</v>
      </c>
      <c r="H358" s="8" t="s">
        <v>67</v>
      </c>
      <c r="I358" s="8" t="s">
        <v>508</v>
      </c>
      <c r="J358" s="8"/>
      <c r="K358" s="8"/>
      <c r="L358" s="6" t="s">
        <v>172</v>
      </c>
      <c r="M358" s="23" t="n">
        <v>17110</v>
      </c>
      <c r="N358" s="23" t="n">
        <v>7769.281424</v>
      </c>
      <c r="O358" s="23" t="n">
        <v>6936.5016384</v>
      </c>
      <c r="P358" s="24" t="n">
        <v>179.7178906</v>
      </c>
      <c r="Q358" s="24" t="n">
        <v>96.0221603233333</v>
      </c>
      <c r="R358" s="24" t="n">
        <v>96.0221603233333</v>
      </c>
      <c r="S358" s="25" t="n">
        <v>0.0231318549029303</v>
      </c>
      <c r="T358" s="26" t="n">
        <v>1.18596891488974</v>
      </c>
      <c r="U358" s="23" t="n">
        <v>3</v>
      </c>
      <c r="V358" s="26" t="n">
        <v>-0.04</v>
      </c>
      <c r="W358" s="26" t="n">
        <v>0.313167285890091</v>
      </c>
      <c r="X358" s="26" t="n">
        <v>0.0793667184799554</v>
      </c>
      <c r="Y358" s="26" t="n">
        <v>-0.202339523676969</v>
      </c>
      <c r="Z358" s="26" t="n">
        <v>-0.124653132632964</v>
      </c>
      <c r="AA358" s="26" t="n">
        <v>1.770639804642</v>
      </c>
      <c r="AB358" s="26" t="n">
        <v>-0.349500387819801</v>
      </c>
      <c r="AC358" s="27" t="n">
        <v>1.52422325925559</v>
      </c>
      <c r="AD358" s="28" t="n">
        <f aca="false">Params!$B$6*Params!$B$7*$R358</f>
        <v>57.613296194</v>
      </c>
      <c r="AE358" s="29" t="n">
        <f aca="false">MIN(Params!$B$9,AD358/Params!$B$4)</f>
        <v>0.06</v>
      </c>
      <c r="AF358" s="29" t="n">
        <f aca="false">MIN(Params!$B$9,AD358/Params!$B$5)</f>
        <v>0.057613296194</v>
      </c>
      <c r="AG358" s="28" t="n">
        <f aca="false">IF($R358&gt;0,Params!$B$9*Params!$B$4/(Params!$B$6*$R358),"n/a")</f>
        <v>1.56213940089359</v>
      </c>
      <c r="AH358" s="28" t="n">
        <f aca="false">IF($R358&gt;0,Params!$B$9*Params!$B$5/(Params!$B$6*$R358),"n/a")</f>
        <v>3.12427880178718</v>
      </c>
      <c r="AI358" s="28" t="n">
        <f aca="false">IF($R358&gt;0,Params!$B$15*Params!$B$4/(Params!$B$6*$R358),"n/a")</f>
        <v>0.520713133631196</v>
      </c>
      <c r="AJ358" s="29" t="n">
        <f aca="false">MIN(Params!$B$9,AD358*Params!$B$8/Params!$B$4)</f>
        <v>0.057613296194</v>
      </c>
      <c r="AK358" s="28" t="n">
        <f aca="false">IF($R358&gt;0,Params!$B$9*Params!$B$4/(Params!$B$6*$R358*Params!$B$8),"n/a")</f>
        <v>3.12427880178718</v>
      </c>
      <c r="AL358" s="27" t="str">
        <f aca="false">IFERROR(ciq($D358,"IQ_PE_EXCL"),"")</f>
        <v/>
      </c>
      <c r="AM358" s="27" t="str">
        <f aca="false">IFERROR(ciq($D358,"IQ_PE_EXCL_FWD_CIQ"),"")</f>
        <v/>
      </c>
      <c r="AN358" s="27" t="str">
        <f aca="false">IFERROR(ciq($D358,"IQ_PBV"),"")</f>
        <v/>
      </c>
      <c r="AO358" s="27" t="str">
        <f aca="false">IFERROR(ciq($D358,"IQ_TEV_EBITDA"),"")</f>
        <v/>
      </c>
      <c r="AP358" s="24" t="str">
        <f aca="false">IFERROR(ciq($D358,"IQ_RETURN_EQUITY"),"")</f>
        <v/>
      </c>
      <c r="AQ358" s="24" t="str">
        <f aca="false">IFERROR(ciq($D358,"IQ_RETURN_CAPITAL"),"")</f>
        <v/>
      </c>
      <c r="AR358" s="24" t="str">
        <f aca="false">IFERROR(ciq($D358,"IQ_TOTAL_REV_1YR_ANN_GROWTH"),"")</f>
        <v/>
      </c>
      <c r="AS358" s="24" t="str">
        <f aca="false">IFERROR(ciq($D358,"IQ_EPS_1YR_ANN_GROWTH"),"")</f>
        <v/>
      </c>
      <c r="AT358" s="24" t="str">
        <f aca="false">IFERROR(ciq($D358,"IQ_DIVIDEND_YIELD"),"")</f>
        <v/>
      </c>
      <c r="AU358" s="24" t="str">
        <f aca="false">IFERROR(ciq($D358,"IQ_NET_DEBT"),"")</f>
        <v/>
      </c>
    </row>
    <row r="359" customFormat="false" ht="15" hidden="false" customHeight="false" outlineLevel="0" collapsed="false">
      <c r="A359" s="8" t="s">
        <v>392</v>
      </c>
      <c r="B359" s="6" t="s">
        <v>393</v>
      </c>
      <c r="C359" s="8" t="s">
        <v>73</v>
      </c>
      <c r="D359" s="8" t="s">
        <v>1834</v>
      </c>
      <c r="E359" s="8" t="s">
        <v>1835</v>
      </c>
      <c r="F359" s="6" t="s">
        <v>507</v>
      </c>
      <c r="G359" s="8" t="s">
        <v>58</v>
      </c>
      <c r="H359" s="8" t="s">
        <v>67</v>
      </c>
      <c r="I359" s="8" t="s">
        <v>508</v>
      </c>
      <c r="J359" s="8"/>
      <c r="K359" s="8"/>
      <c r="L359" s="8" t="s">
        <v>394</v>
      </c>
      <c r="M359" s="23" t="n">
        <v>8830</v>
      </c>
      <c r="N359" s="23" t="n">
        <v>7357.3226221</v>
      </c>
      <c r="O359" s="23" t="n">
        <v>5504.24385522</v>
      </c>
      <c r="P359" s="24" t="n">
        <v>122.3381348925</v>
      </c>
      <c r="Q359" s="24" t="n">
        <v>70.838421276</v>
      </c>
      <c r="R359" s="24" t="n">
        <v>70.838421276</v>
      </c>
      <c r="S359" s="25" t="n">
        <v>0.0166280780626664</v>
      </c>
      <c r="T359" s="26" t="n">
        <v>1.06241376943803</v>
      </c>
      <c r="U359" s="23" t="n">
        <v>2</v>
      </c>
      <c r="V359" s="26" t="n">
        <v>-0.04</v>
      </c>
      <c r="W359" s="26" t="n">
        <v>0.593756413383475</v>
      </c>
      <c r="X359" s="26" t="n">
        <v>-0.0497299070560334</v>
      </c>
      <c r="Y359" s="26" t="n">
        <v>0.554604126067418</v>
      </c>
      <c r="Z359" s="26" t="n">
        <v>0.605757140444479</v>
      </c>
      <c r="AA359" s="26" t="n">
        <v>1.12165410178847</v>
      </c>
      <c r="AB359" s="26" t="n">
        <v>-0.523990384218013</v>
      </c>
      <c r="AC359" s="27" t="n">
        <v>0.490910573789914</v>
      </c>
      <c r="AD359" s="28" t="n">
        <f aca="false">Params!$B$6*Params!$B$7*$R359</f>
        <v>42.5030527656</v>
      </c>
      <c r="AE359" s="29" t="n">
        <f aca="false">MIN(Params!$B$9,AD359/Params!$B$4)</f>
        <v>0.06</v>
      </c>
      <c r="AF359" s="29" t="n">
        <f aca="false">MIN(Params!$B$9,AD359/Params!$B$5)</f>
        <v>0.0425030527656</v>
      </c>
      <c r="AG359" s="28" t="n">
        <f aca="false">IF($R359&gt;0,Params!$B$9*Params!$B$4/(Params!$B$6*$R359),"n/a")</f>
        <v>2.11749495962892</v>
      </c>
      <c r="AH359" s="28" t="n">
        <f aca="false">IF($R359&gt;0,Params!$B$9*Params!$B$5/(Params!$B$6*$R359),"n/a")</f>
        <v>4.23498991925784</v>
      </c>
      <c r="AI359" s="28" t="n">
        <f aca="false">IF($R359&gt;0,Params!$B$15*Params!$B$4/(Params!$B$6*$R359),"n/a")</f>
        <v>0.70583165320964</v>
      </c>
      <c r="AJ359" s="29" t="n">
        <f aca="false">MIN(Params!$B$9,AD359*Params!$B$8/Params!$B$4)</f>
        <v>0.0425030527656</v>
      </c>
      <c r="AK359" s="28" t="n">
        <f aca="false">IF($R359&gt;0,Params!$B$9*Params!$B$4/(Params!$B$6*$R359*Params!$B$8),"n/a")</f>
        <v>4.23498991925784</v>
      </c>
      <c r="AL359" s="27" t="str">
        <f aca="false">IFERROR(ciq($D359,"IQ_PE_EXCL"),"")</f>
        <v/>
      </c>
      <c r="AM359" s="27" t="str">
        <f aca="false">IFERROR(ciq($D359,"IQ_PE_EXCL_FWD_CIQ"),"")</f>
        <v/>
      </c>
      <c r="AN359" s="27" t="str">
        <f aca="false">IFERROR(ciq($D359,"IQ_PBV"),"")</f>
        <v/>
      </c>
      <c r="AO359" s="27" t="str">
        <f aca="false">IFERROR(ciq($D359,"IQ_TEV_EBITDA"),"")</f>
        <v/>
      </c>
      <c r="AP359" s="24" t="str">
        <f aca="false">IFERROR(ciq($D359,"IQ_RETURN_EQUITY"),"")</f>
        <v/>
      </c>
      <c r="AQ359" s="24" t="str">
        <f aca="false">IFERROR(ciq($D359,"IQ_RETURN_CAPITAL"),"")</f>
        <v/>
      </c>
      <c r="AR359" s="24" t="str">
        <f aca="false">IFERROR(ciq($D359,"IQ_TOTAL_REV_1YR_ANN_GROWTH"),"")</f>
        <v/>
      </c>
      <c r="AS359" s="24" t="str">
        <f aca="false">IFERROR(ciq($D359,"IQ_EPS_1YR_ANN_GROWTH"),"")</f>
        <v/>
      </c>
      <c r="AT359" s="24" t="str">
        <f aca="false">IFERROR(ciq($D359,"IQ_DIVIDEND_YIELD"),"")</f>
        <v/>
      </c>
      <c r="AU359" s="24" t="str">
        <f aca="false">IFERROR(ciq($D359,"IQ_NET_DEBT"),"")</f>
        <v/>
      </c>
    </row>
    <row r="360" customFormat="false" ht="15" hidden="false" customHeight="false" outlineLevel="0" collapsed="false">
      <c r="A360" s="8" t="s">
        <v>1836</v>
      </c>
      <c r="B360" s="6" t="s">
        <v>1837</v>
      </c>
      <c r="C360" s="8" t="s">
        <v>74</v>
      </c>
      <c r="D360" s="8" t="s">
        <v>1838</v>
      </c>
      <c r="E360" s="8" t="s">
        <v>1839</v>
      </c>
      <c r="F360" s="6" t="s">
        <v>1339</v>
      </c>
      <c r="G360" s="8" t="s">
        <v>58</v>
      </c>
      <c r="H360" s="8" t="s">
        <v>67</v>
      </c>
      <c r="I360" s="8"/>
      <c r="J360" s="8"/>
      <c r="K360" s="8"/>
      <c r="L360" s="8"/>
      <c r="M360" s="23" t="n">
        <v>11110</v>
      </c>
      <c r="N360" s="23" t="n">
        <v>7141.1661453</v>
      </c>
      <c r="O360" s="23" t="n">
        <v>6970.83229935</v>
      </c>
      <c r="P360" s="24" t="n">
        <v>50.9899759275</v>
      </c>
      <c r="Q360" s="24" t="n">
        <v>52.9168635366667</v>
      </c>
      <c r="R360" s="24" t="n">
        <v>50.9899759275</v>
      </c>
      <c r="S360" s="25" t="n">
        <v>0.00714028701895689</v>
      </c>
      <c r="T360" s="26" t="n">
        <v>0.65038796763215</v>
      </c>
      <c r="U360" s="23" t="n">
        <v>0</v>
      </c>
      <c r="V360" s="26" t="n">
        <v>-0.06</v>
      </c>
      <c r="W360" s="26" t="n">
        <v>0.0713191324295324</v>
      </c>
      <c r="X360" s="26" t="n">
        <v>0.00192510249932232</v>
      </c>
      <c r="Y360" s="26" t="n">
        <v>-0.218106560500001</v>
      </c>
      <c r="Z360" s="26" t="n">
        <v>-0.151929450893558</v>
      </c>
      <c r="AA360" s="26" t="n">
        <v>0.21300466163853</v>
      </c>
      <c r="AB360" s="26" t="n">
        <v>-0.402130763007143</v>
      </c>
      <c r="AC360" s="27" t="n">
        <v>0.720186940166251</v>
      </c>
      <c r="AD360" s="28" t="n">
        <f aca="false">Params!$B$6*Params!$B$7*$R360</f>
        <v>30.5939855565</v>
      </c>
      <c r="AE360" s="29" t="n">
        <f aca="false">MIN(Params!$B$9,AD360/Params!$B$4)</f>
        <v>0.06</v>
      </c>
      <c r="AF360" s="29" t="n">
        <f aca="false">MIN(Params!$B$9,AD360/Params!$B$5)</f>
        <v>0.0305939855565</v>
      </c>
      <c r="AG360" s="28" t="n">
        <f aca="false">IF($R360&gt;0,Params!$B$9*Params!$B$4/(Params!$B$6*$R360),"n/a")</f>
        <v>2.9417546737672</v>
      </c>
      <c r="AH360" s="28" t="n">
        <f aca="false">IF($R360&gt;0,Params!$B$9*Params!$B$5/(Params!$B$6*$R360),"n/a")</f>
        <v>5.88350934753439</v>
      </c>
      <c r="AI360" s="28" t="n">
        <f aca="false">IF($R360&gt;0,Params!$B$15*Params!$B$4/(Params!$B$6*$R360),"n/a")</f>
        <v>0.980584891255732</v>
      </c>
      <c r="AJ360" s="29" t="n">
        <f aca="false">MIN(Params!$B$9,AD360*Params!$B$8/Params!$B$4)</f>
        <v>0.0305939855565</v>
      </c>
      <c r="AK360" s="28" t="n">
        <f aca="false">IF($R360&gt;0,Params!$B$9*Params!$B$4/(Params!$B$6*$R360*Params!$B$8),"n/a")</f>
        <v>5.88350934753439</v>
      </c>
      <c r="AL360" s="27" t="str">
        <f aca="false">IFERROR(ciq($D360,"IQ_PE_EXCL"),"")</f>
        <v/>
      </c>
      <c r="AM360" s="27" t="str">
        <f aca="false">IFERROR(ciq($D360,"IQ_PE_EXCL_FWD_CIQ"),"")</f>
        <v/>
      </c>
      <c r="AN360" s="27" t="str">
        <f aca="false">IFERROR(ciq($D360,"IQ_PBV"),"")</f>
        <v/>
      </c>
      <c r="AO360" s="27" t="str">
        <f aca="false">IFERROR(ciq($D360,"IQ_TEV_EBITDA"),"")</f>
        <v/>
      </c>
      <c r="AP360" s="24" t="str">
        <f aca="false">IFERROR(ciq($D360,"IQ_RETURN_EQUITY"),"")</f>
        <v/>
      </c>
      <c r="AQ360" s="24" t="str">
        <f aca="false">IFERROR(ciq($D360,"IQ_RETURN_CAPITAL"),"")</f>
        <v/>
      </c>
      <c r="AR360" s="24" t="str">
        <f aca="false">IFERROR(ciq($D360,"IQ_TOTAL_REV_1YR_ANN_GROWTH"),"")</f>
        <v/>
      </c>
      <c r="AS360" s="24" t="str">
        <f aca="false">IFERROR(ciq($D360,"IQ_EPS_1YR_ANN_GROWTH"),"")</f>
        <v/>
      </c>
      <c r="AT360" s="24" t="str">
        <f aca="false">IFERROR(ciq($D360,"IQ_DIVIDEND_YIELD"),"")</f>
        <v/>
      </c>
      <c r="AU360" s="24" t="str">
        <f aca="false">IFERROR(ciq($D360,"IQ_NET_DEBT"),"")</f>
        <v/>
      </c>
    </row>
    <row r="361" customFormat="false" ht="15" hidden="false" customHeight="false" outlineLevel="0" collapsed="false">
      <c r="A361" s="8" t="s">
        <v>1840</v>
      </c>
      <c r="B361" s="6" t="s">
        <v>1841</v>
      </c>
      <c r="C361" s="8" t="s">
        <v>73</v>
      </c>
      <c r="D361" s="8" t="s">
        <v>1842</v>
      </c>
      <c r="E361" s="8" t="s">
        <v>1843</v>
      </c>
      <c r="F361" s="6" t="s">
        <v>852</v>
      </c>
      <c r="G361" s="8" t="s">
        <v>58</v>
      </c>
      <c r="H361" s="8" t="s">
        <v>67</v>
      </c>
      <c r="I361" s="8"/>
      <c r="J361" s="8"/>
      <c r="K361" s="8"/>
      <c r="L361" s="8"/>
      <c r="M361" s="23" t="n">
        <v>9380</v>
      </c>
      <c r="N361" s="23" t="n">
        <v>6930.553231</v>
      </c>
      <c r="O361" s="23" t="n">
        <v>6732.5374244</v>
      </c>
      <c r="P361" s="24" t="n">
        <v>29.6125415525</v>
      </c>
      <c r="Q361" s="24" t="n">
        <v>20.6214577008333</v>
      </c>
      <c r="R361" s="24" t="n">
        <v>20.6214577008333</v>
      </c>
      <c r="S361" s="25" t="n">
        <v>0.00427275291964351</v>
      </c>
      <c r="T361" s="26" t="n">
        <v>0.625201178631896</v>
      </c>
      <c r="U361" s="23" t="n">
        <v>0</v>
      </c>
      <c r="V361" s="26" t="n">
        <v>-0.06</v>
      </c>
      <c r="W361" s="26" t="n">
        <v>0.227505976323031</v>
      </c>
      <c r="X361" s="26" t="n">
        <v>0.126239234086612</v>
      </c>
      <c r="Y361" s="26" t="n">
        <v>0.127163180137758</v>
      </c>
      <c r="Z361" s="26" t="n">
        <v>0.335693751165703</v>
      </c>
      <c r="AA361" s="26" t="n">
        <v>0.666470495408687</v>
      </c>
      <c r="AB361" s="26" t="n">
        <v>-0.0903710675721464</v>
      </c>
      <c r="AC361" s="27" t="n">
        <v>1.12275387519717</v>
      </c>
      <c r="AD361" s="28" t="n">
        <f aca="false">Params!$B$6*Params!$B$7*$R361</f>
        <v>12.3728746205</v>
      </c>
      <c r="AE361" s="29" t="n">
        <f aca="false">MIN(Params!$B$9,AD361/Params!$B$4)</f>
        <v>0.024745749241</v>
      </c>
      <c r="AF361" s="29" t="n">
        <f aca="false">MIN(Params!$B$9,AD361/Params!$B$5)</f>
        <v>0.0123728746205</v>
      </c>
      <c r="AG361" s="28" t="n">
        <f aca="false">IF($R361&gt;0,Params!$B$9*Params!$B$4/(Params!$B$6*$R361),"n/a")</f>
        <v>7.27397656247834</v>
      </c>
      <c r="AH361" s="28" t="n">
        <f aca="false">IF($R361&gt;0,Params!$B$9*Params!$B$5/(Params!$B$6*$R361),"n/a")</f>
        <v>14.5479531249567</v>
      </c>
      <c r="AI361" s="28" t="n">
        <f aca="false">IF($R361&gt;0,Params!$B$15*Params!$B$4/(Params!$B$6*$R361),"n/a")</f>
        <v>2.42465885415945</v>
      </c>
      <c r="AJ361" s="29" t="n">
        <f aca="false">MIN(Params!$B$9,AD361*Params!$B$8/Params!$B$4)</f>
        <v>0.0123728746205</v>
      </c>
      <c r="AK361" s="28" t="n">
        <f aca="false">IF($R361&gt;0,Params!$B$9*Params!$B$4/(Params!$B$6*$R361*Params!$B$8),"n/a")</f>
        <v>14.5479531249567</v>
      </c>
      <c r="AL361" s="27" t="str">
        <f aca="false">IFERROR(ciq($D361,"IQ_PE_EXCL"),"")</f>
        <v/>
      </c>
      <c r="AM361" s="27" t="str">
        <f aca="false">IFERROR(ciq($D361,"IQ_PE_EXCL_FWD_CIQ"),"")</f>
        <v/>
      </c>
      <c r="AN361" s="27" t="str">
        <f aca="false">IFERROR(ciq($D361,"IQ_PBV"),"")</f>
        <v/>
      </c>
      <c r="AO361" s="27" t="str">
        <f aca="false">IFERROR(ciq($D361,"IQ_TEV_EBITDA"),"")</f>
        <v/>
      </c>
      <c r="AP361" s="24" t="str">
        <f aca="false">IFERROR(ciq($D361,"IQ_RETURN_EQUITY"),"")</f>
        <v/>
      </c>
      <c r="AQ361" s="24" t="str">
        <f aca="false">IFERROR(ciq($D361,"IQ_RETURN_CAPITAL"),"")</f>
        <v/>
      </c>
      <c r="AR361" s="24" t="str">
        <f aca="false">IFERROR(ciq($D361,"IQ_TOTAL_REV_1YR_ANN_GROWTH"),"")</f>
        <v/>
      </c>
      <c r="AS361" s="24" t="str">
        <f aca="false">IFERROR(ciq($D361,"IQ_EPS_1YR_ANN_GROWTH"),"")</f>
        <v/>
      </c>
      <c r="AT361" s="24" t="str">
        <f aca="false">IFERROR(ciq($D361,"IQ_DIVIDEND_YIELD"),"")</f>
        <v/>
      </c>
      <c r="AU361" s="24" t="str">
        <f aca="false">IFERROR(ciq($D361,"IQ_NET_DEBT"),"")</f>
        <v/>
      </c>
    </row>
    <row r="362" customFormat="false" ht="15" hidden="false" customHeight="false" outlineLevel="0" collapsed="false">
      <c r="A362" s="8" t="s">
        <v>1844</v>
      </c>
      <c r="B362" s="8" t="s">
        <v>1845</v>
      </c>
      <c r="C362" s="8" t="s">
        <v>72</v>
      </c>
      <c r="D362" s="8" t="s">
        <v>1846</v>
      </c>
      <c r="E362" s="8" t="s">
        <v>1847</v>
      </c>
      <c r="F362" s="6" t="s">
        <v>550</v>
      </c>
      <c r="G362" s="8" t="s">
        <v>58</v>
      </c>
      <c r="H362" s="8" t="s">
        <v>67</v>
      </c>
      <c r="I362" s="8"/>
      <c r="J362" s="8"/>
      <c r="K362" s="8"/>
      <c r="L362" s="8"/>
      <c r="M362" s="23" t="n">
        <v>33500</v>
      </c>
      <c r="N362" s="23" t="n">
        <v>6928.062305</v>
      </c>
      <c r="O362" s="23" t="n">
        <v>6055.850281975</v>
      </c>
      <c r="P362" s="24" t="n">
        <v>66.0854074125</v>
      </c>
      <c r="Q362" s="24" t="n">
        <v>47.0926395208333</v>
      </c>
      <c r="R362" s="24" t="n">
        <v>47.0926395208333</v>
      </c>
      <c r="S362" s="25" t="n">
        <v>0.00953880096673005</v>
      </c>
      <c r="T362" s="26" t="n">
        <v>0.86441017552972</v>
      </c>
      <c r="U362" s="23" t="n">
        <v>1</v>
      </c>
      <c r="V362" s="26" t="n">
        <v>-0.06</v>
      </c>
      <c r="W362" s="26" t="n">
        <v>0.17722279398207</v>
      </c>
      <c r="X362" s="26" t="n">
        <v>0.0416470016658082</v>
      </c>
      <c r="Y362" s="26" t="n">
        <v>-0.208156897650842</v>
      </c>
      <c r="Z362" s="26" t="n">
        <v>-0.0847769317154764</v>
      </c>
      <c r="AA362" s="26" t="n">
        <v>-0.363207528242447</v>
      </c>
      <c r="AB362" s="26" t="n">
        <v>-0.477543434196074</v>
      </c>
      <c r="AC362" s="27" t="n">
        <v>0.473698685084141</v>
      </c>
      <c r="AD362" s="28" t="n">
        <f aca="false">Params!$B$6*Params!$B$7*$R362</f>
        <v>28.2555837125</v>
      </c>
      <c r="AE362" s="29" t="n">
        <f aca="false">MIN(Params!$B$9,AD362/Params!$B$4)</f>
        <v>0.056511167425</v>
      </c>
      <c r="AF362" s="29" t="n">
        <f aca="false">MIN(Params!$B$9,AD362/Params!$B$5)</f>
        <v>0.0282555837125</v>
      </c>
      <c r="AG362" s="28" t="n">
        <f aca="false">IF($R362&gt;0,Params!$B$9*Params!$B$4/(Params!$B$6*$R362),"n/a")</f>
        <v>3.18521113970776</v>
      </c>
      <c r="AH362" s="28" t="n">
        <f aca="false">IF($R362&gt;0,Params!$B$9*Params!$B$5/(Params!$B$6*$R362),"n/a")</f>
        <v>6.37042227941551</v>
      </c>
      <c r="AI362" s="28" t="n">
        <f aca="false">IF($R362&gt;0,Params!$B$15*Params!$B$4/(Params!$B$6*$R362),"n/a")</f>
        <v>1.06173704656925</v>
      </c>
      <c r="AJ362" s="29" t="n">
        <f aca="false">MIN(Params!$B$9,AD362*Params!$B$8/Params!$B$4)</f>
        <v>0.0282555837125</v>
      </c>
      <c r="AK362" s="28" t="n">
        <f aca="false">IF($R362&gt;0,Params!$B$9*Params!$B$4/(Params!$B$6*$R362*Params!$B$8),"n/a")</f>
        <v>6.37042227941551</v>
      </c>
      <c r="AL362" s="27" t="str">
        <f aca="false">IFERROR(ciq($D362,"IQ_PE_EXCL"),"")</f>
        <v/>
      </c>
      <c r="AM362" s="27" t="str">
        <f aca="false">IFERROR(ciq($D362,"IQ_PE_EXCL_FWD_CIQ"),"")</f>
        <v/>
      </c>
      <c r="AN362" s="27" t="str">
        <f aca="false">IFERROR(ciq($D362,"IQ_PBV"),"")</f>
        <v/>
      </c>
      <c r="AO362" s="27" t="str">
        <f aca="false">IFERROR(ciq($D362,"IQ_TEV_EBITDA"),"")</f>
        <v/>
      </c>
      <c r="AP362" s="24" t="str">
        <f aca="false">IFERROR(ciq($D362,"IQ_RETURN_EQUITY"),"")</f>
        <v/>
      </c>
      <c r="AQ362" s="24" t="str">
        <f aca="false">IFERROR(ciq($D362,"IQ_RETURN_CAPITAL"),"")</f>
        <v/>
      </c>
      <c r="AR362" s="24" t="str">
        <f aca="false">IFERROR(ciq($D362,"IQ_TOTAL_REV_1YR_ANN_GROWTH"),"")</f>
        <v/>
      </c>
      <c r="AS362" s="24" t="str">
        <f aca="false">IFERROR(ciq($D362,"IQ_EPS_1YR_ANN_GROWTH"),"")</f>
        <v/>
      </c>
      <c r="AT362" s="24" t="str">
        <f aca="false">IFERROR(ciq($D362,"IQ_DIVIDEND_YIELD"),"")</f>
        <v/>
      </c>
      <c r="AU362" s="24" t="str">
        <f aca="false">IFERROR(ciq($D362,"IQ_NET_DEBT"),"")</f>
        <v/>
      </c>
    </row>
    <row r="363" customFormat="false" ht="15" hidden="false" customHeight="false" outlineLevel="0" collapsed="false">
      <c r="A363" s="8" t="s">
        <v>1848</v>
      </c>
      <c r="B363" s="6" t="s">
        <v>1849</v>
      </c>
      <c r="C363" s="8" t="s">
        <v>73</v>
      </c>
      <c r="D363" s="8" t="s">
        <v>1850</v>
      </c>
      <c r="E363" s="8" t="s">
        <v>1851</v>
      </c>
      <c r="F363" s="6" t="s">
        <v>1852</v>
      </c>
      <c r="G363" s="8" t="s">
        <v>58</v>
      </c>
      <c r="H363" s="8" t="s">
        <v>67</v>
      </c>
      <c r="I363" s="8"/>
      <c r="J363" s="8"/>
      <c r="K363" s="8"/>
      <c r="L363" s="8"/>
      <c r="M363" s="23" t="n">
        <v>34500</v>
      </c>
      <c r="N363" s="23" t="n">
        <v>6902.546445</v>
      </c>
      <c r="O363" s="23" t="n">
        <v>6433.37336055</v>
      </c>
      <c r="P363" s="24" t="n">
        <v>96.3779529</v>
      </c>
      <c r="Q363" s="24" t="n">
        <v>68.1607717466667</v>
      </c>
      <c r="R363" s="24" t="n">
        <v>68.1607717466667</v>
      </c>
      <c r="S363" s="25" t="n">
        <v>0.0139626663388572</v>
      </c>
      <c r="T363" s="26" t="n">
        <v>1.36042543783123</v>
      </c>
      <c r="U363" s="23" t="n">
        <v>1</v>
      </c>
      <c r="V363" s="26" t="n">
        <v>-0.06</v>
      </c>
      <c r="W363" s="26" t="n">
        <v>0.198038390418582</v>
      </c>
      <c r="X363" s="26" t="n">
        <v>0.116566659828091</v>
      </c>
      <c r="Y363" s="26" t="n">
        <v>-0.280399065499477</v>
      </c>
      <c r="Z363" s="26" t="n">
        <v>0.340282287846773</v>
      </c>
      <c r="AA363" s="26" t="n">
        <v>-0.092714352934133</v>
      </c>
      <c r="AB363" s="26" t="n">
        <v>-0.413227475668339</v>
      </c>
      <c r="AC363" s="27" t="n">
        <v>0.688488897683044</v>
      </c>
      <c r="AD363" s="28" t="n">
        <f aca="false">Params!$B$6*Params!$B$7*$R363</f>
        <v>40.896463048</v>
      </c>
      <c r="AE363" s="29" t="n">
        <f aca="false">MIN(Params!$B$9,AD363/Params!$B$4)</f>
        <v>0.06</v>
      </c>
      <c r="AF363" s="29" t="n">
        <f aca="false">MIN(Params!$B$9,AD363/Params!$B$5)</f>
        <v>0.040896463048</v>
      </c>
      <c r="AG363" s="28" t="n">
        <f aca="false">IF($R363&gt;0,Params!$B$9*Params!$B$4/(Params!$B$6*$R363),"n/a")</f>
        <v>2.20067930799706</v>
      </c>
      <c r="AH363" s="28" t="n">
        <f aca="false">IF($R363&gt;0,Params!$B$9*Params!$B$5/(Params!$B$6*$R363),"n/a")</f>
        <v>4.40135861599412</v>
      </c>
      <c r="AI363" s="28" t="n">
        <f aca="false">IF($R363&gt;0,Params!$B$15*Params!$B$4/(Params!$B$6*$R363),"n/a")</f>
        <v>0.733559769332354</v>
      </c>
      <c r="AJ363" s="29" t="n">
        <f aca="false">MIN(Params!$B$9,AD363*Params!$B$8/Params!$B$4)</f>
        <v>0.040896463048</v>
      </c>
      <c r="AK363" s="28" t="n">
        <f aca="false">IF($R363&gt;0,Params!$B$9*Params!$B$4/(Params!$B$6*$R363*Params!$B$8),"n/a")</f>
        <v>4.40135861599412</v>
      </c>
      <c r="AL363" s="27" t="str">
        <f aca="false">IFERROR(ciq($D363,"IQ_PE_EXCL"),"")</f>
        <v/>
      </c>
      <c r="AM363" s="27" t="str">
        <f aca="false">IFERROR(ciq($D363,"IQ_PE_EXCL_FWD_CIQ"),"")</f>
        <v/>
      </c>
      <c r="AN363" s="27" t="str">
        <f aca="false">IFERROR(ciq($D363,"IQ_PBV"),"")</f>
        <v/>
      </c>
      <c r="AO363" s="27" t="str">
        <f aca="false">IFERROR(ciq($D363,"IQ_TEV_EBITDA"),"")</f>
        <v/>
      </c>
      <c r="AP363" s="24" t="str">
        <f aca="false">IFERROR(ciq($D363,"IQ_RETURN_EQUITY"),"")</f>
        <v/>
      </c>
      <c r="AQ363" s="24" t="str">
        <f aca="false">IFERROR(ciq($D363,"IQ_RETURN_CAPITAL"),"")</f>
        <v/>
      </c>
      <c r="AR363" s="24" t="str">
        <f aca="false">IFERROR(ciq($D363,"IQ_TOTAL_REV_1YR_ANN_GROWTH"),"")</f>
        <v/>
      </c>
      <c r="AS363" s="24" t="str">
        <f aca="false">IFERROR(ciq($D363,"IQ_EPS_1YR_ANN_GROWTH"),"")</f>
        <v/>
      </c>
      <c r="AT363" s="24" t="str">
        <f aca="false">IFERROR(ciq($D363,"IQ_DIVIDEND_YIELD"),"")</f>
        <v/>
      </c>
      <c r="AU363" s="24" t="str">
        <f aca="false">IFERROR(ciq($D363,"IQ_NET_DEBT"),"")</f>
        <v/>
      </c>
    </row>
    <row r="364" customFormat="false" ht="15" hidden="false" customHeight="false" outlineLevel="0" collapsed="false">
      <c r="A364" s="8" t="s">
        <v>1853</v>
      </c>
      <c r="B364" s="6" t="s">
        <v>1854</v>
      </c>
      <c r="C364" s="8" t="s">
        <v>72</v>
      </c>
      <c r="D364" s="8" t="s">
        <v>1855</v>
      </c>
      <c r="E364" s="8" t="s">
        <v>1856</v>
      </c>
      <c r="F364" s="6" t="s">
        <v>622</v>
      </c>
      <c r="G364" s="8" t="s">
        <v>58</v>
      </c>
      <c r="H364" s="8" t="s">
        <v>67</v>
      </c>
      <c r="I364" s="8"/>
      <c r="J364" s="8"/>
      <c r="K364" s="8"/>
      <c r="L364" s="8"/>
      <c r="M364" s="23" t="n">
        <v>2075</v>
      </c>
      <c r="N364" s="23" t="n">
        <v>6697.007305</v>
      </c>
      <c r="O364" s="23" t="n">
        <v>6631.32822131</v>
      </c>
      <c r="P364" s="24" t="n">
        <v>41.219401942</v>
      </c>
      <c r="Q364" s="24" t="n">
        <v>53.9711038485</v>
      </c>
      <c r="R364" s="24" t="n">
        <v>41.219401942</v>
      </c>
      <c r="S364" s="25" t="n">
        <v>0.00615489875772205</v>
      </c>
      <c r="T364" s="26" t="n">
        <v>0.485666637289686</v>
      </c>
      <c r="U364" s="23" t="n">
        <v>0</v>
      </c>
      <c r="V364" s="26" t="n">
        <v>-0.06</v>
      </c>
      <c r="W364" s="26" t="n">
        <v>0.0385459885631185</v>
      </c>
      <c r="X364" s="26" t="n">
        <v>0.0712178321260468</v>
      </c>
      <c r="Y364" s="26" t="n">
        <v>-0.0546395359799121</v>
      </c>
      <c r="Z364" s="26" t="n">
        <v>0.181167564283289</v>
      </c>
      <c r="AA364" s="26" t="n">
        <v>0.145916514917587</v>
      </c>
      <c r="AB364" s="26" t="n">
        <v>-0.328438893085492</v>
      </c>
      <c r="AC364" s="27" t="n">
        <v>0.107603775534186</v>
      </c>
      <c r="AD364" s="28" t="n">
        <f aca="false">Params!$B$6*Params!$B$7*$R364</f>
        <v>24.7316411652</v>
      </c>
      <c r="AE364" s="29" t="n">
        <f aca="false">MIN(Params!$B$9,AD364/Params!$B$4)</f>
        <v>0.0494632823304</v>
      </c>
      <c r="AF364" s="29" t="n">
        <f aca="false">MIN(Params!$B$9,AD364/Params!$B$5)</f>
        <v>0.0247316411652</v>
      </c>
      <c r="AG364" s="28" t="n">
        <f aca="false">IF($R364&gt;0,Params!$B$9*Params!$B$4/(Params!$B$6*$R364),"n/a")</f>
        <v>3.63906298813034</v>
      </c>
      <c r="AH364" s="28" t="n">
        <f aca="false">IF($R364&gt;0,Params!$B$9*Params!$B$5/(Params!$B$6*$R364),"n/a")</f>
        <v>7.27812597626068</v>
      </c>
      <c r="AI364" s="28" t="n">
        <f aca="false">IF($R364&gt;0,Params!$B$15*Params!$B$4/(Params!$B$6*$R364),"n/a")</f>
        <v>1.21302099604345</v>
      </c>
      <c r="AJ364" s="29" t="n">
        <f aca="false">MIN(Params!$B$9,AD364*Params!$B$8/Params!$B$4)</f>
        <v>0.0247316411652</v>
      </c>
      <c r="AK364" s="28" t="n">
        <f aca="false">IF($R364&gt;0,Params!$B$9*Params!$B$4/(Params!$B$6*$R364*Params!$B$8),"n/a")</f>
        <v>7.27812597626068</v>
      </c>
      <c r="AL364" s="27" t="str">
        <f aca="false">IFERROR(ciq($D364,"IQ_PE_EXCL"),"")</f>
        <v/>
      </c>
      <c r="AM364" s="27" t="str">
        <f aca="false">IFERROR(ciq($D364,"IQ_PE_EXCL_FWD_CIQ"),"")</f>
        <v/>
      </c>
      <c r="AN364" s="27" t="str">
        <f aca="false">IFERROR(ciq($D364,"IQ_PBV"),"")</f>
        <v/>
      </c>
      <c r="AO364" s="27" t="str">
        <f aca="false">IFERROR(ciq($D364,"IQ_TEV_EBITDA"),"")</f>
        <v/>
      </c>
      <c r="AP364" s="24" t="str">
        <f aca="false">IFERROR(ciq($D364,"IQ_RETURN_EQUITY"),"")</f>
        <v/>
      </c>
      <c r="AQ364" s="24" t="str">
        <f aca="false">IFERROR(ciq($D364,"IQ_RETURN_CAPITAL"),"")</f>
        <v/>
      </c>
      <c r="AR364" s="24" t="str">
        <f aca="false">IFERROR(ciq($D364,"IQ_TOTAL_REV_1YR_ANN_GROWTH"),"")</f>
        <v/>
      </c>
      <c r="AS364" s="24" t="str">
        <f aca="false">IFERROR(ciq($D364,"IQ_EPS_1YR_ANN_GROWTH"),"")</f>
        <v/>
      </c>
      <c r="AT364" s="24" t="str">
        <f aca="false">IFERROR(ciq($D364,"IQ_DIVIDEND_YIELD"),"")</f>
        <v/>
      </c>
      <c r="AU364" s="24" t="str">
        <f aca="false">IFERROR(ciq($D364,"IQ_NET_DEBT"),"")</f>
        <v/>
      </c>
    </row>
    <row r="365" customFormat="false" ht="15" hidden="false" customHeight="false" outlineLevel="0" collapsed="false">
      <c r="A365" s="8" t="s">
        <v>1857</v>
      </c>
      <c r="B365" s="6" t="s">
        <v>1858</v>
      </c>
      <c r="C365" s="8" t="s">
        <v>74</v>
      </c>
      <c r="D365" s="8" t="s">
        <v>1859</v>
      </c>
      <c r="E365" s="8" t="s">
        <v>1860</v>
      </c>
      <c r="F365" s="8" t="s">
        <v>587</v>
      </c>
      <c r="G365" s="8" t="s">
        <v>58</v>
      </c>
      <c r="H365" s="8" t="s">
        <v>67</v>
      </c>
      <c r="I365" s="8"/>
      <c r="J365" s="8"/>
      <c r="K365" s="8"/>
      <c r="L365" s="8"/>
      <c r="M365" s="23" t="n">
        <v>25800</v>
      </c>
      <c r="N365" s="23" t="n">
        <v>6673.748436</v>
      </c>
      <c r="O365" s="23" t="n">
        <v>6115.0160088</v>
      </c>
      <c r="P365" s="24" t="n">
        <v>40.030617125</v>
      </c>
      <c r="Q365" s="24" t="n">
        <v>47.7286480883333</v>
      </c>
      <c r="R365" s="24" t="n">
        <v>40.030617125</v>
      </c>
      <c r="S365" s="25" t="n">
        <v>0.00599822086626221</v>
      </c>
      <c r="T365" s="26" t="n">
        <v>0.861949742822946</v>
      </c>
      <c r="U365" s="23" t="n">
        <v>0</v>
      </c>
      <c r="V365" s="26" t="n">
        <v>-0.06</v>
      </c>
      <c r="W365" s="26" t="n">
        <v>0.0930724496090245</v>
      </c>
      <c r="X365" s="26" t="n">
        <v>-0.0567776357617399</v>
      </c>
      <c r="Y365" s="26" t="n">
        <v>-0.088200083246843</v>
      </c>
      <c r="Z365" s="26" t="n">
        <v>0.189107717942955</v>
      </c>
      <c r="AA365" s="26" t="n">
        <v>0.116795325434546</v>
      </c>
      <c r="AB365" s="26" t="n">
        <v>-0.467966379851209</v>
      </c>
      <c r="AC365" s="27" t="n">
        <v>0.334480924169546</v>
      </c>
      <c r="AD365" s="28" t="n">
        <f aca="false">Params!$B$6*Params!$B$7*$R365</f>
        <v>24.018370275</v>
      </c>
      <c r="AE365" s="29" t="n">
        <f aca="false">MIN(Params!$B$9,AD365/Params!$B$4)</f>
        <v>0.04803674055</v>
      </c>
      <c r="AF365" s="29" t="n">
        <f aca="false">MIN(Params!$B$9,AD365/Params!$B$5)</f>
        <v>0.024018370275</v>
      </c>
      <c r="AG365" s="28" t="n">
        <f aca="false">IF($R365&gt;0,Params!$B$9*Params!$B$4/(Params!$B$6*$R365),"n/a")</f>
        <v>3.74713183990166</v>
      </c>
      <c r="AH365" s="28" t="n">
        <f aca="false">IF($R365&gt;0,Params!$B$9*Params!$B$5/(Params!$B$6*$R365),"n/a")</f>
        <v>7.49426367980331</v>
      </c>
      <c r="AI365" s="28" t="n">
        <f aca="false">IF($R365&gt;0,Params!$B$15*Params!$B$4/(Params!$B$6*$R365),"n/a")</f>
        <v>1.24904394663389</v>
      </c>
      <c r="AJ365" s="29" t="n">
        <f aca="false">MIN(Params!$B$9,AD365*Params!$B$8/Params!$B$4)</f>
        <v>0.024018370275</v>
      </c>
      <c r="AK365" s="28" t="n">
        <f aca="false">IF($R365&gt;0,Params!$B$9*Params!$B$4/(Params!$B$6*$R365*Params!$B$8),"n/a")</f>
        <v>7.49426367980331</v>
      </c>
      <c r="AL365" s="27" t="str">
        <f aca="false">IFERROR(ciq($D365,"IQ_PE_EXCL"),"")</f>
        <v/>
      </c>
      <c r="AM365" s="27" t="str">
        <f aca="false">IFERROR(ciq($D365,"IQ_PE_EXCL_FWD_CIQ"),"")</f>
        <v/>
      </c>
      <c r="AN365" s="27" t="str">
        <f aca="false">IFERROR(ciq($D365,"IQ_PBV"),"")</f>
        <v/>
      </c>
      <c r="AO365" s="27" t="str">
        <f aca="false">IFERROR(ciq($D365,"IQ_TEV_EBITDA"),"")</f>
        <v/>
      </c>
      <c r="AP365" s="24" t="str">
        <f aca="false">IFERROR(ciq($D365,"IQ_RETURN_EQUITY"),"")</f>
        <v/>
      </c>
      <c r="AQ365" s="24" t="str">
        <f aca="false">IFERROR(ciq($D365,"IQ_RETURN_CAPITAL"),"")</f>
        <v/>
      </c>
      <c r="AR365" s="24" t="str">
        <f aca="false">IFERROR(ciq($D365,"IQ_TOTAL_REV_1YR_ANN_GROWTH"),"")</f>
        <v/>
      </c>
      <c r="AS365" s="24" t="str">
        <f aca="false">IFERROR(ciq($D365,"IQ_EPS_1YR_ANN_GROWTH"),"")</f>
        <v/>
      </c>
      <c r="AT365" s="24" t="str">
        <f aca="false">IFERROR(ciq($D365,"IQ_DIVIDEND_YIELD"),"")</f>
        <v/>
      </c>
      <c r="AU365" s="24" t="str">
        <f aca="false">IFERROR(ciq($D365,"IQ_NET_DEBT"),"")</f>
        <v/>
      </c>
    </row>
    <row r="366" customFormat="false" ht="15" hidden="false" customHeight="false" outlineLevel="0" collapsed="false">
      <c r="A366" s="8" t="s">
        <v>1861</v>
      </c>
      <c r="B366" s="6" t="s">
        <v>1862</v>
      </c>
      <c r="C366" s="8" t="s">
        <v>72</v>
      </c>
      <c r="D366" s="8" t="s">
        <v>1863</v>
      </c>
      <c r="E366" s="8" t="s">
        <v>1864</v>
      </c>
      <c r="F366" s="6" t="s">
        <v>523</v>
      </c>
      <c r="G366" s="8" t="s">
        <v>58</v>
      </c>
      <c r="H366" s="8" t="s">
        <v>67</v>
      </c>
      <c r="I366" s="8"/>
      <c r="J366" s="8"/>
      <c r="K366" s="8"/>
      <c r="L366" s="8" t="s">
        <v>115</v>
      </c>
      <c r="M366" s="23" t="n">
        <v>19730</v>
      </c>
      <c r="N366" s="23" t="n">
        <v>6651.2864474</v>
      </c>
      <c r="O366" s="23" t="n">
        <v>5906.2614576</v>
      </c>
      <c r="P366" s="24" t="n">
        <v>272.204563915</v>
      </c>
      <c r="Q366" s="24" t="n">
        <v>151.5778682975</v>
      </c>
      <c r="R366" s="24" t="n">
        <v>151.5778682975</v>
      </c>
      <c r="S366" s="25" t="n">
        <v>0.0409251001392979</v>
      </c>
      <c r="T366" s="26" t="n">
        <v>1.02811767775972</v>
      </c>
      <c r="U366" s="23" t="n">
        <v>3</v>
      </c>
      <c r="V366" s="26" t="n">
        <v>-0.04</v>
      </c>
      <c r="W366" s="26" t="n">
        <v>0.343125654834882</v>
      </c>
      <c r="X366" s="26" t="n">
        <v>-0.273189226231286</v>
      </c>
      <c r="Y366" s="26" t="n">
        <v>0.119937207250476</v>
      </c>
      <c r="Z366" s="26" t="n">
        <v>0.225056086548973</v>
      </c>
      <c r="AA366" s="26" t="n">
        <v>0.150914383988805</v>
      </c>
      <c r="AB366" s="26" t="n">
        <v>-0.509235754196589</v>
      </c>
      <c r="AC366" s="27" t="n">
        <v>1.33632200994572</v>
      </c>
      <c r="AD366" s="28" t="n">
        <f aca="false">Params!$B$6*Params!$B$7*$R366</f>
        <v>90.9467209785</v>
      </c>
      <c r="AE366" s="29" t="n">
        <f aca="false">MIN(Params!$B$9,AD366/Params!$B$4)</f>
        <v>0.06</v>
      </c>
      <c r="AF366" s="29" t="n">
        <f aca="false">MIN(Params!$B$9,AD366/Params!$B$5)</f>
        <v>0.06</v>
      </c>
      <c r="AG366" s="28" t="n">
        <f aca="false">IF($R366&gt;0,Params!$B$9*Params!$B$4/(Params!$B$6*$R366),"n/a")</f>
        <v>0.989590378099241</v>
      </c>
      <c r="AH366" s="28" t="n">
        <f aca="false">IF($R366&gt;0,Params!$B$9*Params!$B$5/(Params!$B$6*$R366),"n/a")</f>
        <v>1.97918075619848</v>
      </c>
      <c r="AI366" s="28" t="n">
        <f aca="false">IF($R366&gt;0,Params!$B$15*Params!$B$4/(Params!$B$6*$R366),"n/a")</f>
        <v>0.329863459366414</v>
      </c>
      <c r="AJ366" s="29" t="n">
        <f aca="false">MIN(Params!$B$9,AD366*Params!$B$8/Params!$B$4)</f>
        <v>0.06</v>
      </c>
      <c r="AK366" s="28" t="n">
        <f aca="false">IF($R366&gt;0,Params!$B$9*Params!$B$4/(Params!$B$6*$R366*Params!$B$8),"n/a")</f>
        <v>1.97918075619848</v>
      </c>
      <c r="AL366" s="27" t="str">
        <f aca="false">IFERROR(ciq($D366,"IQ_PE_EXCL"),"")</f>
        <v/>
      </c>
      <c r="AM366" s="27" t="str">
        <f aca="false">IFERROR(ciq($D366,"IQ_PE_EXCL_FWD_CIQ"),"")</f>
        <v/>
      </c>
      <c r="AN366" s="27" t="str">
        <f aca="false">IFERROR(ciq($D366,"IQ_PBV"),"")</f>
        <v/>
      </c>
      <c r="AO366" s="27" t="str">
        <f aca="false">IFERROR(ciq($D366,"IQ_TEV_EBITDA"),"")</f>
        <v/>
      </c>
      <c r="AP366" s="24" t="str">
        <f aca="false">IFERROR(ciq($D366,"IQ_RETURN_EQUITY"),"")</f>
        <v/>
      </c>
      <c r="AQ366" s="24" t="str">
        <f aca="false">IFERROR(ciq($D366,"IQ_RETURN_CAPITAL"),"")</f>
        <v/>
      </c>
      <c r="AR366" s="24" t="str">
        <f aca="false">IFERROR(ciq($D366,"IQ_TOTAL_REV_1YR_ANN_GROWTH"),"")</f>
        <v/>
      </c>
      <c r="AS366" s="24" t="str">
        <f aca="false">IFERROR(ciq($D366,"IQ_EPS_1YR_ANN_GROWTH"),"")</f>
        <v/>
      </c>
      <c r="AT366" s="24" t="str">
        <f aca="false">IFERROR(ciq($D366,"IQ_DIVIDEND_YIELD"),"")</f>
        <v/>
      </c>
      <c r="AU366" s="24" t="str">
        <f aca="false">IFERROR(ciq($D366,"IQ_NET_DEBT"),"")</f>
        <v/>
      </c>
    </row>
    <row r="367" customFormat="false" ht="15" hidden="false" customHeight="false" outlineLevel="0" collapsed="false">
      <c r="A367" s="8" t="s">
        <v>1865</v>
      </c>
      <c r="B367" s="6" t="s">
        <v>1866</v>
      </c>
      <c r="C367" s="8" t="s">
        <v>72</v>
      </c>
      <c r="D367" s="8" t="s">
        <v>1867</v>
      </c>
      <c r="E367" s="8" t="s">
        <v>1868</v>
      </c>
      <c r="F367" s="6" t="s">
        <v>733</v>
      </c>
      <c r="G367" s="8" t="s">
        <v>58</v>
      </c>
      <c r="H367" s="8" t="s">
        <v>67</v>
      </c>
      <c r="I367" s="8"/>
      <c r="J367" s="8"/>
      <c r="K367" s="8"/>
      <c r="L367" s="8"/>
      <c r="M367" s="23" t="n">
        <v>19050</v>
      </c>
      <c r="N367" s="23" t="n">
        <v>6600.4487625</v>
      </c>
      <c r="O367" s="23" t="n">
        <v>6264.536160125</v>
      </c>
      <c r="P367" s="24" t="n">
        <v>29.7119591075</v>
      </c>
      <c r="Q367" s="24" t="n">
        <v>20.4733876758333</v>
      </c>
      <c r="R367" s="24" t="n">
        <v>20.4733876758333</v>
      </c>
      <c r="S367" s="25" t="n">
        <v>0.00450150590915976</v>
      </c>
      <c r="T367" s="26" t="n">
        <v>0.367717388488239</v>
      </c>
      <c r="U367" s="23" t="n">
        <v>0</v>
      </c>
      <c r="V367" s="26" t="n">
        <v>-0.06</v>
      </c>
      <c r="W367" s="26" t="n">
        <v>0.0758435516775999</v>
      </c>
      <c r="X367" s="26" t="n">
        <v>0.0531743485458887</v>
      </c>
      <c r="Y367" s="26" t="n">
        <v>-0.0799009589675432</v>
      </c>
      <c r="Z367" s="26" t="n">
        <v>-0.0952503701113918</v>
      </c>
      <c r="AA367" s="26" t="n">
        <v>-0.134611339295572</v>
      </c>
      <c r="AB367" s="26" t="n">
        <v>-0.20649810477395</v>
      </c>
      <c r="AC367" s="27" t="n">
        <v>1.38337306248493</v>
      </c>
      <c r="AD367" s="28" t="n">
        <f aca="false">Params!$B$6*Params!$B$7*$R367</f>
        <v>12.2840326055</v>
      </c>
      <c r="AE367" s="29" t="n">
        <f aca="false">MIN(Params!$B$9,AD367/Params!$B$4)</f>
        <v>0.024568065211</v>
      </c>
      <c r="AF367" s="29" t="n">
        <f aca="false">MIN(Params!$B$9,AD367/Params!$B$5)</f>
        <v>0.0122840326055</v>
      </c>
      <c r="AG367" s="28" t="n">
        <f aca="false">IF($R367&gt;0,Params!$B$9*Params!$B$4/(Params!$B$6*$R367),"n/a")</f>
        <v>7.32658426514627</v>
      </c>
      <c r="AH367" s="28" t="n">
        <f aca="false">IF($R367&gt;0,Params!$B$9*Params!$B$5/(Params!$B$6*$R367),"n/a")</f>
        <v>14.6531685302925</v>
      </c>
      <c r="AI367" s="28" t="n">
        <f aca="false">IF($R367&gt;0,Params!$B$15*Params!$B$4/(Params!$B$6*$R367),"n/a")</f>
        <v>2.44219475504876</v>
      </c>
      <c r="AJ367" s="29" t="n">
        <f aca="false">MIN(Params!$B$9,AD367*Params!$B$8/Params!$B$4)</f>
        <v>0.0122840326055</v>
      </c>
      <c r="AK367" s="28" t="n">
        <f aca="false">IF($R367&gt;0,Params!$B$9*Params!$B$4/(Params!$B$6*$R367*Params!$B$8),"n/a")</f>
        <v>14.6531685302925</v>
      </c>
      <c r="AL367" s="27" t="str">
        <f aca="false">IFERROR(ciq($D367,"IQ_PE_EXCL"),"")</f>
        <v/>
      </c>
      <c r="AM367" s="27" t="str">
        <f aca="false">IFERROR(ciq($D367,"IQ_PE_EXCL_FWD_CIQ"),"")</f>
        <v/>
      </c>
      <c r="AN367" s="27" t="str">
        <f aca="false">IFERROR(ciq($D367,"IQ_PBV"),"")</f>
        <v/>
      </c>
      <c r="AO367" s="27" t="str">
        <f aca="false">IFERROR(ciq($D367,"IQ_TEV_EBITDA"),"")</f>
        <v/>
      </c>
      <c r="AP367" s="24" t="str">
        <f aca="false">IFERROR(ciq($D367,"IQ_RETURN_EQUITY"),"")</f>
        <v/>
      </c>
      <c r="AQ367" s="24" t="str">
        <f aca="false">IFERROR(ciq($D367,"IQ_RETURN_CAPITAL"),"")</f>
        <v/>
      </c>
      <c r="AR367" s="24" t="str">
        <f aca="false">IFERROR(ciq($D367,"IQ_TOTAL_REV_1YR_ANN_GROWTH"),"")</f>
        <v/>
      </c>
      <c r="AS367" s="24" t="str">
        <f aca="false">IFERROR(ciq($D367,"IQ_EPS_1YR_ANN_GROWTH"),"")</f>
        <v/>
      </c>
      <c r="AT367" s="24" t="str">
        <f aca="false">IFERROR(ciq($D367,"IQ_DIVIDEND_YIELD"),"")</f>
        <v/>
      </c>
      <c r="AU367" s="24" t="str">
        <f aca="false">IFERROR(ciq($D367,"IQ_NET_DEBT"),"")</f>
        <v/>
      </c>
    </row>
    <row r="368" customFormat="false" ht="15" hidden="false" customHeight="false" outlineLevel="0" collapsed="false">
      <c r="A368" s="8" t="s">
        <v>1869</v>
      </c>
      <c r="B368" s="6" t="s">
        <v>1870</v>
      </c>
      <c r="C368" s="8" t="s">
        <v>73</v>
      </c>
      <c r="D368" s="8" t="s">
        <v>1871</v>
      </c>
      <c r="E368" s="8" t="s">
        <v>1872</v>
      </c>
      <c r="F368" s="6" t="s">
        <v>627</v>
      </c>
      <c r="G368" s="8" t="s">
        <v>58</v>
      </c>
      <c r="H368" s="8" t="s">
        <v>67</v>
      </c>
      <c r="I368" s="8"/>
      <c r="J368" s="8"/>
      <c r="K368" s="8"/>
      <c r="L368" s="8" t="s">
        <v>241</v>
      </c>
      <c r="M368" s="23" t="n">
        <v>64700</v>
      </c>
      <c r="N368" s="23" t="n">
        <v>6552.574022</v>
      </c>
      <c r="O368" s="23" t="n">
        <v>6909.0664572</v>
      </c>
      <c r="P368" s="24" t="n">
        <v>35.42547625</v>
      </c>
      <c r="Q368" s="24" t="n">
        <v>37.7652898708333</v>
      </c>
      <c r="R368" s="24" t="n">
        <v>35.42547625</v>
      </c>
      <c r="S368" s="25" t="n">
        <v>0.00540634506852733</v>
      </c>
      <c r="T368" s="26" t="n">
        <v>0.869735813307209</v>
      </c>
      <c r="U368" s="23" t="n">
        <v>1</v>
      </c>
      <c r="V368" s="26" t="n">
        <v>-0.06</v>
      </c>
      <c r="W368" s="26" t="n">
        <v>-0.0215376718676175</v>
      </c>
      <c r="X368" s="26" t="n">
        <v>-0.141106454269238</v>
      </c>
      <c r="Y368" s="26" t="n">
        <v>-0.456472573028886</v>
      </c>
      <c r="Z368" s="26" t="n">
        <v>0.231846228798482</v>
      </c>
      <c r="AA368" s="26" t="n">
        <v>0.690452549742973</v>
      </c>
      <c r="AB368" s="26" t="n">
        <v>-0.506330838487747</v>
      </c>
      <c r="AC368" s="27" t="n">
        <v>0.336982501306119</v>
      </c>
      <c r="AD368" s="28" t="n">
        <f aca="false">Params!$B$6*Params!$B$7*$R368</f>
        <v>21.25528575</v>
      </c>
      <c r="AE368" s="29" t="n">
        <f aca="false">MIN(Params!$B$9,AD368/Params!$B$4)</f>
        <v>0.0425105715</v>
      </c>
      <c r="AF368" s="29" t="n">
        <f aca="false">MIN(Params!$B$9,AD368/Params!$B$5)</f>
        <v>0.02125528575</v>
      </c>
      <c r="AG368" s="28" t="n">
        <f aca="false">IF($R368&gt;0,Params!$B$9*Params!$B$4/(Params!$B$6*$R368),"n/a")</f>
        <v>4.23424088758722</v>
      </c>
      <c r="AH368" s="28" t="n">
        <f aca="false">IF($R368&gt;0,Params!$B$9*Params!$B$5/(Params!$B$6*$R368),"n/a")</f>
        <v>8.46848177517444</v>
      </c>
      <c r="AI368" s="28" t="n">
        <f aca="false">IF($R368&gt;0,Params!$B$15*Params!$B$4/(Params!$B$6*$R368),"n/a")</f>
        <v>1.41141362919574</v>
      </c>
      <c r="AJ368" s="29" t="n">
        <f aca="false">MIN(Params!$B$9,AD368*Params!$B$8/Params!$B$4)</f>
        <v>0.02125528575</v>
      </c>
      <c r="AK368" s="28" t="n">
        <f aca="false">IF($R368&gt;0,Params!$B$9*Params!$B$4/(Params!$B$6*$R368*Params!$B$8),"n/a")</f>
        <v>8.46848177517444</v>
      </c>
      <c r="AL368" s="27" t="str">
        <f aca="false">IFERROR(ciq($D368,"IQ_PE_EXCL"),"")</f>
        <v/>
      </c>
      <c r="AM368" s="27" t="str">
        <f aca="false">IFERROR(ciq($D368,"IQ_PE_EXCL_FWD_CIQ"),"")</f>
        <v/>
      </c>
      <c r="AN368" s="27" t="str">
        <f aca="false">IFERROR(ciq($D368,"IQ_PBV"),"")</f>
        <v/>
      </c>
      <c r="AO368" s="27" t="str">
        <f aca="false">IFERROR(ciq($D368,"IQ_TEV_EBITDA"),"")</f>
        <v/>
      </c>
      <c r="AP368" s="24" t="str">
        <f aca="false">IFERROR(ciq($D368,"IQ_RETURN_EQUITY"),"")</f>
        <v/>
      </c>
      <c r="AQ368" s="24" t="str">
        <f aca="false">IFERROR(ciq($D368,"IQ_RETURN_CAPITAL"),"")</f>
        <v/>
      </c>
      <c r="AR368" s="24" t="str">
        <f aca="false">IFERROR(ciq($D368,"IQ_TOTAL_REV_1YR_ANN_GROWTH"),"")</f>
        <v/>
      </c>
      <c r="AS368" s="24" t="str">
        <f aca="false">IFERROR(ciq($D368,"IQ_EPS_1YR_ANN_GROWTH"),"")</f>
        <v/>
      </c>
      <c r="AT368" s="24" t="str">
        <f aca="false">IFERROR(ciq($D368,"IQ_DIVIDEND_YIELD"),"")</f>
        <v/>
      </c>
      <c r="AU368" s="24" t="str">
        <f aca="false">IFERROR(ciq($D368,"IQ_NET_DEBT"),"")</f>
        <v/>
      </c>
    </row>
    <row r="369" customFormat="false" ht="15" hidden="false" customHeight="false" outlineLevel="0" collapsed="false">
      <c r="A369" s="8" t="s">
        <v>1873</v>
      </c>
      <c r="B369" s="6" t="s">
        <v>1874</v>
      </c>
      <c r="C369" s="8" t="s">
        <v>74</v>
      </c>
      <c r="D369" s="8" t="s">
        <v>1875</v>
      </c>
      <c r="E369" s="8" t="s">
        <v>1876</v>
      </c>
      <c r="F369" s="6" t="s">
        <v>1756</v>
      </c>
      <c r="G369" s="8" t="s">
        <v>58</v>
      </c>
      <c r="H369" s="8" t="s">
        <v>67</v>
      </c>
      <c r="I369" s="8"/>
      <c r="J369" s="8"/>
      <c r="K369" s="8"/>
      <c r="L369" s="8" t="s">
        <v>241</v>
      </c>
      <c r="M369" s="23" t="n">
        <v>21200</v>
      </c>
      <c r="N369" s="23" t="n">
        <v>6372.401576</v>
      </c>
      <c r="O369" s="23" t="n">
        <v>6830.04220805</v>
      </c>
      <c r="P369" s="24" t="n">
        <v>19.338488025</v>
      </c>
      <c r="Q369" s="24" t="n">
        <v>16.9900222708333</v>
      </c>
      <c r="R369" s="24" t="n">
        <v>16.9900222708333</v>
      </c>
      <c r="S369" s="25" t="n">
        <v>0.00303472525928583</v>
      </c>
      <c r="T369" s="26" t="n">
        <v>0.56751866045629</v>
      </c>
      <c r="U369" s="23" t="n">
        <v>0</v>
      </c>
      <c r="V369" s="26" t="n">
        <v>-0.06</v>
      </c>
      <c r="W369" s="26" t="n">
        <v>-0.0448607554869461</v>
      </c>
      <c r="X369" s="26" t="n">
        <v>-0.107357028359491</v>
      </c>
      <c r="Y369" s="26" t="n">
        <v>-0.460565744819832</v>
      </c>
      <c r="Z369" s="26" t="n">
        <v>-0.504155038503515</v>
      </c>
      <c r="AA369" s="26" t="n">
        <v>-0.570129215518383</v>
      </c>
      <c r="AB369" s="26" t="n">
        <v>-0.576040853959052</v>
      </c>
      <c r="AC369" s="27" t="n">
        <v>0.918364351264789</v>
      </c>
      <c r="AD369" s="28" t="n">
        <f aca="false">Params!$B$6*Params!$B$7*$R369</f>
        <v>10.1940133625</v>
      </c>
      <c r="AE369" s="29" t="n">
        <f aca="false">MIN(Params!$B$9,AD369/Params!$B$4)</f>
        <v>0.020388026725</v>
      </c>
      <c r="AF369" s="29" t="n">
        <f aca="false">MIN(Params!$B$9,AD369/Params!$B$5)</f>
        <v>0.0101940133625</v>
      </c>
      <c r="AG369" s="28" t="n">
        <f aca="false">IF($R369&gt;0,Params!$B$9*Params!$B$4/(Params!$B$6*$R369),"n/a")</f>
        <v>8.82871120525275</v>
      </c>
      <c r="AH369" s="28" t="n">
        <f aca="false">IF($R369&gt;0,Params!$B$9*Params!$B$5/(Params!$B$6*$R369),"n/a")</f>
        <v>17.6574224105055</v>
      </c>
      <c r="AI369" s="28" t="n">
        <f aca="false">IF($R369&gt;0,Params!$B$15*Params!$B$4/(Params!$B$6*$R369),"n/a")</f>
        <v>2.94290373508425</v>
      </c>
      <c r="AJ369" s="29" t="n">
        <f aca="false">MIN(Params!$B$9,AD369*Params!$B$8/Params!$B$4)</f>
        <v>0.0101940133625</v>
      </c>
      <c r="AK369" s="28" t="n">
        <f aca="false">IF($R369&gt;0,Params!$B$9*Params!$B$4/(Params!$B$6*$R369*Params!$B$8),"n/a")</f>
        <v>17.6574224105055</v>
      </c>
      <c r="AL369" s="27" t="str">
        <f aca="false">IFERROR(ciq($D369,"IQ_PE_EXCL"),"")</f>
        <v/>
      </c>
      <c r="AM369" s="27" t="str">
        <f aca="false">IFERROR(ciq($D369,"IQ_PE_EXCL_FWD_CIQ"),"")</f>
        <v/>
      </c>
      <c r="AN369" s="27" t="str">
        <f aca="false">IFERROR(ciq($D369,"IQ_PBV"),"")</f>
        <v/>
      </c>
      <c r="AO369" s="27" t="str">
        <f aca="false">IFERROR(ciq($D369,"IQ_TEV_EBITDA"),"")</f>
        <v/>
      </c>
      <c r="AP369" s="24" t="str">
        <f aca="false">IFERROR(ciq($D369,"IQ_RETURN_EQUITY"),"")</f>
        <v/>
      </c>
      <c r="AQ369" s="24" t="str">
        <f aca="false">IFERROR(ciq($D369,"IQ_RETURN_CAPITAL"),"")</f>
        <v/>
      </c>
      <c r="AR369" s="24" t="str">
        <f aca="false">IFERROR(ciq($D369,"IQ_TOTAL_REV_1YR_ANN_GROWTH"),"")</f>
        <v/>
      </c>
      <c r="AS369" s="24" t="str">
        <f aca="false">IFERROR(ciq($D369,"IQ_EPS_1YR_ANN_GROWTH"),"")</f>
        <v/>
      </c>
      <c r="AT369" s="24" t="str">
        <f aca="false">IFERROR(ciq($D369,"IQ_DIVIDEND_YIELD"),"")</f>
        <v/>
      </c>
      <c r="AU369" s="24" t="str">
        <f aca="false">IFERROR(ciq($D369,"IQ_NET_DEBT"),"")</f>
        <v/>
      </c>
    </row>
    <row r="370" customFormat="false" ht="15" hidden="false" customHeight="false" outlineLevel="0" collapsed="false">
      <c r="A370" s="8" t="s">
        <v>1877</v>
      </c>
      <c r="B370" s="6" t="s">
        <v>1878</v>
      </c>
      <c r="C370" s="8" t="s">
        <v>73</v>
      </c>
      <c r="D370" s="8" t="s">
        <v>1879</v>
      </c>
      <c r="E370" s="8" t="s">
        <v>1880</v>
      </c>
      <c r="F370" s="6" t="s">
        <v>900</v>
      </c>
      <c r="G370" s="8" t="s">
        <v>58</v>
      </c>
      <c r="H370" s="8" t="s">
        <v>67</v>
      </c>
      <c r="I370" s="8"/>
      <c r="J370" s="8"/>
      <c r="K370" s="8"/>
      <c r="L370" s="8"/>
      <c r="M370" s="23" t="n">
        <v>56900</v>
      </c>
      <c r="N370" s="23" t="n">
        <v>6330.981914</v>
      </c>
      <c r="O370" s="23" t="n">
        <v>6529.0337208</v>
      </c>
      <c r="P370" s="24" t="n">
        <v>20.4479707</v>
      </c>
      <c r="Q370" s="24" t="n">
        <v>24.1579287333333</v>
      </c>
      <c r="R370" s="24" t="n">
        <v>20.4479707</v>
      </c>
      <c r="S370" s="25" t="n">
        <v>0.00322982611193098</v>
      </c>
      <c r="T370" s="26" t="n">
        <v>0.339172701921622</v>
      </c>
      <c r="U370" s="23" t="n">
        <v>0</v>
      </c>
      <c r="V370" s="26" t="n">
        <v>-0.06</v>
      </c>
      <c r="W370" s="26" t="n">
        <v>0.0070945945205132</v>
      </c>
      <c r="X370" s="26" t="n">
        <v>-0.00703503877833545</v>
      </c>
      <c r="Y370" s="26" t="n">
        <v>-0.0825610075334526</v>
      </c>
      <c r="Z370" s="26" t="n">
        <v>-0.0535652494545733</v>
      </c>
      <c r="AA370" s="26" t="n">
        <v>-0.0706166241126752</v>
      </c>
      <c r="AB370" s="26" t="n">
        <v>-0.175515682243022</v>
      </c>
      <c r="AC370" s="27" t="n">
        <v>0.752941384596024</v>
      </c>
      <c r="AD370" s="28" t="n">
        <f aca="false">Params!$B$6*Params!$B$7*$R370</f>
        <v>12.26878242</v>
      </c>
      <c r="AE370" s="29" t="n">
        <f aca="false">MIN(Params!$B$9,AD370/Params!$B$4)</f>
        <v>0.02453756484</v>
      </c>
      <c r="AF370" s="29" t="n">
        <f aca="false">MIN(Params!$B$9,AD370/Params!$B$5)</f>
        <v>0.01226878242</v>
      </c>
      <c r="AG370" s="28" t="n">
        <f aca="false">IF($R370&gt;0,Params!$B$9*Params!$B$4/(Params!$B$6*$R370),"n/a")</f>
        <v>7.33569126250753</v>
      </c>
      <c r="AH370" s="28" t="n">
        <f aca="false">IF($R370&gt;0,Params!$B$9*Params!$B$5/(Params!$B$6*$R370),"n/a")</f>
        <v>14.6713825250151</v>
      </c>
      <c r="AI370" s="28" t="n">
        <f aca="false">IF($R370&gt;0,Params!$B$15*Params!$B$4/(Params!$B$6*$R370),"n/a")</f>
        <v>2.44523042083584</v>
      </c>
      <c r="AJ370" s="29" t="n">
        <f aca="false">MIN(Params!$B$9,AD370*Params!$B$8/Params!$B$4)</f>
        <v>0.01226878242</v>
      </c>
      <c r="AK370" s="28" t="n">
        <f aca="false">IF($R370&gt;0,Params!$B$9*Params!$B$4/(Params!$B$6*$R370*Params!$B$8),"n/a")</f>
        <v>14.6713825250151</v>
      </c>
      <c r="AL370" s="27" t="str">
        <f aca="false">IFERROR(ciq($D370,"IQ_PE_EXCL"),"")</f>
        <v/>
      </c>
      <c r="AM370" s="27" t="str">
        <f aca="false">IFERROR(ciq($D370,"IQ_PE_EXCL_FWD_CIQ"),"")</f>
        <v/>
      </c>
      <c r="AN370" s="27" t="str">
        <f aca="false">IFERROR(ciq($D370,"IQ_PBV"),"")</f>
        <v/>
      </c>
      <c r="AO370" s="27" t="str">
        <f aca="false">IFERROR(ciq($D370,"IQ_TEV_EBITDA"),"")</f>
        <v/>
      </c>
      <c r="AP370" s="24" t="str">
        <f aca="false">IFERROR(ciq($D370,"IQ_RETURN_EQUITY"),"")</f>
        <v/>
      </c>
      <c r="AQ370" s="24" t="str">
        <f aca="false">IFERROR(ciq($D370,"IQ_RETURN_CAPITAL"),"")</f>
        <v/>
      </c>
      <c r="AR370" s="24" t="str">
        <f aca="false">IFERROR(ciq($D370,"IQ_TOTAL_REV_1YR_ANN_GROWTH"),"")</f>
        <v/>
      </c>
      <c r="AS370" s="24" t="str">
        <f aca="false">IFERROR(ciq($D370,"IQ_EPS_1YR_ANN_GROWTH"),"")</f>
        <v/>
      </c>
      <c r="AT370" s="24" t="str">
        <f aca="false">IFERROR(ciq($D370,"IQ_DIVIDEND_YIELD"),"")</f>
        <v/>
      </c>
      <c r="AU370" s="24" t="str">
        <f aca="false">IFERROR(ciq($D370,"IQ_NET_DEBT"),"")</f>
        <v/>
      </c>
    </row>
    <row r="371" customFormat="false" ht="15" hidden="false" customHeight="false" outlineLevel="0" collapsed="false">
      <c r="A371" s="8" t="s">
        <v>1881</v>
      </c>
      <c r="B371" s="8" t="s">
        <v>1882</v>
      </c>
      <c r="C371" s="8" t="s">
        <v>72</v>
      </c>
      <c r="D371" s="8" t="s">
        <v>1883</v>
      </c>
      <c r="E371" s="8" t="s">
        <v>1884</v>
      </c>
      <c r="F371" s="6" t="s">
        <v>852</v>
      </c>
      <c r="G371" s="8" t="s">
        <v>58</v>
      </c>
      <c r="H371" s="8" t="s">
        <v>67</v>
      </c>
      <c r="I371" s="8"/>
      <c r="J371" s="8"/>
      <c r="K371" s="8"/>
      <c r="L371" s="8"/>
      <c r="M371" s="23" t="n">
        <v>27150</v>
      </c>
      <c r="N371" s="23" t="n">
        <v>6322.129995</v>
      </c>
      <c r="O371" s="23" t="n">
        <v>6346.5802215</v>
      </c>
      <c r="P371" s="24" t="n">
        <v>28.5833080375</v>
      </c>
      <c r="Q371" s="24" t="n">
        <v>16.8122175208333</v>
      </c>
      <c r="R371" s="24" t="n">
        <v>16.8122175208333</v>
      </c>
      <c r="S371" s="25" t="n">
        <v>0.00452115158342295</v>
      </c>
      <c r="T371" s="26" t="n">
        <v>0.578888288160584</v>
      </c>
      <c r="U371" s="23" t="n">
        <v>0</v>
      </c>
      <c r="V371" s="26" t="n">
        <v>-0.06</v>
      </c>
      <c r="W371" s="26" t="n">
        <v>0.115072127507147</v>
      </c>
      <c r="X371" s="26" t="n">
        <v>0.0405074007534554</v>
      </c>
      <c r="Y371" s="26" t="n">
        <v>-0.14012647190833</v>
      </c>
      <c r="Z371" s="26" t="n">
        <v>0.065532899674658</v>
      </c>
      <c r="AA371" s="26" t="n">
        <v>0.249263368194765</v>
      </c>
      <c r="AB371" s="26" t="n">
        <v>-0.304138566329664</v>
      </c>
      <c r="AC371" s="27" t="n">
        <v>1.5391100258554</v>
      </c>
      <c r="AD371" s="28" t="n">
        <f aca="false">Params!$B$6*Params!$B$7*$R371</f>
        <v>10.0873305125</v>
      </c>
      <c r="AE371" s="29" t="n">
        <f aca="false">MIN(Params!$B$9,AD371/Params!$B$4)</f>
        <v>0.020174661025</v>
      </c>
      <c r="AF371" s="29" t="n">
        <f aca="false">MIN(Params!$B$9,AD371/Params!$B$5)</f>
        <v>0.0100873305125</v>
      </c>
      <c r="AG371" s="28" t="n">
        <f aca="false">IF($R371&gt;0,Params!$B$9*Params!$B$4/(Params!$B$6*$R371),"n/a")</f>
        <v>8.92208299197434</v>
      </c>
      <c r="AH371" s="28" t="n">
        <f aca="false">IF($R371&gt;0,Params!$B$9*Params!$B$5/(Params!$B$6*$R371),"n/a")</f>
        <v>17.8441659839487</v>
      </c>
      <c r="AI371" s="28" t="n">
        <f aca="false">IF($R371&gt;0,Params!$B$15*Params!$B$4/(Params!$B$6*$R371),"n/a")</f>
        <v>2.97402766399145</v>
      </c>
      <c r="AJ371" s="29" t="n">
        <f aca="false">MIN(Params!$B$9,AD371*Params!$B$8/Params!$B$4)</f>
        <v>0.0100873305125</v>
      </c>
      <c r="AK371" s="28" t="n">
        <f aca="false">IF($R371&gt;0,Params!$B$9*Params!$B$4/(Params!$B$6*$R371*Params!$B$8),"n/a")</f>
        <v>17.8441659839487</v>
      </c>
      <c r="AL371" s="27" t="str">
        <f aca="false">IFERROR(ciq($D371,"IQ_PE_EXCL"),"")</f>
        <v/>
      </c>
      <c r="AM371" s="27" t="str">
        <f aca="false">IFERROR(ciq($D371,"IQ_PE_EXCL_FWD_CIQ"),"")</f>
        <v/>
      </c>
      <c r="AN371" s="27" t="str">
        <f aca="false">IFERROR(ciq($D371,"IQ_PBV"),"")</f>
        <v/>
      </c>
      <c r="AO371" s="27" t="str">
        <f aca="false">IFERROR(ciq($D371,"IQ_TEV_EBITDA"),"")</f>
        <v/>
      </c>
      <c r="AP371" s="24" t="str">
        <f aca="false">IFERROR(ciq($D371,"IQ_RETURN_EQUITY"),"")</f>
        <v/>
      </c>
      <c r="AQ371" s="24" t="str">
        <f aca="false">IFERROR(ciq($D371,"IQ_RETURN_CAPITAL"),"")</f>
        <v/>
      </c>
      <c r="AR371" s="24" t="str">
        <f aca="false">IFERROR(ciq($D371,"IQ_TOTAL_REV_1YR_ANN_GROWTH"),"")</f>
        <v/>
      </c>
      <c r="AS371" s="24" t="str">
        <f aca="false">IFERROR(ciq($D371,"IQ_EPS_1YR_ANN_GROWTH"),"")</f>
        <v/>
      </c>
      <c r="AT371" s="24" t="str">
        <f aca="false">IFERROR(ciq($D371,"IQ_DIVIDEND_YIELD"),"")</f>
        <v/>
      </c>
      <c r="AU371" s="24" t="str">
        <f aca="false">IFERROR(ciq($D371,"IQ_NET_DEBT"),"")</f>
        <v/>
      </c>
    </row>
    <row r="372" customFormat="false" ht="15" hidden="false" customHeight="false" outlineLevel="0" collapsed="false">
      <c r="A372" s="8" t="s">
        <v>1885</v>
      </c>
      <c r="B372" s="6" t="s">
        <v>1886</v>
      </c>
      <c r="C372" s="8" t="s">
        <v>72</v>
      </c>
      <c r="D372" s="8" t="s">
        <v>1887</v>
      </c>
      <c r="E372" s="8" t="s">
        <v>1888</v>
      </c>
      <c r="F372" s="6" t="s">
        <v>619</v>
      </c>
      <c r="G372" s="8" t="s">
        <v>58</v>
      </c>
      <c r="H372" s="8" t="s">
        <v>67</v>
      </c>
      <c r="I372" s="8"/>
      <c r="J372" s="8"/>
      <c r="K372" s="8"/>
      <c r="L372" s="8"/>
      <c r="M372" s="23" t="n">
        <v>96400</v>
      </c>
      <c r="N372" s="23" t="n">
        <v>6266</v>
      </c>
      <c r="O372" s="23" t="n">
        <v>5808.075</v>
      </c>
      <c r="P372" s="24" t="n">
        <v>38.033129775</v>
      </c>
      <c r="Q372" s="24" t="n">
        <v>35.1854544666667</v>
      </c>
      <c r="R372" s="24" t="n">
        <v>35.1854544666667</v>
      </c>
      <c r="S372" s="25" t="n">
        <v>0.00606976217283754</v>
      </c>
      <c r="T372" s="26" t="n">
        <v>0.698127178059817</v>
      </c>
      <c r="U372" s="23" t="n">
        <v>0</v>
      </c>
      <c r="V372" s="26" t="n">
        <v>-0.06</v>
      </c>
      <c r="W372" s="26" t="n">
        <v>0.0722500076552854</v>
      </c>
      <c r="X372" s="26" t="n">
        <v>-0.1872387205359</v>
      </c>
      <c r="Y372" s="26" t="n">
        <v>-0.279396757857336</v>
      </c>
      <c r="Z372" s="26" t="n">
        <v>-0.334261697187373</v>
      </c>
      <c r="AA372" s="26" t="n">
        <v>-0.142626872485016</v>
      </c>
      <c r="AB372" s="26" t="n">
        <v>-0.494444897224681</v>
      </c>
      <c r="AC372" s="27" t="n">
        <v>0.563669464269874</v>
      </c>
      <c r="AD372" s="28" t="n">
        <f aca="false">Params!$B$6*Params!$B$7*$R372</f>
        <v>21.11127268</v>
      </c>
      <c r="AE372" s="29" t="n">
        <f aca="false">MIN(Params!$B$9,AD372/Params!$B$4)</f>
        <v>0.04222254536</v>
      </c>
      <c r="AF372" s="29" t="n">
        <f aca="false">MIN(Params!$B$9,AD372/Params!$B$5)</f>
        <v>0.02111127268</v>
      </c>
      <c r="AG372" s="28" t="n">
        <f aca="false">IF($R372&gt;0,Params!$B$9*Params!$B$4/(Params!$B$6*$R372),"n/a")</f>
        <v>4.26312526791729</v>
      </c>
      <c r="AH372" s="28" t="n">
        <f aca="false">IF($R372&gt;0,Params!$B$9*Params!$B$5/(Params!$B$6*$R372),"n/a")</f>
        <v>8.52625053583459</v>
      </c>
      <c r="AI372" s="28" t="n">
        <f aca="false">IF($R372&gt;0,Params!$B$15*Params!$B$4/(Params!$B$6*$R372),"n/a")</f>
        <v>1.42104175597243</v>
      </c>
      <c r="AJ372" s="29" t="n">
        <f aca="false">MIN(Params!$B$9,AD372*Params!$B$8/Params!$B$4)</f>
        <v>0.02111127268</v>
      </c>
      <c r="AK372" s="28" t="n">
        <f aca="false">IF($R372&gt;0,Params!$B$9*Params!$B$4/(Params!$B$6*$R372*Params!$B$8),"n/a")</f>
        <v>8.52625053583459</v>
      </c>
      <c r="AL372" s="27" t="str">
        <f aca="false">IFERROR(ciq($D372,"IQ_PE_EXCL"),"")</f>
        <v/>
      </c>
      <c r="AM372" s="27" t="str">
        <f aca="false">IFERROR(ciq($D372,"IQ_PE_EXCL_FWD_CIQ"),"")</f>
        <v/>
      </c>
      <c r="AN372" s="27" t="str">
        <f aca="false">IFERROR(ciq($D372,"IQ_PBV"),"")</f>
        <v/>
      </c>
      <c r="AO372" s="27" t="str">
        <f aca="false">IFERROR(ciq($D372,"IQ_TEV_EBITDA"),"")</f>
        <v/>
      </c>
      <c r="AP372" s="24" t="str">
        <f aca="false">IFERROR(ciq($D372,"IQ_RETURN_EQUITY"),"")</f>
        <v/>
      </c>
      <c r="AQ372" s="24" t="str">
        <f aca="false">IFERROR(ciq($D372,"IQ_RETURN_CAPITAL"),"")</f>
        <v/>
      </c>
      <c r="AR372" s="24" t="str">
        <f aca="false">IFERROR(ciq($D372,"IQ_TOTAL_REV_1YR_ANN_GROWTH"),"")</f>
        <v/>
      </c>
      <c r="AS372" s="24" t="str">
        <f aca="false">IFERROR(ciq($D372,"IQ_EPS_1YR_ANN_GROWTH"),"")</f>
        <v/>
      </c>
      <c r="AT372" s="24" t="str">
        <f aca="false">IFERROR(ciq($D372,"IQ_DIVIDEND_YIELD"),"")</f>
        <v/>
      </c>
      <c r="AU372" s="24" t="str">
        <f aca="false">IFERROR(ciq($D372,"IQ_NET_DEBT"),"")</f>
        <v/>
      </c>
    </row>
    <row r="373" customFormat="false" ht="15" hidden="false" customHeight="false" outlineLevel="0" collapsed="false">
      <c r="A373" s="8" t="s">
        <v>395</v>
      </c>
      <c r="B373" s="6" t="s">
        <v>396</v>
      </c>
      <c r="C373" s="8" t="s">
        <v>73</v>
      </c>
      <c r="D373" s="8" t="s">
        <v>1889</v>
      </c>
      <c r="E373" s="8" t="s">
        <v>1890</v>
      </c>
      <c r="F373" s="8"/>
      <c r="G373" s="8" t="s">
        <v>58</v>
      </c>
      <c r="H373" s="8" t="s">
        <v>67</v>
      </c>
      <c r="I373" s="8" t="s">
        <v>508</v>
      </c>
      <c r="J373" s="8"/>
      <c r="K373" s="8"/>
      <c r="L373" s="8" t="s">
        <v>397</v>
      </c>
      <c r="M373" s="23" t="n">
        <v>50700</v>
      </c>
      <c r="N373" s="23" t="n">
        <v>6260.020767</v>
      </c>
      <c r="O373" s="23" t="n">
        <v>5039.50192515</v>
      </c>
      <c r="P373" s="24" t="n">
        <v>48.7738998375</v>
      </c>
      <c r="Q373" s="24" t="n">
        <v>40.5356352708333</v>
      </c>
      <c r="R373" s="24" t="n">
        <v>40.5356352708333</v>
      </c>
      <c r="S373" s="25" t="n">
        <v>0.00779133195445836</v>
      </c>
      <c r="T373" s="26" t="n">
        <v>1.02256451752859</v>
      </c>
      <c r="U373" s="23" t="n">
        <v>2</v>
      </c>
      <c r="V373" s="26" t="n">
        <v>-0.04</v>
      </c>
      <c r="W373" s="26" t="n">
        <v>0.56463598171029</v>
      </c>
      <c r="X373" s="26" t="n">
        <v>-0.0118685989190125</v>
      </c>
      <c r="Y373" s="26" t="n">
        <v>-0.148011243263766</v>
      </c>
      <c r="Z373" s="26" t="n">
        <v>0.392389235078917</v>
      </c>
      <c r="AA373" s="26" t="n">
        <v>0.492173880589824</v>
      </c>
      <c r="AB373" s="26" t="n">
        <v>-0.318607018784196</v>
      </c>
      <c r="AC373" s="27" t="n">
        <v>0.590901567255411</v>
      </c>
      <c r="AD373" s="28" t="n">
        <f aca="false">Params!$B$6*Params!$B$7*$R373</f>
        <v>24.3213811625</v>
      </c>
      <c r="AE373" s="29" t="n">
        <f aca="false">MIN(Params!$B$9,AD373/Params!$B$4)</f>
        <v>0.048642762325</v>
      </c>
      <c r="AF373" s="29" t="n">
        <f aca="false">MIN(Params!$B$9,AD373/Params!$B$5)</f>
        <v>0.0243213811625</v>
      </c>
      <c r="AG373" s="28" t="n">
        <f aca="false">IF($R373&gt;0,Params!$B$9*Params!$B$4/(Params!$B$6*$R373),"n/a")</f>
        <v>3.70044774179054</v>
      </c>
      <c r="AH373" s="28" t="n">
        <f aca="false">IF($R373&gt;0,Params!$B$9*Params!$B$5/(Params!$B$6*$R373),"n/a")</f>
        <v>7.40089548358107</v>
      </c>
      <c r="AI373" s="28" t="n">
        <f aca="false">IF($R373&gt;0,Params!$B$15*Params!$B$4/(Params!$B$6*$R373),"n/a")</f>
        <v>1.23348258059685</v>
      </c>
      <c r="AJ373" s="29" t="n">
        <f aca="false">MIN(Params!$B$9,AD373*Params!$B$8/Params!$B$4)</f>
        <v>0.0243213811625</v>
      </c>
      <c r="AK373" s="28" t="n">
        <f aca="false">IF($R373&gt;0,Params!$B$9*Params!$B$4/(Params!$B$6*$R373*Params!$B$8),"n/a")</f>
        <v>7.40089548358107</v>
      </c>
      <c r="AL373" s="27" t="str">
        <f aca="false">IFERROR(ciq($D373,"IQ_PE_EXCL"),"")</f>
        <v/>
      </c>
      <c r="AM373" s="27" t="str">
        <f aca="false">IFERROR(ciq($D373,"IQ_PE_EXCL_FWD_CIQ"),"")</f>
        <v/>
      </c>
      <c r="AN373" s="27" t="str">
        <f aca="false">IFERROR(ciq($D373,"IQ_PBV"),"")</f>
        <v/>
      </c>
      <c r="AO373" s="27" t="str">
        <f aca="false">IFERROR(ciq($D373,"IQ_TEV_EBITDA"),"")</f>
        <v/>
      </c>
      <c r="AP373" s="24" t="str">
        <f aca="false">IFERROR(ciq($D373,"IQ_RETURN_EQUITY"),"")</f>
        <v/>
      </c>
      <c r="AQ373" s="24" t="str">
        <f aca="false">IFERROR(ciq($D373,"IQ_RETURN_CAPITAL"),"")</f>
        <v/>
      </c>
      <c r="AR373" s="24" t="str">
        <f aca="false">IFERROR(ciq($D373,"IQ_TOTAL_REV_1YR_ANN_GROWTH"),"")</f>
        <v/>
      </c>
      <c r="AS373" s="24" t="str">
        <f aca="false">IFERROR(ciq($D373,"IQ_EPS_1YR_ANN_GROWTH"),"")</f>
        <v/>
      </c>
      <c r="AT373" s="24" t="str">
        <f aca="false">IFERROR(ciq($D373,"IQ_DIVIDEND_YIELD"),"")</f>
        <v/>
      </c>
      <c r="AU373" s="24" t="str">
        <f aca="false">IFERROR(ciq($D373,"IQ_NET_DEBT"),"")</f>
        <v/>
      </c>
    </row>
    <row r="374" customFormat="false" ht="15" hidden="false" customHeight="false" outlineLevel="0" collapsed="false">
      <c r="A374" s="8" t="s">
        <v>1891</v>
      </c>
      <c r="B374" s="6" t="s">
        <v>1892</v>
      </c>
      <c r="C374" s="8" t="s">
        <v>72</v>
      </c>
      <c r="D374" s="8" t="s">
        <v>1893</v>
      </c>
      <c r="E374" s="8" t="s">
        <v>1894</v>
      </c>
      <c r="F374" s="6" t="s">
        <v>533</v>
      </c>
      <c r="G374" s="8" t="s">
        <v>58</v>
      </c>
      <c r="H374" s="8" t="s">
        <v>67</v>
      </c>
      <c r="I374" s="8"/>
      <c r="J374" s="8"/>
      <c r="K374" s="8"/>
      <c r="L374" s="8"/>
      <c r="M374" s="23" t="n">
        <v>10380</v>
      </c>
      <c r="N374" s="23" t="n">
        <v>6228.4166532</v>
      </c>
      <c r="O374" s="23" t="n">
        <v>6750.15155493</v>
      </c>
      <c r="P374" s="24" t="n">
        <v>134.18947029</v>
      </c>
      <c r="Q374" s="24" t="n">
        <v>95.9570956116667</v>
      </c>
      <c r="R374" s="24" t="n">
        <v>95.9570956116667</v>
      </c>
      <c r="S374" s="25" t="n">
        <v>0.0215447163800541</v>
      </c>
      <c r="T374" s="26" t="n">
        <v>0.809687779939311</v>
      </c>
      <c r="U374" s="23" t="n">
        <v>1</v>
      </c>
      <c r="V374" s="26" t="n">
        <v>-0.06</v>
      </c>
      <c r="W374" s="26" t="n">
        <v>-0.0912436278393132</v>
      </c>
      <c r="X374" s="26" t="n">
        <v>-0.209078506477207</v>
      </c>
      <c r="Y374" s="26" t="n">
        <v>-0.349012708835488</v>
      </c>
      <c r="Z374" s="26" t="n">
        <v>-0.286025617579961</v>
      </c>
      <c r="AA374" s="26" t="n">
        <v>-0.0429218337471117</v>
      </c>
      <c r="AB374" s="26" t="n">
        <v>-0.487586484097223</v>
      </c>
      <c r="AC374" s="27" t="n">
        <v>0.978608797445572</v>
      </c>
      <c r="AD374" s="28" t="n">
        <f aca="false">Params!$B$6*Params!$B$7*$R374</f>
        <v>57.574257367</v>
      </c>
      <c r="AE374" s="29" t="n">
        <f aca="false">MIN(Params!$B$9,AD374/Params!$B$4)</f>
        <v>0.06</v>
      </c>
      <c r="AF374" s="29" t="n">
        <f aca="false">MIN(Params!$B$9,AD374/Params!$B$5)</f>
        <v>0.057574257367</v>
      </c>
      <c r="AG374" s="28" t="n">
        <f aca="false">IF($R374&gt;0,Params!$B$9*Params!$B$4/(Params!$B$6*$R374),"n/a")</f>
        <v>1.56319862584256</v>
      </c>
      <c r="AH374" s="28" t="n">
        <f aca="false">IF($R374&gt;0,Params!$B$9*Params!$B$5/(Params!$B$6*$R374),"n/a")</f>
        <v>3.12639725168511</v>
      </c>
      <c r="AI374" s="28" t="n">
        <f aca="false">IF($R374&gt;0,Params!$B$15*Params!$B$4/(Params!$B$6*$R374),"n/a")</f>
        <v>0.521066208614185</v>
      </c>
      <c r="AJ374" s="29" t="n">
        <f aca="false">MIN(Params!$B$9,AD374*Params!$B$8/Params!$B$4)</f>
        <v>0.057574257367</v>
      </c>
      <c r="AK374" s="28" t="n">
        <f aca="false">IF($R374&gt;0,Params!$B$9*Params!$B$4/(Params!$B$6*$R374*Params!$B$8),"n/a")</f>
        <v>3.12639725168511</v>
      </c>
      <c r="AL374" s="27" t="str">
        <f aca="false">IFERROR(ciq($D374,"IQ_PE_EXCL"),"")</f>
        <v/>
      </c>
      <c r="AM374" s="27" t="str">
        <f aca="false">IFERROR(ciq($D374,"IQ_PE_EXCL_FWD_CIQ"),"")</f>
        <v/>
      </c>
      <c r="AN374" s="27" t="str">
        <f aca="false">IFERROR(ciq($D374,"IQ_PBV"),"")</f>
        <v/>
      </c>
      <c r="AO374" s="27" t="str">
        <f aca="false">IFERROR(ciq($D374,"IQ_TEV_EBITDA"),"")</f>
        <v/>
      </c>
      <c r="AP374" s="24" t="str">
        <f aca="false">IFERROR(ciq($D374,"IQ_RETURN_EQUITY"),"")</f>
        <v/>
      </c>
      <c r="AQ374" s="24" t="str">
        <f aca="false">IFERROR(ciq($D374,"IQ_RETURN_CAPITAL"),"")</f>
        <v/>
      </c>
      <c r="AR374" s="24" t="str">
        <f aca="false">IFERROR(ciq($D374,"IQ_TOTAL_REV_1YR_ANN_GROWTH"),"")</f>
        <v/>
      </c>
      <c r="AS374" s="24" t="str">
        <f aca="false">IFERROR(ciq($D374,"IQ_EPS_1YR_ANN_GROWTH"),"")</f>
        <v/>
      </c>
      <c r="AT374" s="24" t="str">
        <f aca="false">IFERROR(ciq($D374,"IQ_DIVIDEND_YIELD"),"")</f>
        <v/>
      </c>
      <c r="AU374" s="24" t="str">
        <f aca="false">IFERROR(ciq($D374,"IQ_NET_DEBT"),"")</f>
        <v/>
      </c>
    </row>
    <row r="375" customFormat="false" ht="15" hidden="false" customHeight="false" outlineLevel="0" collapsed="false">
      <c r="A375" s="8" t="s">
        <v>331</v>
      </c>
      <c r="B375" s="6" t="s">
        <v>332</v>
      </c>
      <c r="C375" s="8" t="s">
        <v>72</v>
      </c>
      <c r="D375" s="8" t="s">
        <v>1895</v>
      </c>
      <c r="E375" s="8" t="s">
        <v>1896</v>
      </c>
      <c r="F375" s="6" t="s">
        <v>826</v>
      </c>
      <c r="G375" s="8" t="s">
        <v>58</v>
      </c>
      <c r="H375" s="8" t="s">
        <v>67</v>
      </c>
      <c r="I375" s="8" t="s">
        <v>508</v>
      </c>
      <c r="J375" s="6" t="s">
        <v>333</v>
      </c>
      <c r="K375" s="8" t="s">
        <v>334</v>
      </c>
      <c r="L375" s="6" t="s">
        <v>335</v>
      </c>
      <c r="M375" s="23" t="n">
        <v>16510</v>
      </c>
      <c r="N375" s="23" t="n">
        <v>6151.6217074</v>
      </c>
      <c r="O375" s="23" t="n">
        <v>5292.40670696</v>
      </c>
      <c r="P375" s="24" t="n">
        <v>2095.3241452</v>
      </c>
      <c r="Q375" s="24" t="n">
        <v>1386.02923930881</v>
      </c>
      <c r="R375" s="24" t="n">
        <v>1386.02923930881</v>
      </c>
      <c r="S375" s="25" t="n">
        <v>0.3406132959508</v>
      </c>
      <c r="T375" s="26" t="n">
        <v>2.21420588101591</v>
      </c>
      <c r="U375" s="23" t="n">
        <v>7</v>
      </c>
      <c r="V375" s="26" t="n">
        <v>-0.04</v>
      </c>
      <c r="W375" s="26" t="n">
        <v>0.689958937613282</v>
      </c>
      <c r="X375" s="26" t="n">
        <v>3.49186411627181</v>
      </c>
      <c r="Y375" s="26" t="n">
        <v>2.43223029662065</v>
      </c>
      <c r="Z375" s="26" t="n">
        <v>3.13808753887444</v>
      </c>
      <c r="AA375" s="26" t="n">
        <v>3.07151321536583</v>
      </c>
      <c r="AB375" s="26" t="n">
        <v>-0.0462619486884315</v>
      </c>
      <c r="AC375" s="27" t="n">
        <v>3.02410975935789</v>
      </c>
      <c r="AD375" s="28" t="n">
        <f aca="false">Params!$B$6*Params!$B$7*$R375</f>
        <v>831.617543585288</v>
      </c>
      <c r="AE375" s="29" t="n">
        <f aca="false">MIN(Params!$B$9,AD375/Params!$B$4)</f>
        <v>0.06</v>
      </c>
      <c r="AF375" s="29" t="n">
        <f aca="false">MIN(Params!$B$9,AD375/Params!$B$5)</f>
        <v>0.06</v>
      </c>
      <c r="AG375" s="28" t="n">
        <f aca="false">IF($R375&gt;0,Params!$B$9*Params!$B$4/(Params!$B$6*$R375),"n/a")</f>
        <v>0.108222825136649</v>
      </c>
      <c r="AH375" s="28" t="n">
        <f aca="false">IF($R375&gt;0,Params!$B$9*Params!$B$5/(Params!$B$6*$R375),"n/a")</f>
        <v>0.216445650273298</v>
      </c>
      <c r="AI375" s="28" t="n">
        <f aca="false">IF($R375&gt;0,Params!$B$15*Params!$B$4/(Params!$B$6*$R375),"n/a")</f>
        <v>0.0360742750455496</v>
      </c>
      <c r="AJ375" s="29" t="n">
        <f aca="false">MIN(Params!$B$9,AD375*Params!$B$8/Params!$B$4)</f>
        <v>0.06</v>
      </c>
      <c r="AK375" s="28" t="n">
        <f aca="false">IF($R375&gt;0,Params!$B$9*Params!$B$4/(Params!$B$6*$R375*Params!$B$8),"n/a")</f>
        <v>0.216445650273298</v>
      </c>
      <c r="AL375" s="27" t="str">
        <f aca="false">IFERROR(ciq($D375,"IQ_PE_EXCL"),"")</f>
        <v/>
      </c>
      <c r="AM375" s="27" t="str">
        <f aca="false">IFERROR(ciq($D375,"IQ_PE_EXCL_FWD_CIQ"),"")</f>
        <v/>
      </c>
      <c r="AN375" s="27" t="str">
        <f aca="false">IFERROR(ciq($D375,"IQ_PBV"),"")</f>
        <v/>
      </c>
      <c r="AO375" s="27" t="str">
        <f aca="false">IFERROR(ciq($D375,"IQ_TEV_EBITDA"),"")</f>
        <v/>
      </c>
      <c r="AP375" s="24" t="str">
        <f aca="false">IFERROR(ciq($D375,"IQ_RETURN_EQUITY"),"")</f>
        <v/>
      </c>
      <c r="AQ375" s="24" t="str">
        <f aca="false">IFERROR(ciq($D375,"IQ_RETURN_CAPITAL"),"")</f>
        <v/>
      </c>
      <c r="AR375" s="24" t="str">
        <f aca="false">IFERROR(ciq($D375,"IQ_TOTAL_REV_1YR_ANN_GROWTH"),"")</f>
        <v/>
      </c>
      <c r="AS375" s="24" t="str">
        <f aca="false">IFERROR(ciq($D375,"IQ_EPS_1YR_ANN_GROWTH"),"")</f>
        <v/>
      </c>
      <c r="AT375" s="24" t="str">
        <f aca="false">IFERROR(ciq($D375,"IQ_DIVIDEND_YIELD"),"")</f>
        <v/>
      </c>
      <c r="AU375" s="24" t="str">
        <f aca="false">IFERROR(ciq($D375,"IQ_NET_DEBT"),"")</f>
        <v/>
      </c>
    </row>
    <row r="376" customFormat="false" ht="15" hidden="false" customHeight="false" outlineLevel="0" collapsed="false">
      <c r="A376" s="8" t="s">
        <v>1897</v>
      </c>
      <c r="B376" s="6" t="s">
        <v>1898</v>
      </c>
      <c r="C376" s="8" t="s">
        <v>72</v>
      </c>
      <c r="D376" s="8" t="s">
        <v>1899</v>
      </c>
      <c r="E376" s="8" t="s">
        <v>1900</v>
      </c>
      <c r="F376" s="8"/>
      <c r="G376" s="8" t="s">
        <v>58</v>
      </c>
      <c r="H376" s="8" t="s">
        <v>67</v>
      </c>
      <c r="I376" s="8"/>
      <c r="J376" s="8"/>
      <c r="K376" s="8"/>
      <c r="L376" s="8"/>
      <c r="M376" s="23" t="n">
        <v>41750</v>
      </c>
      <c r="N376" s="23" t="n">
        <v>6092.3875375</v>
      </c>
      <c r="O376" s="23" t="n">
        <v>5254.410640875</v>
      </c>
      <c r="P376" s="24" t="n">
        <v>63.9823272125</v>
      </c>
      <c r="Q376" s="24" t="n">
        <v>39.1506231791667</v>
      </c>
      <c r="R376" s="24" t="n">
        <v>39.1506231791667</v>
      </c>
      <c r="S376" s="25" t="n">
        <v>0.0105020120303698</v>
      </c>
      <c r="T376" s="26" t="n">
        <v>0.979438060802802</v>
      </c>
      <c r="U376" s="23" t="n">
        <v>1</v>
      </c>
      <c r="V376" s="26" t="n">
        <v>-0.06</v>
      </c>
      <c r="W376" s="26" t="n">
        <v>0.203222657679112</v>
      </c>
      <c r="X376" s="26" t="n">
        <v>-0.193935833886046</v>
      </c>
      <c r="Y376" s="26" t="n">
        <v>-0.238104885731888</v>
      </c>
      <c r="Z376" s="26" t="n">
        <v>-0.129227735770697</v>
      </c>
      <c r="AA376" s="26" t="n">
        <v>-0.179300329682674</v>
      </c>
      <c r="AB376" s="26" t="n">
        <v>-0.427927105962798</v>
      </c>
      <c r="AC376" s="27" t="n">
        <v>0.843172231705867</v>
      </c>
      <c r="AD376" s="28" t="n">
        <f aca="false">Params!$B$6*Params!$B$7*$R376</f>
        <v>23.4903739075</v>
      </c>
      <c r="AE376" s="29" t="n">
        <f aca="false">MIN(Params!$B$9,AD376/Params!$B$4)</f>
        <v>0.046980747815</v>
      </c>
      <c r="AF376" s="29" t="n">
        <f aca="false">MIN(Params!$B$9,AD376/Params!$B$5)</f>
        <v>0.0234903739075</v>
      </c>
      <c r="AG376" s="28" t="n">
        <f aca="false">IF($R376&gt;0,Params!$B$9*Params!$B$4/(Params!$B$6*$R376),"n/a")</f>
        <v>3.83135663801694</v>
      </c>
      <c r="AH376" s="28" t="n">
        <f aca="false">IF($R376&gt;0,Params!$B$9*Params!$B$5/(Params!$B$6*$R376),"n/a")</f>
        <v>7.66271327603387</v>
      </c>
      <c r="AI376" s="28" t="n">
        <f aca="false">IF($R376&gt;0,Params!$B$15*Params!$B$4/(Params!$B$6*$R376),"n/a")</f>
        <v>1.27711887933898</v>
      </c>
      <c r="AJ376" s="29" t="n">
        <f aca="false">MIN(Params!$B$9,AD376*Params!$B$8/Params!$B$4)</f>
        <v>0.0234903739075</v>
      </c>
      <c r="AK376" s="28" t="n">
        <f aca="false">IF($R376&gt;0,Params!$B$9*Params!$B$4/(Params!$B$6*$R376*Params!$B$8),"n/a")</f>
        <v>7.66271327603387</v>
      </c>
      <c r="AL376" s="27" t="str">
        <f aca="false">IFERROR(ciq($D376,"IQ_PE_EXCL"),"")</f>
        <v/>
      </c>
      <c r="AM376" s="27" t="str">
        <f aca="false">IFERROR(ciq($D376,"IQ_PE_EXCL_FWD_CIQ"),"")</f>
        <v/>
      </c>
      <c r="AN376" s="27" t="str">
        <f aca="false">IFERROR(ciq($D376,"IQ_PBV"),"")</f>
        <v/>
      </c>
      <c r="AO376" s="27" t="str">
        <f aca="false">IFERROR(ciq($D376,"IQ_TEV_EBITDA"),"")</f>
        <v/>
      </c>
      <c r="AP376" s="24" t="str">
        <f aca="false">IFERROR(ciq($D376,"IQ_RETURN_EQUITY"),"")</f>
        <v/>
      </c>
      <c r="AQ376" s="24" t="str">
        <f aca="false">IFERROR(ciq($D376,"IQ_RETURN_CAPITAL"),"")</f>
        <v/>
      </c>
      <c r="AR376" s="24" t="str">
        <f aca="false">IFERROR(ciq($D376,"IQ_TOTAL_REV_1YR_ANN_GROWTH"),"")</f>
        <v/>
      </c>
      <c r="AS376" s="24" t="str">
        <f aca="false">IFERROR(ciq($D376,"IQ_EPS_1YR_ANN_GROWTH"),"")</f>
        <v/>
      </c>
      <c r="AT376" s="24" t="str">
        <f aca="false">IFERROR(ciq($D376,"IQ_DIVIDEND_YIELD"),"")</f>
        <v/>
      </c>
      <c r="AU376" s="24" t="str">
        <f aca="false">IFERROR(ciq($D376,"IQ_NET_DEBT"),"")</f>
        <v/>
      </c>
    </row>
    <row r="377" customFormat="false" ht="15" hidden="false" customHeight="false" outlineLevel="0" collapsed="false">
      <c r="A377" s="8" t="s">
        <v>398</v>
      </c>
      <c r="B377" s="8" t="s">
        <v>399</v>
      </c>
      <c r="C377" s="8" t="s">
        <v>73</v>
      </c>
      <c r="D377" s="8" t="s">
        <v>1901</v>
      </c>
      <c r="E377" s="8" t="s">
        <v>1902</v>
      </c>
      <c r="F377" s="8"/>
      <c r="G377" s="8" t="s">
        <v>58</v>
      </c>
      <c r="H377" s="8" t="s">
        <v>67</v>
      </c>
      <c r="I377" s="8" t="s">
        <v>508</v>
      </c>
      <c r="J377" s="8"/>
      <c r="K377" s="8"/>
      <c r="L377" s="6" t="s">
        <v>172</v>
      </c>
      <c r="M377" s="23" t="n">
        <v>33800</v>
      </c>
      <c r="N377" s="23" t="n">
        <v>6080.227582</v>
      </c>
      <c r="O377" s="23" t="n">
        <v>5262.27760685</v>
      </c>
      <c r="P377" s="24" t="n">
        <v>178.0366498</v>
      </c>
      <c r="Q377" s="24" t="n">
        <v>124.434500339167</v>
      </c>
      <c r="R377" s="24" t="n">
        <v>124.434500339167</v>
      </c>
      <c r="S377" s="25" t="n">
        <v>0.0292812476834029</v>
      </c>
      <c r="T377" s="26" t="n">
        <v>1.51007453294559</v>
      </c>
      <c r="U377" s="23" t="n">
        <v>4</v>
      </c>
      <c r="V377" s="26" t="n">
        <v>-0.04</v>
      </c>
      <c r="W377" s="26" t="n">
        <v>0.00143059450035055</v>
      </c>
      <c r="X377" s="26" t="n">
        <v>-0.0509462126304504</v>
      </c>
      <c r="Y377" s="26" t="n">
        <v>0.030888898026423</v>
      </c>
      <c r="Z377" s="26" t="n">
        <v>2.00059966434671</v>
      </c>
      <c r="AA377" s="26" t="n">
        <v>9.8105490655534</v>
      </c>
      <c r="AB377" s="26" t="n">
        <v>-0.431465510361242</v>
      </c>
      <c r="AC377" s="27" t="n">
        <v>0.814239568453484</v>
      </c>
      <c r="AD377" s="28" t="n">
        <f aca="false">Params!$B$6*Params!$B$7*$R377</f>
        <v>74.6607002035</v>
      </c>
      <c r="AE377" s="29" t="n">
        <f aca="false">MIN(Params!$B$9,AD377/Params!$B$4)</f>
        <v>0.06</v>
      </c>
      <c r="AF377" s="29" t="n">
        <f aca="false">MIN(Params!$B$9,AD377/Params!$B$5)</f>
        <v>0.06</v>
      </c>
      <c r="AG377" s="28" t="n">
        <f aca="false">IF($R377&gt;0,Params!$B$9*Params!$B$4/(Params!$B$6*$R377),"n/a")</f>
        <v>1.20545346821943</v>
      </c>
      <c r="AH377" s="28" t="n">
        <f aca="false">IF($R377&gt;0,Params!$B$9*Params!$B$5/(Params!$B$6*$R377),"n/a")</f>
        <v>2.41090693643885</v>
      </c>
      <c r="AI377" s="28" t="n">
        <f aca="false">IF($R377&gt;0,Params!$B$15*Params!$B$4/(Params!$B$6*$R377),"n/a")</f>
        <v>0.401817822739809</v>
      </c>
      <c r="AJ377" s="29" t="n">
        <f aca="false">MIN(Params!$B$9,AD377*Params!$B$8/Params!$B$4)</f>
        <v>0.06</v>
      </c>
      <c r="AK377" s="28" t="n">
        <f aca="false">IF($R377&gt;0,Params!$B$9*Params!$B$4/(Params!$B$6*$R377*Params!$B$8),"n/a")</f>
        <v>2.41090693643885</v>
      </c>
      <c r="AL377" s="27" t="str">
        <f aca="false">IFERROR(ciq($D377,"IQ_PE_EXCL"),"")</f>
        <v/>
      </c>
      <c r="AM377" s="27" t="str">
        <f aca="false">IFERROR(ciq($D377,"IQ_PE_EXCL_FWD_CIQ"),"")</f>
        <v/>
      </c>
      <c r="AN377" s="27" t="str">
        <f aca="false">IFERROR(ciq($D377,"IQ_PBV"),"")</f>
        <v/>
      </c>
      <c r="AO377" s="27" t="str">
        <f aca="false">IFERROR(ciq($D377,"IQ_TEV_EBITDA"),"")</f>
        <v/>
      </c>
      <c r="AP377" s="24" t="str">
        <f aca="false">IFERROR(ciq($D377,"IQ_RETURN_EQUITY"),"")</f>
        <v/>
      </c>
      <c r="AQ377" s="24" t="str">
        <f aca="false">IFERROR(ciq($D377,"IQ_RETURN_CAPITAL"),"")</f>
        <v/>
      </c>
      <c r="AR377" s="24" t="str">
        <f aca="false">IFERROR(ciq($D377,"IQ_TOTAL_REV_1YR_ANN_GROWTH"),"")</f>
        <v/>
      </c>
      <c r="AS377" s="24" t="str">
        <f aca="false">IFERROR(ciq($D377,"IQ_EPS_1YR_ANN_GROWTH"),"")</f>
        <v/>
      </c>
      <c r="AT377" s="24" t="str">
        <f aca="false">IFERROR(ciq($D377,"IQ_DIVIDEND_YIELD"),"")</f>
        <v/>
      </c>
      <c r="AU377" s="24" t="str">
        <f aca="false">IFERROR(ciq($D377,"IQ_NET_DEBT"),"")</f>
        <v/>
      </c>
    </row>
    <row r="378" customFormat="false" ht="15" hidden="false" customHeight="false" outlineLevel="0" collapsed="false">
      <c r="A378" s="8" t="s">
        <v>1903</v>
      </c>
      <c r="B378" s="6" t="s">
        <v>1904</v>
      </c>
      <c r="C378" s="8" t="s">
        <v>72</v>
      </c>
      <c r="D378" s="8" t="s">
        <v>1905</v>
      </c>
      <c r="E378" s="8" t="s">
        <v>1906</v>
      </c>
      <c r="F378" s="6" t="s">
        <v>523</v>
      </c>
      <c r="G378" s="8" t="s">
        <v>58</v>
      </c>
      <c r="H378" s="8" t="s">
        <v>67</v>
      </c>
      <c r="I378" s="8"/>
      <c r="J378" s="8"/>
      <c r="K378" s="8"/>
      <c r="L378" s="8"/>
      <c r="M378" s="23" t="n">
        <v>27950</v>
      </c>
      <c r="N378" s="23" t="n">
        <v>6038.737809</v>
      </c>
      <c r="O378" s="23" t="n">
        <v>6263.97516735</v>
      </c>
      <c r="P378" s="24" t="n">
        <v>34.3464981875</v>
      </c>
      <c r="Q378" s="24" t="n">
        <v>31.8196162675</v>
      </c>
      <c r="R378" s="24" t="n">
        <v>31.8196162675</v>
      </c>
      <c r="S378" s="25" t="n">
        <v>0.00568769489152365</v>
      </c>
      <c r="T378" s="26" t="n">
        <v>0.809500685587172</v>
      </c>
      <c r="U378" s="23" t="n">
        <v>0</v>
      </c>
      <c r="V378" s="26" t="n">
        <v>-0.06</v>
      </c>
      <c r="W378" s="26" t="n">
        <v>0.0429070999130079</v>
      </c>
      <c r="X378" s="26" t="n">
        <v>-0.219109708839065</v>
      </c>
      <c r="Y378" s="26" t="n">
        <v>-0.370412439607614</v>
      </c>
      <c r="Z378" s="26" t="n">
        <v>0.0877141624065807</v>
      </c>
      <c r="AA378" s="26" t="n">
        <v>0.462936872657784</v>
      </c>
      <c r="AB378" s="26" t="n">
        <v>-0.49814545768376</v>
      </c>
      <c r="AC378" s="27" t="n">
        <v>0.482169645347583</v>
      </c>
      <c r="AD378" s="28" t="n">
        <f aca="false">Params!$B$6*Params!$B$7*$R378</f>
        <v>19.0917697605</v>
      </c>
      <c r="AE378" s="29" t="n">
        <f aca="false">MIN(Params!$B$9,AD378/Params!$B$4)</f>
        <v>0.038183539521</v>
      </c>
      <c r="AF378" s="29" t="n">
        <f aca="false">MIN(Params!$B$9,AD378/Params!$B$5)</f>
        <v>0.0190917697605</v>
      </c>
      <c r="AG378" s="28" t="n">
        <f aca="false">IF($R378&gt;0,Params!$B$9*Params!$B$4/(Params!$B$6*$R378),"n/a")</f>
        <v>4.71407319117193</v>
      </c>
      <c r="AH378" s="28" t="n">
        <f aca="false">IF($R378&gt;0,Params!$B$9*Params!$B$5/(Params!$B$6*$R378),"n/a")</f>
        <v>9.42814638234386</v>
      </c>
      <c r="AI378" s="28" t="n">
        <f aca="false">IF($R378&gt;0,Params!$B$15*Params!$B$4/(Params!$B$6*$R378),"n/a")</f>
        <v>1.57135773039064</v>
      </c>
      <c r="AJ378" s="29" t="n">
        <f aca="false">MIN(Params!$B$9,AD378*Params!$B$8/Params!$B$4)</f>
        <v>0.0190917697605</v>
      </c>
      <c r="AK378" s="28" t="n">
        <f aca="false">IF($R378&gt;0,Params!$B$9*Params!$B$4/(Params!$B$6*$R378*Params!$B$8),"n/a")</f>
        <v>9.42814638234386</v>
      </c>
      <c r="AL378" s="27" t="str">
        <f aca="false">IFERROR(ciq($D378,"IQ_PE_EXCL"),"")</f>
        <v/>
      </c>
      <c r="AM378" s="27" t="str">
        <f aca="false">IFERROR(ciq($D378,"IQ_PE_EXCL_FWD_CIQ"),"")</f>
        <v/>
      </c>
      <c r="AN378" s="27" t="str">
        <f aca="false">IFERROR(ciq($D378,"IQ_PBV"),"")</f>
        <v/>
      </c>
      <c r="AO378" s="27" t="str">
        <f aca="false">IFERROR(ciq($D378,"IQ_TEV_EBITDA"),"")</f>
        <v/>
      </c>
      <c r="AP378" s="24" t="str">
        <f aca="false">IFERROR(ciq($D378,"IQ_RETURN_EQUITY"),"")</f>
        <v/>
      </c>
      <c r="AQ378" s="24" t="str">
        <f aca="false">IFERROR(ciq($D378,"IQ_RETURN_CAPITAL"),"")</f>
        <v/>
      </c>
      <c r="AR378" s="24" t="str">
        <f aca="false">IFERROR(ciq($D378,"IQ_TOTAL_REV_1YR_ANN_GROWTH"),"")</f>
        <v/>
      </c>
      <c r="AS378" s="24" t="str">
        <f aca="false">IFERROR(ciq($D378,"IQ_EPS_1YR_ANN_GROWTH"),"")</f>
        <v/>
      </c>
      <c r="AT378" s="24" t="str">
        <f aca="false">IFERROR(ciq($D378,"IQ_DIVIDEND_YIELD"),"")</f>
        <v/>
      </c>
      <c r="AU378" s="24" t="str">
        <f aca="false">IFERROR(ciq($D378,"IQ_NET_DEBT"),"")</f>
        <v/>
      </c>
    </row>
    <row r="379" customFormat="false" ht="15" hidden="false" customHeight="false" outlineLevel="0" collapsed="false">
      <c r="A379" s="8" t="s">
        <v>1907</v>
      </c>
      <c r="B379" s="6" t="s">
        <v>1908</v>
      </c>
      <c r="C379" s="8" t="s">
        <v>73</v>
      </c>
      <c r="D379" s="8" t="s">
        <v>1909</v>
      </c>
      <c r="E379" s="8" t="s">
        <v>1910</v>
      </c>
      <c r="F379" s="6" t="s">
        <v>513</v>
      </c>
      <c r="G379" s="8" t="s">
        <v>58</v>
      </c>
      <c r="H379" s="8" t="s">
        <v>67</v>
      </c>
      <c r="I379" s="8"/>
      <c r="J379" s="8"/>
      <c r="K379" s="8"/>
      <c r="L379" s="8" t="s">
        <v>514</v>
      </c>
      <c r="M379" s="23" t="n">
        <v>28600</v>
      </c>
      <c r="N379" s="23" t="n">
        <v>5980.241696</v>
      </c>
      <c r="O379" s="23" t="n">
        <v>6871.527718</v>
      </c>
      <c r="P379" s="24" t="n">
        <v>32.7601608375</v>
      </c>
      <c r="Q379" s="24" t="n">
        <v>35.5857495875</v>
      </c>
      <c r="R379" s="24" t="n">
        <v>32.7601608375</v>
      </c>
      <c r="S379" s="25" t="n">
        <v>0.00547806635631671</v>
      </c>
      <c r="T379" s="26" t="n">
        <v>0.948462348367708</v>
      </c>
      <c r="U379" s="23" t="n">
        <v>2</v>
      </c>
      <c r="V379" s="26" t="n">
        <v>-0.04</v>
      </c>
      <c r="W379" s="26" t="n">
        <v>-0.106194524523722</v>
      </c>
      <c r="X379" s="26" t="n">
        <v>-0.238455408846001</v>
      </c>
      <c r="Y379" s="26" t="n">
        <v>-0.00691391247279849</v>
      </c>
      <c r="Z379" s="26" t="n">
        <v>-0.00344035821565625</v>
      </c>
      <c r="AA379" s="26" t="n">
        <v>0.596620611411946</v>
      </c>
      <c r="AB379" s="26" t="n">
        <v>-0.481014184314598</v>
      </c>
      <c r="AC379" s="27" t="n">
        <v>0.582894573565383</v>
      </c>
      <c r="AD379" s="28" t="n">
        <f aca="false">Params!$B$6*Params!$B$7*$R379</f>
        <v>19.6560965025</v>
      </c>
      <c r="AE379" s="29" t="n">
        <f aca="false">MIN(Params!$B$9,AD379/Params!$B$4)</f>
        <v>0.039312193005</v>
      </c>
      <c r="AF379" s="29" t="n">
        <f aca="false">MIN(Params!$B$9,AD379/Params!$B$5)</f>
        <v>0.0196560965025</v>
      </c>
      <c r="AG379" s="28" t="n">
        <f aca="false">IF($R379&gt;0,Params!$B$9*Params!$B$4/(Params!$B$6*$R379),"n/a")</f>
        <v>4.57873209915067</v>
      </c>
      <c r="AH379" s="28" t="n">
        <f aca="false">IF($R379&gt;0,Params!$B$9*Params!$B$5/(Params!$B$6*$R379),"n/a")</f>
        <v>9.15746419830134</v>
      </c>
      <c r="AI379" s="28" t="n">
        <f aca="false">IF($R379&gt;0,Params!$B$15*Params!$B$4/(Params!$B$6*$R379),"n/a")</f>
        <v>1.52624403305022</v>
      </c>
      <c r="AJ379" s="29" t="n">
        <f aca="false">MIN(Params!$B$9,AD379*Params!$B$8/Params!$B$4)</f>
        <v>0.0196560965025</v>
      </c>
      <c r="AK379" s="28" t="n">
        <f aca="false">IF($R379&gt;0,Params!$B$9*Params!$B$4/(Params!$B$6*$R379*Params!$B$8),"n/a")</f>
        <v>9.15746419830134</v>
      </c>
      <c r="AL379" s="27" t="str">
        <f aca="false">IFERROR(ciq($D379,"IQ_PE_EXCL"),"")</f>
        <v/>
      </c>
      <c r="AM379" s="27" t="str">
        <f aca="false">IFERROR(ciq($D379,"IQ_PE_EXCL_FWD_CIQ"),"")</f>
        <v/>
      </c>
      <c r="AN379" s="27" t="str">
        <f aca="false">IFERROR(ciq($D379,"IQ_PBV"),"")</f>
        <v/>
      </c>
      <c r="AO379" s="27" t="str">
        <f aca="false">IFERROR(ciq($D379,"IQ_TEV_EBITDA"),"")</f>
        <v/>
      </c>
      <c r="AP379" s="24" t="str">
        <f aca="false">IFERROR(ciq($D379,"IQ_RETURN_EQUITY"),"")</f>
        <v/>
      </c>
      <c r="AQ379" s="24" t="str">
        <f aca="false">IFERROR(ciq($D379,"IQ_RETURN_CAPITAL"),"")</f>
        <v/>
      </c>
      <c r="AR379" s="24" t="str">
        <f aca="false">IFERROR(ciq($D379,"IQ_TOTAL_REV_1YR_ANN_GROWTH"),"")</f>
        <v/>
      </c>
      <c r="AS379" s="24" t="str">
        <f aca="false">IFERROR(ciq($D379,"IQ_EPS_1YR_ANN_GROWTH"),"")</f>
        <v/>
      </c>
      <c r="AT379" s="24" t="str">
        <f aca="false">IFERROR(ciq($D379,"IQ_DIVIDEND_YIELD"),"")</f>
        <v/>
      </c>
      <c r="AU379" s="24" t="str">
        <f aca="false">IFERROR(ciq($D379,"IQ_NET_DEBT"),"")</f>
        <v/>
      </c>
    </row>
    <row r="380" customFormat="false" ht="15" hidden="false" customHeight="false" outlineLevel="0" collapsed="false">
      <c r="A380" s="8" t="s">
        <v>1911</v>
      </c>
      <c r="B380" s="6" t="s">
        <v>1912</v>
      </c>
      <c r="C380" s="8" t="s">
        <v>73</v>
      </c>
      <c r="D380" s="8" t="s">
        <v>1913</v>
      </c>
      <c r="E380" s="8" t="s">
        <v>1914</v>
      </c>
      <c r="F380" s="6" t="s">
        <v>507</v>
      </c>
      <c r="G380" s="8" t="s">
        <v>58</v>
      </c>
      <c r="H380" s="8" t="s">
        <v>67</v>
      </c>
      <c r="I380" s="8"/>
      <c r="J380" s="8"/>
      <c r="K380" s="8"/>
      <c r="L380" s="8" t="s">
        <v>115</v>
      </c>
      <c r="M380" s="23" t="n">
        <v>14170</v>
      </c>
      <c r="N380" s="23" t="n">
        <v>5978.5640317</v>
      </c>
      <c r="O380" s="23" t="n">
        <v>6618.823094375</v>
      </c>
      <c r="P380" s="24" t="n">
        <v>33.713467445</v>
      </c>
      <c r="Q380" s="24" t="n">
        <v>47.6164863491667</v>
      </c>
      <c r="R380" s="24" t="n">
        <v>33.713467445</v>
      </c>
      <c r="S380" s="25" t="n">
        <v>0.005639057684461</v>
      </c>
      <c r="T380" s="26" t="n">
        <v>1.00641132434145</v>
      </c>
      <c r="U380" s="23" t="n">
        <v>2</v>
      </c>
      <c r="V380" s="26" t="n">
        <v>-0.04</v>
      </c>
      <c r="W380" s="26" t="n">
        <v>-0.170834898116</v>
      </c>
      <c r="X380" s="26" t="n">
        <v>-0.531576409864518</v>
      </c>
      <c r="Y380" s="26" t="n">
        <v>-0.426387474757342</v>
      </c>
      <c r="Z380" s="26" t="n">
        <v>-0.0160028944891012</v>
      </c>
      <c r="AA380" s="26" t="n">
        <v>0.144910010752506</v>
      </c>
      <c r="AB380" s="26" t="n">
        <v>-0.629080957126433</v>
      </c>
      <c r="AC380" s="27" t="n">
        <v>0.221756675892183</v>
      </c>
      <c r="AD380" s="28" t="n">
        <f aca="false">Params!$B$6*Params!$B$7*$R380</f>
        <v>20.228080467</v>
      </c>
      <c r="AE380" s="29" t="n">
        <f aca="false">MIN(Params!$B$9,AD380/Params!$B$4)</f>
        <v>0.040456160934</v>
      </c>
      <c r="AF380" s="29" t="n">
        <f aca="false">MIN(Params!$B$9,AD380/Params!$B$5)</f>
        <v>0.020228080467</v>
      </c>
      <c r="AG380" s="28" t="n">
        <f aca="false">IF($R380&gt;0,Params!$B$9*Params!$B$4/(Params!$B$6*$R380),"n/a")</f>
        <v>4.44926052903663</v>
      </c>
      <c r="AH380" s="28" t="n">
        <f aca="false">IF($R380&gt;0,Params!$B$9*Params!$B$5/(Params!$B$6*$R380),"n/a")</f>
        <v>8.89852105807327</v>
      </c>
      <c r="AI380" s="28" t="n">
        <f aca="false">IF($R380&gt;0,Params!$B$15*Params!$B$4/(Params!$B$6*$R380),"n/a")</f>
        <v>1.48308684301221</v>
      </c>
      <c r="AJ380" s="29" t="n">
        <f aca="false">MIN(Params!$B$9,AD380*Params!$B$8/Params!$B$4)</f>
        <v>0.020228080467</v>
      </c>
      <c r="AK380" s="28" t="n">
        <f aca="false">IF($R380&gt;0,Params!$B$9*Params!$B$4/(Params!$B$6*$R380*Params!$B$8),"n/a")</f>
        <v>8.89852105807327</v>
      </c>
      <c r="AL380" s="27" t="str">
        <f aca="false">IFERROR(ciq($D380,"IQ_PE_EXCL"),"")</f>
        <v/>
      </c>
      <c r="AM380" s="27" t="str">
        <f aca="false">IFERROR(ciq($D380,"IQ_PE_EXCL_FWD_CIQ"),"")</f>
        <v/>
      </c>
      <c r="AN380" s="27" t="str">
        <f aca="false">IFERROR(ciq($D380,"IQ_PBV"),"")</f>
        <v/>
      </c>
      <c r="AO380" s="27" t="str">
        <f aca="false">IFERROR(ciq($D380,"IQ_TEV_EBITDA"),"")</f>
        <v/>
      </c>
      <c r="AP380" s="24" t="str">
        <f aca="false">IFERROR(ciq($D380,"IQ_RETURN_EQUITY"),"")</f>
        <v/>
      </c>
      <c r="AQ380" s="24" t="str">
        <f aca="false">IFERROR(ciq($D380,"IQ_RETURN_CAPITAL"),"")</f>
        <v/>
      </c>
      <c r="AR380" s="24" t="str">
        <f aca="false">IFERROR(ciq($D380,"IQ_TOTAL_REV_1YR_ANN_GROWTH"),"")</f>
        <v/>
      </c>
      <c r="AS380" s="24" t="str">
        <f aca="false">IFERROR(ciq($D380,"IQ_EPS_1YR_ANN_GROWTH"),"")</f>
        <v/>
      </c>
      <c r="AT380" s="24" t="str">
        <f aca="false">IFERROR(ciq($D380,"IQ_DIVIDEND_YIELD"),"")</f>
        <v/>
      </c>
      <c r="AU380" s="24" t="str">
        <f aca="false">IFERROR(ciq($D380,"IQ_NET_DEBT"),"")</f>
        <v/>
      </c>
    </row>
    <row r="381" customFormat="false" ht="15" hidden="false" customHeight="false" outlineLevel="0" collapsed="false">
      <c r="A381" s="8" t="s">
        <v>400</v>
      </c>
      <c r="B381" s="6" t="s">
        <v>401</v>
      </c>
      <c r="C381" s="8" t="s">
        <v>73</v>
      </c>
      <c r="D381" s="8" t="s">
        <v>1915</v>
      </c>
      <c r="E381" s="8" t="s">
        <v>1916</v>
      </c>
      <c r="F381" s="8"/>
      <c r="G381" s="8" t="s">
        <v>58</v>
      </c>
      <c r="H381" s="8" t="s">
        <v>67</v>
      </c>
      <c r="I381" s="8" t="s">
        <v>508</v>
      </c>
      <c r="J381" s="8"/>
      <c r="K381" s="8"/>
      <c r="L381" s="6" t="s">
        <v>370</v>
      </c>
      <c r="M381" s="23" t="n">
        <v>35900</v>
      </c>
      <c r="N381" s="23" t="n">
        <v>5969.963934</v>
      </c>
      <c r="O381" s="23" t="n">
        <v>6665.48967645</v>
      </c>
      <c r="P381" s="24" t="n">
        <v>59.5803057</v>
      </c>
      <c r="Q381" s="24" t="n">
        <v>60.8214737916667</v>
      </c>
      <c r="R381" s="24" t="n">
        <v>59.5803057</v>
      </c>
      <c r="S381" s="25" t="n">
        <v>0.00998001099482019</v>
      </c>
      <c r="T381" s="26" t="n">
        <v>1.15987559869181</v>
      </c>
      <c r="U381" s="23" t="n">
        <v>2</v>
      </c>
      <c r="V381" s="26" t="n">
        <v>-0.04</v>
      </c>
      <c r="W381" s="26" t="n">
        <v>-0.0259118574376102</v>
      </c>
      <c r="X381" s="26" t="n">
        <v>-0.257443055959193</v>
      </c>
      <c r="Y381" s="26" t="n">
        <v>-0.661312738624824</v>
      </c>
      <c r="Z381" s="26" t="n">
        <v>-0.463996847056164</v>
      </c>
      <c r="AA381" s="26" t="n">
        <v>-0.222535715434237</v>
      </c>
      <c r="AB381" s="26" t="n">
        <v>-0.697818219576149</v>
      </c>
      <c r="AC381" s="27" t="n">
        <v>0.265415580175544</v>
      </c>
      <c r="AD381" s="28" t="n">
        <f aca="false">Params!$B$6*Params!$B$7*$R381</f>
        <v>35.74818342</v>
      </c>
      <c r="AE381" s="29" t="n">
        <f aca="false">MIN(Params!$B$9,AD381/Params!$B$4)</f>
        <v>0.06</v>
      </c>
      <c r="AF381" s="29" t="n">
        <f aca="false">MIN(Params!$B$9,AD381/Params!$B$5)</f>
        <v>0.03574818342</v>
      </c>
      <c r="AG381" s="28" t="n">
        <f aca="false">IF($R381&gt;0,Params!$B$9*Params!$B$4/(Params!$B$6*$R381),"n/a")</f>
        <v>2.51761044589605</v>
      </c>
      <c r="AH381" s="28" t="n">
        <f aca="false">IF($R381&gt;0,Params!$B$9*Params!$B$5/(Params!$B$6*$R381),"n/a")</f>
        <v>5.0352208917921</v>
      </c>
      <c r="AI381" s="28" t="n">
        <f aca="false">IF($R381&gt;0,Params!$B$15*Params!$B$4/(Params!$B$6*$R381),"n/a")</f>
        <v>0.83920348196535</v>
      </c>
      <c r="AJ381" s="29" t="n">
        <f aca="false">MIN(Params!$B$9,AD381*Params!$B$8/Params!$B$4)</f>
        <v>0.03574818342</v>
      </c>
      <c r="AK381" s="28" t="n">
        <f aca="false">IF($R381&gt;0,Params!$B$9*Params!$B$4/(Params!$B$6*$R381*Params!$B$8),"n/a")</f>
        <v>5.0352208917921</v>
      </c>
      <c r="AL381" s="27" t="str">
        <f aca="false">IFERROR(ciq($D381,"IQ_PE_EXCL"),"")</f>
        <v/>
      </c>
      <c r="AM381" s="27" t="str">
        <f aca="false">IFERROR(ciq($D381,"IQ_PE_EXCL_FWD_CIQ"),"")</f>
        <v/>
      </c>
      <c r="AN381" s="27" t="str">
        <f aca="false">IFERROR(ciq($D381,"IQ_PBV"),"")</f>
        <v/>
      </c>
      <c r="AO381" s="27" t="str">
        <f aca="false">IFERROR(ciq($D381,"IQ_TEV_EBITDA"),"")</f>
        <v/>
      </c>
      <c r="AP381" s="24" t="str">
        <f aca="false">IFERROR(ciq($D381,"IQ_RETURN_EQUITY"),"")</f>
        <v/>
      </c>
      <c r="AQ381" s="24" t="str">
        <f aca="false">IFERROR(ciq($D381,"IQ_RETURN_CAPITAL"),"")</f>
        <v/>
      </c>
      <c r="AR381" s="24" t="str">
        <f aca="false">IFERROR(ciq($D381,"IQ_TOTAL_REV_1YR_ANN_GROWTH"),"")</f>
        <v/>
      </c>
      <c r="AS381" s="24" t="str">
        <f aca="false">IFERROR(ciq($D381,"IQ_EPS_1YR_ANN_GROWTH"),"")</f>
        <v/>
      </c>
      <c r="AT381" s="24" t="str">
        <f aca="false">IFERROR(ciq($D381,"IQ_DIVIDEND_YIELD"),"")</f>
        <v/>
      </c>
      <c r="AU381" s="24" t="str">
        <f aca="false">IFERROR(ciq($D381,"IQ_NET_DEBT"),"")</f>
        <v/>
      </c>
    </row>
    <row r="382" customFormat="false" ht="15" hidden="false" customHeight="false" outlineLevel="0" collapsed="false">
      <c r="A382" s="8" t="s">
        <v>402</v>
      </c>
      <c r="B382" s="6" t="s">
        <v>403</v>
      </c>
      <c r="C382" s="8" t="s">
        <v>72</v>
      </c>
      <c r="D382" s="8" t="s">
        <v>1917</v>
      </c>
      <c r="E382" s="8" t="s">
        <v>1918</v>
      </c>
      <c r="F382" s="8"/>
      <c r="G382" s="8" t="s">
        <v>58</v>
      </c>
      <c r="H382" s="8" t="s">
        <v>67</v>
      </c>
      <c r="I382" s="8" t="s">
        <v>508</v>
      </c>
      <c r="J382" s="8"/>
      <c r="K382" s="8"/>
      <c r="L382" s="6" t="s">
        <v>404</v>
      </c>
      <c r="M382" s="23" t="n">
        <v>40350</v>
      </c>
      <c r="N382" s="23" t="n">
        <v>5922.0133455</v>
      </c>
      <c r="O382" s="23" t="n">
        <v>5693.5633622</v>
      </c>
      <c r="P382" s="24" t="n">
        <v>28.97005365625</v>
      </c>
      <c r="Q382" s="24" t="n">
        <v>20.3217306002326</v>
      </c>
      <c r="R382" s="24" t="n">
        <v>20.3217306002326</v>
      </c>
      <c r="S382" s="25" t="n">
        <v>0.00489192643887972</v>
      </c>
      <c r="T382" s="26" t="n">
        <v>0.767769598185748</v>
      </c>
      <c r="U382" s="23" t="n">
        <v>1</v>
      </c>
      <c r="V382" s="26" t="n">
        <v>-0.06</v>
      </c>
      <c r="W382" s="26" t="n">
        <v>0.370162874864129</v>
      </c>
      <c r="X382" s="26" t="n">
        <v>0.021024381921714</v>
      </c>
      <c r="Y382" s="26" t="n">
        <v>-0.187255478564903</v>
      </c>
      <c r="Z382" s="26" t="n">
        <v>0.0932530846948945</v>
      </c>
      <c r="AA382" s="26" t="n">
        <v>0.149818944742318</v>
      </c>
      <c r="AB382" s="26" t="n">
        <v>-0.285801902784159</v>
      </c>
      <c r="AC382" s="27" t="n">
        <v>1.01837234229696</v>
      </c>
      <c r="AD382" s="28" t="n">
        <f aca="false">Params!$B$6*Params!$B$7*$R382</f>
        <v>12.1930383601395</v>
      </c>
      <c r="AE382" s="29" t="n">
        <f aca="false">MIN(Params!$B$9,AD382/Params!$B$4)</f>
        <v>0.0243860767202791</v>
      </c>
      <c r="AF382" s="29" t="n">
        <f aca="false">MIN(Params!$B$9,AD382/Params!$B$5)</f>
        <v>0.0121930383601395</v>
      </c>
      <c r="AG382" s="28" t="n">
        <f aca="false">IF($R382&gt;0,Params!$B$9*Params!$B$4/(Params!$B$6*$R382),"n/a")</f>
        <v>7.38126112144619</v>
      </c>
      <c r="AH382" s="28" t="n">
        <f aca="false">IF($R382&gt;0,Params!$B$9*Params!$B$5/(Params!$B$6*$R382),"n/a")</f>
        <v>14.7625222428924</v>
      </c>
      <c r="AI382" s="28" t="n">
        <f aca="false">IF($R382&gt;0,Params!$B$15*Params!$B$4/(Params!$B$6*$R382),"n/a")</f>
        <v>2.4604203738154</v>
      </c>
      <c r="AJ382" s="29" t="n">
        <f aca="false">MIN(Params!$B$9,AD382*Params!$B$8/Params!$B$4)</f>
        <v>0.0121930383601395</v>
      </c>
      <c r="AK382" s="28" t="n">
        <f aca="false">IF($R382&gt;0,Params!$B$9*Params!$B$4/(Params!$B$6*$R382*Params!$B$8),"n/a")</f>
        <v>14.7625222428924</v>
      </c>
      <c r="AL382" s="27" t="str">
        <f aca="false">IFERROR(ciq($D382,"IQ_PE_EXCL"),"")</f>
        <v/>
      </c>
      <c r="AM382" s="27" t="str">
        <f aca="false">IFERROR(ciq($D382,"IQ_PE_EXCL_FWD_CIQ"),"")</f>
        <v/>
      </c>
      <c r="AN382" s="27" t="str">
        <f aca="false">IFERROR(ciq($D382,"IQ_PBV"),"")</f>
        <v/>
      </c>
      <c r="AO382" s="27" t="str">
        <f aca="false">IFERROR(ciq($D382,"IQ_TEV_EBITDA"),"")</f>
        <v/>
      </c>
      <c r="AP382" s="24" t="str">
        <f aca="false">IFERROR(ciq($D382,"IQ_RETURN_EQUITY"),"")</f>
        <v/>
      </c>
      <c r="AQ382" s="24" t="str">
        <f aca="false">IFERROR(ciq($D382,"IQ_RETURN_CAPITAL"),"")</f>
        <v/>
      </c>
      <c r="AR382" s="24" t="str">
        <f aca="false">IFERROR(ciq($D382,"IQ_TOTAL_REV_1YR_ANN_GROWTH"),"")</f>
        <v/>
      </c>
      <c r="AS382" s="24" t="str">
        <f aca="false">IFERROR(ciq($D382,"IQ_EPS_1YR_ANN_GROWTH"),"")</f>
        <v/>
      </c>
      <c r="AT382" s="24" t="str">
        <f aca="false">IFERROR(ciq($D382,"IQ_DIVIDEND_YIELD"),"")</f>
        <v/>
      </c>
      <c r="AU382" s="24" t="str">
        <f aca="false">IFERROR(ciq($D382,"IQ_NET_DEBT"),"")</f>
        <v/>
      </c>
    </row>
    <row r="383" customFormat="false" ht="15" hidden="false" customHeight="false" outlineLevel="0" collapsed="false">
      <c r="A383" s="8" t="s">
        <v>1919</v>
      </c>
      <c r="B383" s="6" t="s">
        <v>1920</v>
      </c>
      <c r="C383" s="8" t="s">
        <v>73</v>
      </c>
      <c r="D383" s="8" t="s">
        <v>1921</v>
      </c>
      <c r="E383" s="8" t="s">
        <v>1922</v>
      </c>
      <c r="F383" s="6" t="s">
        <v>627</v>
      </c>
      <c r="G383" s="8" t="s">
        <v>58</v>
      </c>
      <c r="H383" s="8" t="s">
        <v>67</v>
      </c>
      <c r="I383" s="8"/>
      <c r="J383" s="8"/>
      <c r="K383" s="8"/>
      <c r="L383" s="8" t="s">
        <v>241</v>
      </c>
      <c r="M383" s="23" t="n">
        <v>25100</v>
      </c>
      <c r="N383" s="23" t="n">
        <v>5884.003997</v>
      </c>
      <c r="O383" s="23" t="n">
        <v>6430.794408275</v>
      </c>
      <c r="P383" s="24" t="n">
        <v>24.1327043625</v>
      </c>
      <c r="Q383" s="24" t="n">
        <v>45.873579285</v>
      </c>
      <c r="R383" s="24" t="n">
        <v>24.1327043625</v>
      </c>
      <c r="S383" s="25" t="n">
        <v>0.004101408560362</v>
      </c>
      <c r="T383" s="26" t="n">
        <v>0.933149112723294</v>
      </c>
      <c r="U383" s="23" t="n">
        <v>1</v>
      </c>
      <c r="V383" s="26" t="n">
        <v>-0.06</v>
      </c>
      <c r="W383" s="26" t="n">
        <v>-0.0617636326969558</v>
      </c>
      <c r="X383" s="26" t="n">
        <v>-0.378848940424387</v>
      </c>
      <c r="Y383" s="26" t="n">
        <v>-0.454550003253565</v>
      </c>
      <c r="Z383" s="26" t="n">
        <v>-0.427844157728997</v>
      </c>
      <c r="AA383" s="26" t="n">
        <v>-0.177175301873451</v>
      </c>
      <c r="AB383" s="26" t="n">
        <v>-0.601641139524665</v>
      </c>
      <c r="AC383" s="27" t="n">
        <v>0.170549202712476</v>
      </c>
      <c r="AD383" s="28" t="n">
        <f aca="false">Params!$B$6*Params!$B$7*$R383</f>
        <v>14.4796226175</v>
      </c>
      <c r="AE383" s="29" t="n">
        <f aca="false">MIN(Params!$B$9,AD383/Params!$B$4)</f>
        <v>0.028959245235</v>
      </c>
      <c r="AF383" s="29" t="n">
        <f aca="false">MIN(Params!$B$9,AD383/Params!$B$5)</f>
        <v>0.0144796226175</v>
      </c>
      <c r="AG383" s="28" t="n">
        <f aca="false">IF($R383&gt;0,Params!$B$9*Params!$B$4/(Params!$B$6*$R383),"n/a")</f>
        <v>6.21563160708529</v>
      </c>
      <c r="AH383" s="28" t="n">
        <f aca="false">IF($R383&gt;0,Params!$B$9*Params!$B$5/(Params!$B$6*$R383),"n/a")</f>
        <v>12.4312632141706</v>
      </c>
      <c r="AI383" s="28" t="n">
        <f aca="false">IF($R383&gt;0,Params!$B$15*Params!$B$4/(Params!$B$6*$R383),"n/a")</f>
        <v>2.07187720236176</v>
      </c>
      <c r="AJ383" s="29" t="n">
        <f aca="false">MIN(Params!$B$9,AD383*Params!$B$8/Params!$B$4)</f>
        <v>0.0144796226175</v>
      </c>
      <c r="AK383" s="28" t="n">
        <f aca="false">IF($R383&gt;0,Params!$B$9*Params!$B$4/(Params!$B$6*$R383*Params!$B$8),"n/a")</f>
        <v>12.4312632141706</v>
      </c>
      <c r="AL383" s="27" t="str">
        <f aca="false">IFERROR(ciq($D383,"IQ_PE_EXCL"),"")</f>
        <v/>
      </c>
      <c r="AM383" s="27" t="str">
        <f aca="false">IFERROR(ciq($D383,"IQ_PE_EXCL_FWD_CIQ"),"")</f>
        <v/>
      </c>
      <c r="AN383" s="27" t="str">
        <f aca="false">IFERROR(ciq($D383,"IQ_PBV"),"")</f>
        <v/>
      </c>
      <c r="AO383" s="27" t="str">
        <f aca="false">IFERROR(ciq($D383,"IQ_TEV_EBITDA"),"")</f>
        <v/>
      </c>
      <c r="AP383" s="24" t="str">
        <f aca="false">IFERROR(ciq($D383,"IQ_RETURN_EQUITY"),"")</f>
        <v/>
      </c>
      <c r="AQ383" s="24" t="str">
        <f aca="false">IFERROR(ciq($D383,"IQ_RETURN_CAPITAL"),"")</f>
        <v/>
      </c>
      <c r="AR383" s="24" t="str">
        <f aca="false">IFERROR(ciq($D383,"IQ_TOTAL_REV_1YR_ANN_GROWTH"),"")</f>
        <v/>
      </c>
      <c r="AS383" s="24" t="str">
        <f aca="false">IFERROR(ciq($D383,"IQ_EPS_1YR_ANN_GROWTH"),"")</f>
        <v/>
      </c>
      <c r="AT383" s="24" t="str">
        <f aca="false">IFERROR(ciq($D383,"IQ_DIVIDEND_YIELD"),"")</f>
        <v/>
      </c>
      <c r="AU383" s="24" t="str">
        <f aca="false">IFERROR(ciq($D383,"IQ_NET_DEBT"),"")</f>
        <v/>
      </c>
    </row>
    <row r="384" customFormat="false" ht="15" hidden="false" customHeight="false" outlineLevel="0" collapsed="false">
      <c r="A384" s="8" t="s">
        <v>1923</v>
      </c>
      <c r="B384" s="6" t="s">
        <v>1924</v>
      </c>
      <c r="C384" s="8" t="s">
        <v>73</v>
      </c>
      <c r="D384" s="8" t="s">
        <v>1925</v>
      </c>
      <c r="E384" s="8" t="s">
        <v>1926</v>
      </c>
      <c r="F384" s="6" t="s">
        <v>721</v>
      </c>
      <c r="G384" s="8" t="s">
        <v>58</v>
      </c>
      <c r="H384" s="8" t="s">
        <v>67</v>
      </c>
      <c r="I384" s="8"/>
      <c r="J384" s="8"/>
      <c r="K384" s="8"/>
      <c r="L384" s="8"/>
      <c r="M384" s="23" t="n">
        <v>41050</v>
      </c>
      <c r="N384" s="23" t="n">
        <v>5865.156678</v>
      </c>
      <c r="O384" s="23" t="n">
        <v>6660.6319473</v>
      </c>
      <c r="P384" s="24" t="n">
        <v>37.2589632375</v>
      </c>
      <c r="Q384" s="24" t="n">
        <v>46.8979881708333</v>
      </c>
      <c r="R384" s="24" t="n">
        <v>37.2589632375</v>
      </c>
      <c r="S384" s="25" t="n">
        <v>0.00635259470173356</v>
      </c>
      <c r="T384" s="26" t="n">
        <v>0.883118799693949</v>
      </c>
      <c r="U384" s="23" t="n">
        <v>1</v>
      </c>
      <c r="V384" s="26" t="n">
        <v>-0.06</v>
      </c>
      <c r="W384" s="26" t="n">
        <v>-0.110396103434682</v>
      </c>
      <c r="X384" s="26" t="n">
        <v>-0.0328887397168901</v>
      </c>
      <c r="Y384" s="26" t="n">
        <v>-0.295722872946939</v>
      </c>
      <c r="Z384" s="26" t="n">
        <v>-0.126816846869007</v>
      </c>
      <c r="AA384" s="26" t="n">
        <v>0.064554598559506</v>
      </c>
      <c r="AB384" s="26" t="n">
        <v>-0.345170627242254</v>
      </c>
      <c r="AC384" s="27" t="n">
        <v>0.636567543801844</v>
      </c>
      <c r="AD384" s="28" t="n">
        <f aca="false">Params!$B$6*Params!$B$7*$R384</f>
        <v>22.3553779425</v>
      </c>
      <c r="AE384" s="29" t="n">
        <f aca="false">MIN(Params!$B$9,AD384/Params!$B$4)</f>
        <v>0.044710755885</v>
      </c>
      <c r="AF384" s="29" t="n">
        <f aca="false">MIN(Params!$B$9,AD384/Params!$B$5)</f>
        <v>0.0223553779425</v>
      </c>
      <c r="AG384" s="28" t="n">
        <f aca="false">IF($R384&gt;0,Params!$B$9*Params!$B$4/(Params!$B$6*$R384),"n/a")</f>
        <v>4.02587691567944</v>
      </c>
      <c r="AH384" s="28" t="n">
        <f aca="false">IF($R384&gt;0,Params!$B$9*Params!$B$5/(Params!$B$6*$R384),"n/a")</f>
        <v>8.05175383135887</v>
      </c>
      <c r="AI384" s="28" t="n">
        <f aca="false">IF($R384&gt;0,Params!$B$15*Params!$B$4/(Params!$B$6*$R384),"n/a")</f>
        <v>1.34195897189315</v>
      </c>
      <c r="AJ384" s="29" t="n">
        <f aca="false">MIN(Params!$B$9,AD384*Params!$B$8/Params!$B$4)</f>
        <v>0.0223553779425</v>
      </c>
      <c r="AK384" s="28" t="n">
        <f aca="false">IF($R384&gt;0,Params!$B$9*Params!$B$4/(Params!$B$6*$R384*Params!$B$8),"n/a")</f>
        <v>8.05175383135887</v>
      </c>
      <c r="AL384" s="27" t="str">
        <f aca="false">IFERROR(ciq($D384,"IQ_PE_EXCL"),"")</f>
        <v/>
      </c>
      <c r="AM384" s="27" t="str">
        <f aca="false">IFERROR(ciq($D384,"IQ_PE_EXCL_FWD_CIQ"),"")</f>
        <v/>
      </c>
      <c r="AN384" s="27" t="str">
        <f aca="false">IFERROR(ciq($D384,"IQ_PBV"),"")</f>
        <v/>
      </c>
      <c r="AO384" s="27" t="str">
        <f aca="false">IFERROR(ciq($D384,"IQ_TEV_EBITDA"),"")</f>
        <v/>
      </c>
      <c r="AP384" s="24" t="str">
        <f aca="false">IFERROR(ciq($D384,"IQ_RETURN_EQUITY"),"")</f>
        <v/>
      </c>
      <c r="AQ384" s="24" t="str">
        <f aca="false">IFERROR(ciq($D384,"IQ_RETURN_CAPITAL"),"")</f>
        <v/>
      </c>
      <c r="AR384" s="24" t="str">
        <f aca="false">IFERROR(ciq($D384,"IQ_TOTAL_REV_1YR_ANN_GROWTH"),"")</f>
        <v/>
      </c>
      <c r="AS384" s="24" t="str">
        <f aca="false">IFERROR(ciq($D384,"IQ_EPS_1YR_ANN_GROWTH"),"")</f>
        <v/>
      </c>
      <c r="AT384" s="24" t="str">
        <f aca="false">IFERROR(ciq($D384,"IQ_DIVIDEND_YIELD"),"")</f>
        <v/>
      </c>
      <c r="AU384" s="24" t="str">
        <f aca="false">IFERROR(ciq($D384,"IQ_NET_DEBT"),"")</f>
        <v/>
      </c>
    </row>
    <row r="385" customFormat="false" ht="15" hidden="false" customHeight="false" outlineLevel="0" collapsed="false">
      <c r="A385" s="8" t="s">
        <v>1927</v>
      </c>
      <c r="B385" s="8" t="s">
        <v>1928</v>
      </c>
      <c r="C385" s="8" t="s">
        <v>74</v>
      </c>
      <c r="D385" s="8" t="s">
        <v>1929</v>
      </c>
      <c r="E385" s="8" t="s">
        <v>1930</v>
      </c>
      <c r="F385" s="6" t="s">
        <v>627</v>
      </c>
      <c r="G385" s="8" t="s">
        <v>58</v>
      </c>
      <c r="H385" s="8" t="s">
        <v>67</v>
      </c>
      <c r="I385" s="8"/>
      <c r="J385" s="8"/>
      <c r="K385" s="8"/>
      <c r="L385" s="8" t="s">
        <v>241</v>
      </c>
      <c r="M385" s="23" t="n">
        <v>7540</v>
      </c>
      <c r="N385" s="23" t="n">
        <v>5864.6228576</v>
      </c>
      <c r="O385" s="23" t="n">
        <v>6134.13105656</v>
      </c>
      <c r="P385" s="24" t="n">
        <v>37.503661505</v>
      </c>
      <c r="Q385" s="24" t="n">
        <v>52.6971367766667</v>
      </c>
      <c r="R385" s="24" t="n">
        <v>37.503661505</v>
      </c>
      <c r="S385" s="25" t="n">
        <v>0.00639489740698309</v>
      </c>
      <c r="T385" s="26" t="n">
        <v>0.72792712151512</v>
      </c>
      <c r="U385" s="23" t="n">
        <v>0</v>
      </c>
      <c r="V385" s="26" t="n">
        <v>-0.06</v>
      </c>
      <c r="W385" s="26" t="n">
        <v>0.00781168742900285</v>
      </c>
      <c r="X385" s="26" t="n">
        <v>-0.266806680613147</v>
      </c>
      <c r="Y385" s="26" t="n">
        <v>-0.475089534093562</v>
      </c>
      <c r="Z385" s="26" t="n">
        <v>0.133041197202731</v>
      </c>
      <c r="AA385" s="26" t="n">
        <v>0.0737569620909531</v>
      </c>
      <c r="AB385" s="26" t="n">
        <v>-0.595888550725363</v>
      </c>
      <c r="AC385" s="27" t="n">
        <v>0.106228002284849</v>
      </c>
      <c r="AD385" s="28" t="n">
        <f aca="false">Params!$B$6*Params!$B$7*$R385</f>
        <v>22.502196903</v>
      </c>
      <c r="AE385" s="29" t="n">
        <f aca="false">MIN(Params!$B$9,AD385/Params!$B$4)</f>
        <v>0.045004393806</v>
      </c>
      <c r="AF385" s="29" t="n">
        <f aca="false">MIN(Params!$B$9,AD385/Params!$B$5)</f>
        <v>0.022502196903</v>
      </c>
      <c r="AG385" s="28" t="n">
        <f aca="false">IF($R385&gt;0,Params!$B$9*Params!$B$4/(Params!$B$6*$R385),"n/a")</f>
        <v>3.99960947759733</v>
      </c>
      <c r="AH385" s="28" t="n">
        <f aca="false">IF($R385&gt;0,Params!$B$9*Params!$B$5/(Params!$B$6*$R385),"n/a")</f>
        <v>7.99921895519465</v>
      </c>
      <c r="AI385" s="28" t="n">
        <f aca="false">IF($R385&gt;0,Params!$B$15*Params!$B$4/(Params!$B$6*$R385),"n/a")</f>
        <v>1.33320315919911</v>
      </c>
      <c r="AJ385" s="29" t="n">
        <f aca="false">MIN(Params!$B$9,AD385*Params!$B$8/Params!$B$4)</f>
        <v>0.022502196903</v>
      </c>
      <c r="AK385" s="28" t="n">
        <f aca="false">IF($R385&gt;0,Params!$B$9*Params!$B$4/(Params!$B$6*$R385*Params!$B$8),"n/a")</f>
        <v>7.99921895519465</v>
      </c>
      <c r="AL385" s="27" t="str">
        <f aca="false">IFERROR(ciq($D385,"IQ_PE_EXCL"),"")</f>
        <v/>
      </c>
      <c r="AM385" s="27" t="str">
        <f aca="false">IFERROR(ciq($D385,"IQ_PE_EXCL_FWD_CIQ"),"")</f>
        <v/>
      </c>
      <c r="AN385" s="27" t="str">
        <f aca="false">IFERROR(ciq($D385,"IQ_PBV"),"")</f>
        <v/>
      </c>
      <c r="AO385" s="27" t="str">
        <f aca="false">IFERROR(ciq($D385,"IQ_TEV_EBITDA"),"")</f>
        <v/>
      </c>
      <c r="AP385" s="24" t="str">
        <f aca="false">IFERROR(ciq($D385,"IQ_RETURN_EQUITY"),"")</f>
        <v/>
      </c>
      <c r="AQ385" s="24" t="str">
        <f aca="false">IFERROR(ciq($D385,"IQ_RETURN_CAPITAL"),"")</f>
        <v/>
      </c>
      <c r="AR385" s="24" t="str">
        <f aca="false">IFERROR(ciq($D385,"IQ_TOTAL_REV_1YR_ANN_GROWTH"),"")</f>
        <v/>
      </c>
      <c r="AS385" s="24" t="str">
        <f aca="false">IFERROR(ciq($D385,"IQ_EPS_1YR_ANN_GROWTH"),"")</f>
        <v/>
      </c>
      <c r="AT385" s="24" t="str">
        <f aca="false">IFERROR(ciq($D385,"IQ_DIVIDEND_YIELD"),"")</f>
        <v/>
      </c>
      <c r="AU385" s="24" t="str">
        <f aca="false">IFERROR(ciq($D385,"IQ_NET_DEBT"),"")</f>
        <v/>
      </c>
    </row>
    <row r="386" customFormat="false" ht="15" hidden="false" customHeight="false" outlineLevel="0" collapsed="false">
      <c r="A386" s="8" t="s">
        <v>1931</v>
      </c>
      <c r="B386" s="6" t="s">
        <v>1932</v>
      </c>
      <c r="C386" s="8" t="s">
        <v>73</v>
      </c>
      <c r="D386" s="8" t="s">
        <v>1933</v>
      </c>
      <c r="E386" s="8" t="s">
        <v>1934</v>
      </c>
      <c r="F386" s="6" t="s">
        <v>513</v>
      </c>
      <c r="G386" s="8" t="s">
        <v>58</v>
      </c>
      <c r="H386" s="8" t="s">
        <v>67</v>
      </c>
      <c r="I386" s="8"/>
      <c r="J386" s="8"/>
      <c r="K386" s="8"/>
      <c r="L386" s="8"/>
      <c r="M386" s="23" t="n">
        <v>17500</v>
      </c>
      <c r="N386" s="23" t="n">
        <v>5847.93615</v>
      </c>
      <c r="O386" s="23" t="n">
        <v>6067.15021368</v>
      </c>
      <c r="P386" s="24" t="n">
        <v>39.60476367</v>
      </c>
      <c r="Q386" s="24" t="n">
        <v>68.4893754433333</v>
      </c>
      <c r="R386" s="24" t="n">
        <v>39.60476367</v>
      </c>
      <c r="S386" s="25" t="n">
        <v>0.00677243435190379</v>
      </c>
      <c r="T386" s="26" t="n">
        <v>1.0484545165082</v>
      </c>
      <c r="U386" s="23" t="n">
        <v>1</v>
      </c>
      <c r="V386" s="26" t="n">
        <v>-0.06</v>
      </c>
      <c r="W386" s="26" t="n">
        <v>0.0723687735197236</v>
      </c>
      <c r="X386" s="26" t="n">
        <v>-0.0895071377602237</v>
      </c>
      <c r="Y386" s="26" t="n">
        <v>0.2386174989678</v>
      </c>
      <c r="Z386" s="26" t="n">
        <v>0.308430109454083</v>
      </c>
      <c r="AA386" s="26" t="n">
        <v>0.327065579679937</v>
      </c>
      <c r="AB386" s="26" t="n">
        <v>-0.372642384584591</v>
      </c>
      <c r="AC386" s="27" t="n">
        <v>0.372045331679417</v>
      </c>
      <c r="AD386" s="28" t="n">
        <f aca="false">Params!$B$6*Params!$B$7*$R386</f>
        <v>23.762858202</v>
      </c>
      <c r="AE386" s="29" t="n">
        <f aca="false">MIN(Params!$B$9,AD386/Params!$B$4)</f>
        <v>0.047525716404</v>
      </c>
      <c r="AF386" s="29" t="n">
        <f aca="false">MIN(Params!$B$9,AD386/Params!$B$5)</f>
        <v>0.023762858202</v>
      </c>
      <c r="AG386" s="28" t="n">
        <f aca="false">IF($R386&gt;0,Params!$B$9*Params!$B$4/(Params!$B$6*$R386),"n/a")</f>
        <v>3.78742318095494</v>
      </c>
      <c r="AH386" s="28" t="n">
        <f aca="false">IF($R386&gt;0,Params!$B$9*Params!$B$5/(Params!$B$6*$R386),"n/a")</f>
        <v>7.57484636190988</v>
      </c>
      <c r="AI386" s="28" t="n">
        <f aca="false">IF($R386&gt;0,Params!$B$15*Params!$B$4/(Params!$B$6*$R386),"n/a")</f>
        <v>1.26247439365165</v>
      </c>
      <c r="AJ386" s="29" t="n">
        <f aca="false">MIN(Params!$B$9,AD386*Params!$B$8/Params!$B$4)</f>
        <v>0.023762858202</v>
      </c>
      <c r="AK386" s="28" t="n">
        <f aca="false">IF($R386&gt;0,Params!$B$9*Params!$B$4/(Params!$B$6*$R386*Params!$B$8),"n/a")</f>
        <v>7.57484636190988</v>
      </c>
      <c r="AL386" s="27" t="str">
        <f aca="false">IFERROR(ciq($D386,"IQ_PE_EXCL"),"")</f>
        <v/>
      </c>
      <c r="AM386" s="27" t="str">
        <f aca="false">IFERROR(ciq($D386,"IQ_PE_EXCL_FWD_CIQ"),"")</f>
        <v/>
      </c>
      <c r="AN386" s="27" t="str">
        <f aca="false">IFERROR(ciq($D386,"IQ_PBV"),"")</f>
        <v/>
      </c>
      <c r="AO386" s="27" t="str">
        <f aca="false">IFERROR(ciq($D386,"IQ_TEV_EBITDA"),"")</f>
        <v/>
      </c>
      <c r="AP386" s="24" t="str">
        <f aca="false">IFERROR(ciq($D386,"IQ_RETURN_EQUITY"),"")</f>
        <v/>
      </c>
      <c r="AQ386" s="24" t="str">
        <f aca="false">IFERROR(ciq($D386,"IQ_RETURN_CAPITAL"),"")</f>
        <v/>
      </c>
      <c r="AR386" s="24" t="str">
        <f aca="false">IFERROR(ciq($D386,"IQ_TOTAL_REV_1YR_ANN_GROWTH"),"")</f>
        <v/>
      </c>
      <c r="AS386" s="24" t="str">
        <f aca="false">IFERROR(ciq($D386,"IQ_EPS_1YR_ANN_GROWTH"),"")</f>
        <v/>
      </c>
      <c r="AT386" s="24" t="str">
        <f aca="false">IFERROR(ciq($D386,"IQ_DIVIDEND_YIELD"),"")</f>
        <v/>
      </c>
      <c r="AU386" s="24" t="str">
        <f aca="false">IFERROR(ciq($D386,"IQ_NET_DEBT"),"")</f>
        <v/>
      </c>
    </row>
    <row r="387" customFormat="false" ht="15" hidden="false" customHeight="false" outlineLevel="0" collapsed="false">
      <c r="A387" s="8" t="s">
        <v>1935</v>
      </c>
      <c r="B387" s="8" t="s">
        <v>1936</v>
      </c>
      <c r="C387" s="8" t="s">
        <v>73</v>
      </c>
      <c r="D387" s="8" t="s">
        <v>1937</v>
      </c>
      <c r="E387" s="8" t="s">
        <v>1938</v>
      </c>
      <c r="F387" s="6" t="s">
        <v>1939</v>
      </c>
      <c r="G387" s="8" t="s">
        <v>58</v>
      </c>
      <c r="H387" s="8" t="s">
        <v>67</v>
      </c>
      <c r="I387" s="8"/>
      <c r="J387" s="8"/>
      <c r="K387" s="8"/>
      <c r="L387" s="8"/>
      <c r="M387" s="23" t="n">
        <v>14550</v>
      </c>
      <c r="N387" s="23" t="n">
        <v>5843.3689005</v>
      </c>
      <c r="O387" s="23" t="n">
        <v>5882.72629928</v>
      </c>
      <c r="P387" s="24" t="n">
        <v>92.1694872525</v>
      </c>
      <c r="Q387" s="24" t="n">
        <v>67.2668161333333</v>
      </c>
      <c r="R387" s="24" t="n">
        <v>67.2668161333333</v>
      </c>
      <c r="S387" s="25" t="n">
        <v>0.0157733473312995</v>
      </c>
      <c r="T387" s="26" t="n">
        <v>0.721296429437055</v>
      </c>
      <c r="U387" s="23" t="n">
        <v>0</v>
      </c>
      <c r="V387" s="26" t="n">
        <v>-0.06</v>
      </c>
      <c r="W387" s="26" t="n">
        <v>0.0966229781968837</v>
      </c>
      <c r="X387" s="26" t="n">
        <v>-0.0550517868696118</v>
      </c>
      <c r="Y387" s="26" t="n">
        <v>-0.259017787420295</v>
      </c>
      <c r="Z387" s="26" t="n">
        <v>-0.0239818141858659</v>
      </c>
      <c r="AA387" s="26" t="n">
        <v>0.0400592485312539</v>
      </c>
      <c r="AB387" s="26" t="n">
        <v>-0.388602788642647</v>
      </c>
      <c r="AC387" s="27" t="n">
        <v>0.908598401430111</v>
      </c>
      <c r="AD387" s="28" t="n">
        <f aca="false">Params!$B$6*Params!$B$7*$R387</f>
        <v>40.36008968</v>
      </c>
      <c r="AE387" s="29" t="n">
        <f aca="false">MIN(Params!$B$9,AD387/Params!$B$4)</f>
        <v>0.06</v>
      </c>
      <c r="AF387" s="29" t="n">
        <f aca="false">MIN(Params!$B$9,AD387/Params!$B$5)</f>
        <v>0.04036008968</v>
      </c>
      <c r="AG387" s="28" t="n">
        <f aca="false">IF($R387&gt;0,Params!$B$9*Params!$B$4/(Params!$B$6*$R387),"n/a")</f>
        <v>2.22992566948132</v>
      </c>
      <c r="AH387" s="28" t="n">
        <f aca="false">IF($R387&gt;0,Params!$B$9*Params!$B$5/(Params!$B$6*$R387),"n/a")</f>
        <v>4.45985133896263</v>
      </c>
      <c r="AI387" s="28" t="n">
        <f aca="false">IF($R387&gt;0,Params!$B$15*Params!$B$4/(Params!$B$6*$R387),"n/a")</f>
        <v>0.743308556493772</v>
      </c>
      <c r="AJ387" s="29" t="n">
        <f aca="false">MIN(Params!$B$9,AD387*Params!$B$8/Params!$B$4)</f>
        <v>0.04036008968</v>
      </c>
      <c r="AK387" s="28" t="n">
        <f aca="false">IF($R387&gt;0,Params!$B$9*Params!$B$4/(Params!$B$6*$R387*Params!$B$8),"n/a")</f>
        <v>4.45985133896263</v>
      </c>
      <c r="AL387" s="27" t="str">
        <f aca="false">IFERROR(ciq($D387,"IQ_PE_EXCL"),"")</f>
        <v/>
      </c>
      <c r="AM387" s="27" t="str">
        <f aca="false">IFERROR(ciq($D387,"IQ_PE_EXCL_FWD_CIQ"),"")</f>
        <v/>
      </c>
      <c r="AN387" s="27" t="str">
        <f aca="false">IFERROR(ciq($D387,"IQ_PBV"),"")</f>
        <v/>
      </c>
      <c r="AO387" s="27" t="str">
        <f aca="false">IFERROR(ciq($D387,"IQ_TEV_EBITDA"),"")</f>
        <v/>
      </c>
      <c r="AP387" s="24" t="str">
        <f aca="false">IFERROR(ciq($D387,"IQ_RETURN_EQUITY"),"")</f>
        <v/>
      </c>
      <c r="AQ387" s="24" t="str">
        <f aca="false">IFERROR(ciq($D387,"IQ_RETURN_CAPITAL"),"")</f>
        <v/>
      </c>
      <c r="AR387" s="24" t="str">
        <f aca="false">IFERROR(ciq($D387,"IQ_TOTAL_REV_1YR_ANN_GROWTH"),"")</f>
        <v/>
      </c>
      <c r="AS387" s="24" t="str">
        <f aca="false">IFERROR(ciq($D387,"IQ_EPS_1YR_ANN_GROWTH"),"")</f>
        <v/>
      </c>
      <c r="AT387" s="24" t="str">
        <f aca="false">IFERROR(ciq($D387,"IQ_DIVIDEND_YIELD"),"")</f>
        <v/>
      </c>
      <c r="AU387" s="24" t="str">
        <f aca="false">IFERROR(ciq($D387,"IQ_NET_DEBT"),"")</f>
        <v/>
      </c>
    </row>
    <row r="388" customFormat="false" ht="15" hidden="false" customHeight="false" outlineLevel="0" collapsed="false">
      <c r="A388" s="8" t="s">
        <v>1940</v>
      </c>
      <c r="B388" s="6" t="s">
        <v>1941</v>
      </c>
      <c r="C388" s="8" t="s">
        <v>73</v>
      </c>
      <c r="D388" s="8" t="s">
        <v>1942</v>
      </c>
      <c r="E388" s="8" t="s">
        <v>1943</v>
      </c>
      <c r="F388" s="6" t="s">
        <v>721</v>
      </c>
      <c r="G388" s="8" t="s">
        <v>58</v>
      </c>
      <c r="H388" s="8" t="s">
        <v>67</v>
      </c>
      <c r="I388" s="8"/>
      <c r="J388" s="8"/>
      <c r="K388" s="8"/>
      <c r="L388" s="8" t="s">
        <v>241</v>
      </c>
      <c r="M388" s="23" t="n">
        <v>6050</v>
      </c>
      <c r="N388" s="23" t="n">
        <v>5838.587106</v>
      </c>
      <c r="O388" s="23" t="n">
        <v>6710.99747688</v>
      </c>
      <c r="P388" s="24" t="n">
        <v>64.8121560025</v>
      </c>
      <c r="Q388" s="24" t="n">
        <v>71.2762953716667</v>
      </c>
      <c r="R388" s="24" t="n">
        <v>64.8121560025</v>
      </c>
      <c r="S388" s="25" t="n">
        <v>0.011100657543654</v>
      </c>
      <c r="T388" s="26" t="n">
        <v>0.7896003295167</v>
      </c>
      <c r="U388" s="23" t="n">
        <v>0</v>
      </c>
      <c r="V388" s="26" t="n">
        <v>-0.06</v>
      </c>
      <c r="W388" s="26" t="n">
        <v>-0.111678271744265</v>
      </c>
      <c r="X388" s="26" t="n">
        <v>-0.311826847743212</v>
      </c>
      <c r="Y388" s="26" t="n">
        <v>-0.597636242002066</v>
      </c>
      <c r="Z388" s="26" t="n">
        <v>0.217974013534387</v>
      </c>
      <c r="AA388" s="26" t="n">
        <v>0.259565624433155</v>
      </c>
      <c r="AB388" s="26" t="n">
        <v>-0.697590653081996</v>
      </c>
      <c r="AC388" s="27" t="n">
        <v>0.284879930994528</v>
      </c>
      <c r="AD388" s="28" t="n">
        <f aca="false">Params!$B$6*Params!$B$7*$R388</f>
        <v>38.8872936015</v>
      </c>
      <c r="AE388" s="29" t="n">
        <f aca="false">MIN(Params!$B$9,AD388/Params!$B$4)</f>
        <v>0.06</v>
      </c>
      <c r="AF388" s="29" t="n">
        <f aca="false">MIN(Params!$B$9,AD388/Params!$B$5)</f>
        <v>0.0388872936015</v>
      </c>
      <c r="AG388" s="28" t="n">
        <f aca="false">IF($R388&gt;0,Params!$B$9*Params!$B$4/(Params!$B$6*$R388),"n/a")</f>
        <v>2.31438065405838</v>
      </c>
      <c r="AH388" s="28" t="n">
        <f aca="false">IF($R388&gt;0,Params!$B$9*Params!$B$5/(Params!$B$6*$R388),"n/a")</f>
        <v>4.62876130811677</v>
      </c>
      <c r="AI388" s="28" t="n">
        <f aca="false">IF($R388&gt;0,Params!$B$15*Params!$B$4/(Params!$B$6*$R388),"n/a")</f>
        <v>0.771460218019461</v>
      </c>
      <c r="AJ388" s="29" t="n">
        <f aca="false">MIN(Params!$B$9,AD388*Params!$B$8/Params!$B$4)</f>
        <v>0.0388872936015</v>
      </c>
      <c r="AK388" s="28" t="n">
        <f aca="false">IF($R388&gt;0,Params!$B$9*Params!$B$4/(Params!$B$6*$R388*Params!$B$8),"n/a")</f>
        <v>4.62876130811677</v>
      </c>
      <c r="AL388" s="27" t="str">
        <f aca="false">IFERROR(ciq($D388,"IQ_PE_EXCL"),"")</f>
        <v/>
      </c>
      <c r="AM388" s="27" t="str">
        <f aca="false">IFERROR(ciq($D388,"IQ_PE_EXCL_FWD_CIQ"),"")</f>
        <v/>
      </c>
      <c r="AN388" s="27" t="str">
        <f aca="false">IFERROR(ciq($D388,"IQ_PBV"),"")</f>
        <v/>
      </c>
      <c r="AO388" s="27" t="str">
        <f aca="false">IFERROR(ciq($D388,"IQ_TEV_EBITDA"),"")</f>
        <v/>
      </c>
      <c r="AP388" s="24" t="str">
        <f aca="false">IFERROR(ciq($D388,"IQ_RETURN_EQUITY"),"")</f>
        <v/>
      </c>
      <c r="AQ388" s="24" t="str">
        <f aca="false">IFERROR(ciq($D388,"IQ_RETURN_CAPITAL"),"")</f>
        <v/>
      </c>
      <c r="AR388" s="24" t="str">
        <f aca="false">IFERROR(ciq($D388,"IQ_TOTAL_REV_1YR_ANN_GROWTH"),"")</f>
        <v/>
      </c>
      <c r="AS388" s="24" t="str">
        <f aca="false">IFERROR(ciq($D388,"IQ_EPS_1YR_ANN_GROWTH"),"")</f>
        <v/>
      </c>
      <c r="AT388" s="24" t="str">
        <f aca="false">IFERROR(ciq($D388,"IQ_DIVIDEND_YIELD"),"")</f>
        <v/>
      </c>
      <c r="AU388" s="24" t="str">
        <f aca="false">IFERROR(ciq($D388,"IQ_NET_DEBT"),"")</f>
        <v/>
      </c>
    </row>
    <row r="389" customFormat="false" ht="15" hidden="false" customHeight="false" outlineLevel="0" collapsed="false">
      <c r="A389" s="8" t="s">
        <v>1944</v>
      </c>
      <c r="B389" s="6" t="s">
        <v>1945</v>
      </c>
      <c r="C389" s="8" t="s">
        <v>73</v>
      </c>
      <c r="D389" s="8" t="s">
        <v>1946</v>
      </c>
      <c r="E389" s="8" t="s">
        <v>1947</v>
      </c>
      <c r="F389" s="6" t="s">
        <v>627</v>
      </c>
      <c r="G389" s="8" t="s">
        <v>58</v>
      </c>
      <c r="H389" s="8" t="s">
        <v>67</v>
      </c>
      <c r="I389" s="8"/>
      <c r="J389" s="8"/>
      <c r="K389" s="8"/>
      <c r="L389" s="8" t="s">
        <v>514</v>
      </c>
      <c r="M389" s="23" t="n">
        <v>26850</v>
      </c>
      <c r="N389" s="23" t="n">
        <v>5813.3807625</v>
      </c>
      <c r="O389" s="23" t="n">
        <v>5894.33662875</v>
      </c>
      <c r="P389" s="24" t="n">
        <v>113.3927769</v>
      </c>
      <c r="Q389" s="24" t="n">
        <v>234.371558010833</v>
      </c>
      <c r="R389" s="24" t="n">
        <v>113.3927769</v>
      </c>
      <c r="S389" s="25" t="n">
        <v>0.0195054790891138</v>
      </c>
      <c r="T389" s="26" t="n">
        <v>1.43723569108508</v>
      </c>
      <c r="U389" s="23" t="n">
        <v>2</v>
      </c>
      <c r="V389" s="26" t="n">
        <v>-0.04</v>
      </c>
      <c r="W389" s="26" t="n">
        <v>0.196018185479379</v>
      </c>
      <c r="X389" s="26" t="n">
        <v>0.0410482002417485</v>
      </c>
      <c r="Y389" s="26" t="n">
        <v>0.118613314549682</v>
      </c>
      <c r="Z389" s="26" t="n">
        <v>0.508072376734828</v>
      </c>
      <c r="AA389" s="26" t="n">
        <v>0.542240713197763</v>
      </c>
      <c r="AB389" s="26" t="n">
        <v>-0.32600968608767</v>
      </c>
      <c r="AC389" s="27" t="n">
        <v>0.70822187237836</v>
      </c>
      <c r="AD389" s="28" t="n">
        <f aca="false">Params!$B$6*Params!$B$7*$R389</f>
        <v>68.03566614</v>
      </c>
      <c r="AE389" s="29" t="n">
        <f aca="false">MIN(Params!$B$9,AD389/Params!$B$4)</f>
        <v>0.06</v>
      </c>
      <c r="AF389" s="29" t="n">
        <f aca="false">MIN(Params!$B$9,AD389/Params!$B$5)</f>
        <v>0.06</v>
      </c>
      <c r="AG389" s="28" t="n">
        <f aca="false">IF($R389&gt;0,Params!$B$9*Params!$B$4/(Params!$B$6*$R389),"n/a")</f>
        <v>1.32283558177858</v>
      </c>
      <c r="AH389" s="28" t="n">
        <f aca="false">IF($R389&gt;0,Params!$B$9*Params!$B$5/(Params!$B$6*$R389),"n/a")</f>
        <v>2.64567116355716</v>
      </c>
      <c r="AI389" s="28" t="n">
        <f aca="false">IF($R389&gt;0,Params!$B$15*Params!$B$4/(Params!$B$6*$R389),"n/a")</f>
        <v>0.440945193926193</v>
      </c>
      <c r="AJ389" s="29" t="n">
        <f aca="false">MIN(Params!$B$9,AD389*Params!$B$8/Params!$B$4)</f>
        <v>0.06</v>
      </c>
      <c r="AK389" s="28" t="n">
        <f aca="false">IF($R389&gt;0,Params!$B$9*Params!$B$4/(Params!$B$6*$R389*Params!$B$8),"n/a")</f>
        <v>2.64567116355716</v>
      </c>
      <c r="AL389" s="27" t="str">
        <f aca="false">IFERROR(ciq($D389,"IQ_PE_EXCL"),"")</f>
        <v/>
      </c>
      <c r="AM389" s="27" t="str">
        <f aca="false">IFERROR(ciq($D389,"IQ_PE_EXCL_FWD_CIQ"),"")</f>
        <v/>
      </c>
      <c r="AN389" s="27" t="str">
        <f aca="false">IFERROR(ciq($D389,"IQ_PBV"),"")</f>
        <v/>
      </c>
      <c r="AO389" s="27" t="str">
        <f aca="false">IFERROR(ciq($D389,"IQ_TEV_EBITDA"),"")</f>
        <v/>
      </c>
      <c r="AP389" s="24" t="str">
        <f aca="false">IFERROR(ciq($D389,"IQ_RETURN_EQUITY"),"")</f>
        <v/>
      </c>
      <c r="AQ389" s="24" t="str">
        <f aca="false">IFERROR(ciq($D389,"IQ_RETURN_CAPITAL"),"")</f>
        <v/>
      </c>
      <c r="AR389" s="24" t="str">
        <f aca="false">IFERROR(ciq($D389,"IQ_TOTAL_REV_1YR_ANN_GROWTH"),"")</f>
        <v/>
      </c>
      <c r="AS389" s="24" t="str">
        <f aca="false">IFERROR(ciq($D389,"IQ_EPS_1YR_ANN_GROWTH"),"")</f>
        <v/>
      </c>
      <c r="AT389" s="24" t="str">
        <f aca="false">IFERROR(ciq($D389,"IQ_DIVIDEND_YIELD"),"")</f>
        <v/>
      </c>
      <c r="AU389" s="24" t="str">
        <f aca="false">IFERROR(ciq($D389,"IQ_NET_DEBT"),"")</f>
        <v/>
      </c>
    </row>
    <row r="390" customFormat="false" ht="15" hidden="false" customHeight="false" outlineLevel="0" collapsed="false">
      <c r="A390" s="8" t="s">
        <v>1948</v>
      </c>
      <c r="B390" s="8" t="s">
        <v>1949</v>
      </c>
      <c r="C390" s="8" t="s">
        <v>72</v>
      </c>
      <c r="D390" s="8" t="s">
        <v>1950</v>
      </c>
      <c r="E390" s="8" t="s">
        <v>1951</v>
      </c>
      <c r="F390" s="6" t="s">
        <v>513</v>
      </c>
      <c r="G390" s="8" t="s">
        <v>58</v>
      </c>
      <c r="H390" s="8" t="s">
        <v>67</v>
      </c>
      <c r="I390" s="8"/>
      <c r="J390" s="8"/>
      <c r="K390" s="8"/>
      <c r="L390" s="8"/>
      <c r="M390" s="23" t="n">
        <v>35600</v>
      </c>
      <c r="N390" s="23" t="n">
        <v>5790.0908</v>
      </c>
      <c r="O390" s="23" t="n">
        <v>6148.718615</v>
      </c>
      <c r="P390" s="24" t="n">
        <v>33.265329375</v>
      </c>
      <c r="Q390" s="24" t="n">
        <v>40.4412924958333</v>
      </c>
      <c r="R390" s="24" t="n">
        <v>33.265329375</v>
      </c>
      <c r="S390" s="25" t="n">
        <v>0.00574521722094583</v>
      </c>
      <c r="T390" s="26" t="n">
        <v>0.696438088893059</v>
      </c>
      <c r="U390" s="23" t="n">
        <v>0</v>
      </c>
      <c r="V390" s="26" t="n">
        <v>-0.06</v>
      </c>
      <c r="W390" s="26" t="n">
        <v>0.00408778491714856</v>
      </c>
      <c r="X390" s="26" t="n">
        <v>-0.269889574449376</v>
      </c>
      <c r="Y390" s="26" t="n">
        <v>-0.316793649975872</v>
      </c>
      <c r="Z390" s="26" t="n">
        <v>-0.275888437224072</v>
      </c>
      <c r="AA390" s="26" t="n">
        <v>-0.340787882533423</v>
      </c>
      <c r="AB390" s="26" t="n">
        <v>-0.458288975073422</v>
      </c>
      <c r="AC390" s="27" t="n">
        <v>0.586200294809858</v>
      </c>
      <c r="AD390" s="28" t="n">
        <f aca="false">Params!$B$6*Params!$B$7*$R390</f>
        <v>19.959197625</v>
      </c>
      <c r="AE390" s="29" t="n">
        <f aca="false">MIN(Params!$B$9,AD390/Params!$B$4)</f>
        <v>0.03991839525</v>
      </c>
      <c r="AF390" s="29" t="n">
        <f aca="false">MIN(Params!$B$9,AD390/Params!$B$5)</f>
        <v>0.019959197625</v>
      </c>
      <c r="AG390" s="28" t="n">
        <f aca="false">IF($R390&gt;0,Params!$B$9*Params!$B$4/(Params!$B$6*$R390),"n/a")</f>
        <v>4.50919930204359</v>
      </c>
      <c r="AH390" s="28" t="n">
        <f aca="false">IF($R390&gt;0,Params!$B$9*Params!$B$5/(Params!$B$6*$R390),"n/a")</f>
        <v>9.01839860408717</v>
      </c>
      <c r="AI390" s="28" t="n">
        <f aca="false">IF($R390&gt;0,Params!$B$15*Params!$B$4/(Params!$B$6*$R390),"n/a")</f>
        <v>1.50306643401453</v>
      </c>
      <c r="AJ390" s="29" t="n">
        <f aca="false">MIN(Params!$B$9,AD390*Params!$B$8/Params!$B$4)</f>
        <v>0.019959197625</v>
      </c>
      <c r="AK390" s="28" t="n">
        <f aca="false">IF($R390&gt;0,Params!$B$9*Params!$B$4/(Params!$B$6*$R390*Params!$B$8),"n/a")</f>
        <v>9.01839860408717</v>
      </c>
      <c r="AL390" s="27" t="str">
        <f aca="false">IFERROR(ciq($D390,"IQ_PE_EXCL"),"")</f>
        <v/>
      </c>
      <c r="AM390" s="27" t="str">
        <f aca="false">IFERROR(ciq($D390,"IQ_PE_EXCL_FWD_CIQ"),"")</f>
        <v/>
      </c>
      <c r="AN390" s="27" t="str">
        <f aca="false">IFERROR(ciq($D390,"IQ_PBV"),"")</f>
        <v/>
      </c>
      <c r="AO390" s="27" t="str">
        <f aca="false">IFERROR(ciq($D390,"IQ_TEV_EBITDA"),"")</f>
        <v/>
      </c>
      <c r="AP390" s="24" t="str">
        <f aca="false">IFERROR(ciq($D390,"IQ_RETURN_EQUITY"),"")</f>
        <v/>
      </c>
      <c r="AQ390" s="24" t="str">
        <f aca="false">IFERROR(ciq($D390,"IQ_RETURN_CAPITAL"),"")</f>
        <v/>
      </c>
      <c r="AR390" s="24" t="str">
        <f aca="false">IFERROR(ciq($D390,"IQ_TOTAL_REV_1YR_ANN_GROWTH"),"")</f>
        <v/>
      </c>
      <c r="AS390" s="24" t="str">
        <f aca="false">IFERROR(ciq($D390,"IQ_EPS_1YR_ANN_GROWTH"),"")</f>
        <v/>
      </c>
      <c r="AT390" s="24" t="str">
        <f aca="false">IFERROR(ciq($D390,"IQ_DIVIDEND_YIELD"),"")</f>
        <v/>
      </c>
      <c r="AU390" s="24" t="str">
        <f aca="false">IFERROR(ciq($D390,"IQ_NET_DEBT"),"")</f>
        <v/>
      </c>
    </row>
    <row r="391" customFormat="false" ht="15" hidden="false" customHeight="false" outlineLevel="0" collapsed="false">
      <c r="A391" s="8" t="s">
        <v>1952</v>
      </c>
      <c r="B391" s="6" t="s">
        <v>1953</v>
      </c>
      <c r="C391" s="8" t="s">
        <v>73</v>
      </c>
      <c r="D391" s="8" t="s">
        <v>1954</v>
      </c>
      <c r="E391" s="8" t="s">
        <v>1955</v>
      </c>
      <c r="F391" s="6" t="s">
        <v>721</v>
      </c>
      <c r="G391" s="8" t="s">
        <v>58</v>
      </c>
      <c r="H391" s="8" t="s">
        <v>67</v>
      </c>
      <c r="I391" s="8"/>
      <c r="J391" s="8"/>
      <c r="K391" s="8"/>
      <c r="L391" s="8"/>
      <c r="M391" s="23" t="n">
        <v>46950</v>
      </c>
      <c r="N391" s="23" t="n">
        <v>5757.0986745</v>
      </c>
      <c r="O391" s="23" t="n">
        <v>6016.44401415</v>
      </c>
      <c r="P391" s="24" t="n">
        <v>25.03191765</v>
      </c>
      <c r="Q391" s="24" t="n">
        <v>30.8617705375</v>
      </c>
      <c r="R391" s="24" t="n">
        <v>25.03191765</v>
      </c>
      <c r="S391" s="25" t="n">
        <v>0.00434800913885222</v>
      </c>
      <c r="T391" s="26" t="n">
        <v>0.852395162418965</v>
      </c>
      <c r="U391" s="23" t="n">
        <v>0</v>
      </c>
      <c r="V391" s="26" t="n">
        <v>-0.06</v>
      </c>
      <c r="W391" s="26" t="n">
        <v>0.0645660759304332</v>
      </c>
      <c r="X391" s="26" t="n">
        <v>-0.161435164240633</v>
      </c>
      <c r="Y391" s="26" t="n">
        <v>-0.246385128511819</v>
      </c>
      <c r="Z391" s="26" t="n">
        <v>-0.0598585462794127</v>
      </c>
      <c r="AA391" s="26" t="n">
        <v>-0.177375597038366</v>
      </c>
      <c r="AB391" s="26" t="n">
        <v>-0.471243309655903</v>
      </c>
      <c r="AC391" s="27" t="n">
        <v>0.37325245052799</v>
      </c>
      <c r="AD391" s="28" t="n">
        <f aca="false">Params!$B$6*Params!$B$7*$R391</f>
        <v>15.01915059</v>
      </c>
      <c r="AE391" s="29" t="n">
        <f aca="false">MIN(Params!$B$9,AD391/Params!$B$4)</f>
        <v>0.03003830118</v>
      </c>
      <c r="AF391" s="29" t="n">
        <f aca="false">MIN(Params!$B$9,AD391/Params!$B$5)</f>
        <v>0.01501915059</v>
      </c>
      <c r="AG391" s="28" t="n">
        <f aca="false">IF($R391&gt;0,Params!$B$9*Params!$B$4/(Params!$B$6*$R391),"n/a")</f>
        <v>5.99234953139917</v>
      </c>
      <c r="AH391" s="28" t="n">
        <f aca="false">IF($R391&gt;0,Params!$B$9*Params!$B$5/(Params!$B$6*$R391),"n/a")</f>
        <v>11.9846990627983</v>
      </c>
      <c r="AI391" s="28" t="n">
        <f aca="false">IF($R391&gt;0,Params!$B$15*Params!$B$4/(Params!$B$6*$R391),"n/a")</f>
        <v>1.99744984379972</v>
      </c>
      <c r="AJ391" s="29" t="n">
        <f aca="false">MIN(Params!$B$9,AD391*Params!$B$8/Params!$B$4)</f>
        <v>0.01501915059</v>
      </c>
      <c r="AK391" s="28" t="n">
        <f aca="false">IF($R391&gt;0,Params!$B$9*Params!$B$4/(Params!$B$6*$R391*Params!$B$8),"n/a")</f>
        <v>11.9846990627983</v>
      </c>
      <c r="AL391" s="27" t="str">
        <f aca="false">IFERROR(ciq($D391,"IQ_PE_EXCL"),"")</f>
        <v/>
      </c>
      <c r="AM391" s="27" t="str">
        <f aca="false">IFERROR(ciq($D391,"IQ_PE_EXCL_FWD_CIQ"),"")</f>
        <v/>
      </c>
      <c r="AN391" s="27" t="str">
        <f aca="false">IFERROR(ciq($D391,"IQ_PBV"),"")</f>
        <v/>
      </c>
      <c r="AO391" s="27" t="str">
        <f aca="false">IFERROR(ciq($D391,"IQ_TEV_EBITDA"),"")</f>
        <v/>
      </c>
      <c r="AP391" s="24" t="str">
        <f aca="false">IFERROR(ciq($D391,"IQ_RETURN_EQUITY"),"")</f>
        <v/>
      </c>
      <c r="AQ391" s="24" t="str">
        <f aca="false">IFERROR(ciq($D391,"IQ_RETURN_CAPITAL"),"")</f>
        <v/>
      </c>
      <c r="AR391" s="24" t="str">
        <f aca="false">IFERROR(ciq($D391,"IQ_TOTAL_REV_1YR_ANN_GROWTH"),"")</f>
        <v/>
      </c>
      <c r="AS391" s="24" t="str">
        <f aca="false">IFERROR(ciq($D391,"IQ_EPS_1YR_ANN_GROWTH"),"")</f>
        <v/>
      </c>
      <c r="AT391" s="24" t="str">
        <f aca="false">IFERROR(ciq($D391,"IQ_DIVIDEND_YIELD"),"")</f>
        <v/>
      </c>
      <c r="AU391" s="24" t="str">
        <f aca="false">IFERROR(ciq($D391,"IQ_NET_DEBT"),"")</f>
        <v/>
      </c>
    </row>
    <row r="392" customFormat="false" ht="15" hidden="false" customHeight="false" outlineLevel="0" collapsed="false">
      <c r="A392" s="8" t="s">
        <v>1956</v>
      </c>
      <c r="B392" s="6" t="s">
        <v>1957</v>
      </c>
      <c r="C392" s="8" t="s">
        <v>74</v>
      </c>
      <c r="D392" s="8" t="s">
        <v>1958</v>
      </c>
      <c r="E392" s="8" t="s">
        <v>1959</v>
      </c>
      <c r="F392" s="6" t="s">
        <v>513</v>
      </c>
      <c r="G392" s="8" t="s">
        <v>58</v>
      </c>
      <c r="H392" s="8" t="s">
        <v>67</v>
      </c>
      <c r="I392" s="8"/>
      <c r="J392" s="8"/>
      <c r="K392" s="8"/>
      <c r="L392" s="8"/>
      <c r="M392" s="23" t="n">
        <v>9570</v>
      </c>
      <c r="N392" s="23" t="n">
        <v>5579.82678</v>
      </c>
      <c r="O392" s="23" t="n">
        <v>5671.074731</v>
      </c>
      <c r="P392" s="24" t="n">
        <v>23.14036706</v>
      </c>
      <c r="Q392" s="24" t="n">
        <v>51.5464324233333</v>
      </c>
      <c r="R392" s="24" t="n">
        <v>23.14036706</v>
      </c>
      <c r="S392" s="25" t="n">
        <v>0.0041471479263376</v>
      </c>
      <c r="T392" s="26" t="n">
        <v>0.786245548202212</v>
      </c>
      <c r="U392" s="23" t="n">
        <v>1</v>
      </c>
      <c r="V392" s="26" t="n">
        <v>-0.06</v>
      </c>
      <c r="W392" s="26" t="n">
        <v>0.0224060605135321</v>
      </c>
      <c r="X392" s="26" t="n">
        <v>-0.289627869356763</v>
      </c>
      <c r="Y392" s="26" t="n">
        <v>-0.0187358247167392</v>
      </c>
      <c r="Z392" s="26" t="n">
        <v>0.540515230204904</v>
      </c>
      <c r="AA392" s="26" t="n">
        <v>0.430412004707704</v>
      </c>
      <c r="AB392" s="26" t="n">
        <v>-0.476673685345256</v>
      </c>
      <c r="AC392" s="27" t="n">
        <v>0.138874385883021</v>
      </c>
      <c r="AD392" s="28" t="n">
        <f aca="false">Params!$B$6*Params!$B$7*$R392</f>
        <v>13.884220236</v>
      </c>
      <c r="AE392" s="29" t="n">
        <f aca="false">MIN(Params!$B$9,AD392/Params!$B$4)</f>
        <v>0.027768440472</v>
      </c>
      <c r="AF392" s="29" t="n">
        <f aca="false">MIN(Params!$B$9,AD392/Params!$B$5)</f>
        <v>0.013884220236</v>
      </c>
      <c r="AG392" s="28" t="n">
        <f aca="false">IF($R392&gt;0,Params!$B$9*Params!$B$4/(Params!$B$6*$R392),"n/a")</f>
        <v>6.48217893912699</v>
      </c>
      <c r="AH392" s="28" t="n">
        <f aca="false">IF($R392&gt;0,Params!$B$9*Params!$B$5/(Params!$B$6*$R392),"n/a")</f>
        <v>12.964357878254</v>
      </c>
      <c r="AI392" s="28" t="n">
        <f aca="false">IF($R392&gt;0,Params!$B$15*Params!$B$4/(Params!$B$6*$R392),"n/a")</f>
        <v>2.16072631304233</v>
      </c>
      <c r="AJ392" s="29" t="n">
        <f aca="false">MIN(Params!$B$9,AD392*Params!$B$8/Params!$B$4)</f>
        <v>0.013884220236</v>
      </c>
      <c r="AK392" s="28" t="n">
        <f aca="false">IF($R392&gt;0,Params!$B$9*Params!$B$4/(Params!$B$6*$R392*Params!$B$8),"n/a")</f>
        <v>12.964357878254</v>
      </c>
      <c r="AL392" s="27" t="str">
        <f aca="false">IFERROR(ciq($D392,"IQ_PE_EXCL"),"")</f>
        <v/>
      </c>
      <c r="AM392" s="27" t="str">
        <f aca="false">IFERROR(ciq($D392,"IQ_PE_EXCL_FWD_CIQ"),"")</f>
        <v/>
      </c>
      <c r="AN392" s="27" t="str">
        <f aca="false">IFERROR(ciq($D392,"IQ_PBV"),"")</f>
        <v/>
      </c>
      <c r="AO392" s="27" t="str">
        <f aca="false">IFERROR(ciq($D392,"IQ_TEV_EBITDA"),"")</f>
        <v/>
      </c>
      <c r="AP392" s="24" t="str">
        <f aca="false">IFERROR(ciq($D392,"IQ_RETURN_EQUITY"),"")</f>
        <v/>
      </c>
      <c r="AQ392" s="24" t="str">
        <f aca="false">IFERROR(ciq($D392,"IQ_RETURN_CAPITAL"),"")</f>
        <v/>
      </c>
      <c r="AR392" s="24" t="str">
        <f aca="false">IFERROR(ciq($D392,"IQ_TOTAL_REV_1YR_ANN_GROWTH"),"")</f>
        <v/>
      </c>
      <c r="AS392" s="24" t="str">
        <f aca="false">IFERROR(ciq($D392,"IQ_EPS_1YR_ANN_GROWTH"),"")</f>
        <v/>
      </c>
      <c r="AT392" s="24" t="str">
        <f aca="false">IFERROR(ciq($D392,"IQ_DIVIDEND_YIELD"),"")</f>
        <v/>
      </c>
      <c r="AU392" s="24" t="str">
        <f aca="false">IFERROR(ciq($D392,"IQ_NET_DEBT"),"")</f>
        <v/>
      </c>
    </row>
    <row r="393" customFormat="false" ht="15" hidden="false" customHeight="false" outlineLevel="0" collapsed="false">
      <c r="A393" s="8" t="s">
        <v>405</v>
      </c>
      <c r="B393" s="8" t="s">
        <v>406</v>
      </c>
      <c r="C393" s="8" t="s">
        <v>72</v>
      </c>
      <c r="D393" s="8" t="s">
        <v>1960</v>
      </c>
      <c r="E393" s="8" t="s">
        <v>1961</v>
      </c>
      <c r="F393" s="6" t="s">
        <v>650</v>
      </c>
      <c r="G393" s="8" t="s">
        <v>58</v>
      </c>
      <c r="H393" s="8" t="s">
        <v>67</v>
      </c>
      <c r="I393" s="8" t="s">
        <v>508</v>
      </c>
      <c r="J393" s="8"/>
      <c r="K393" s="8"/>
      <c r="L393" s="6" t="s">
        <v>351</v>
      </c>
      <c r="M393" s="23" t="n">
        <v>2400</v>
      </c>
      <c r="N393" s="23" t="n">
        <v>5551.08204</v>
      </c>
      <c r="O393" s="23" t="n">
        <v>5722.2404029</v>
      </c>
      <c r="P393" s="24" t="n">
        <v>264.3120509965</v>
      </c>
      <c r="Q393" s="24" t="n">
        <v>141.291863029167</v>
      </c>
      <c r="R393" s="24" t="n">
        <v>141.291863029167</v>
      </c>
      <c r="S393" s="25" t="n">
        <v>0.0476145099445333</v>
      </c>
      <c r="T393" s="26" t="n">
        <v>1.02950653876308</v>
      </c>
      <c r="U393" s="23" t="n">
        <v>1</v>
      </c>
      <c r="V393" s="26" t="n">
        <v>-0.06</v>
      </c>
      <c r="W393" s="26" t="n">
        <v>0.0762961442339052</v>
      </c>
      <c r="X393" s="26" t="n">
        <v>-0.19629344749972</v>
      </c>
      <c r="Y393" s="26" t="n">
        <v>-0.352310527003773</v>
      </c>
      <c r="Z393" s="26" t="n">
        <v>0.863895704992366</v>
      </c>
      <c r="AA393" s="26" t="n">
        <v>0.852320086255332</v>
      </c>
      <c r="AB393" s="26" t="n">
        <v>-0.574679835332815</v>
      </c>
      <c r="AC393" s="27" t="n">
        <v>0.316006329602252</v>
      </c>
      <c r="AD393" s="28" t="n">
        <f aca="false">Params!$B$6*Params!$B$7*$R393</f>
        <v>84.7751178175</v>
      </c>
      <c r="AE393" s="29" t="n">
        <f aca="false">MIN(Params!$B$9,AD393/Params!$B$4)</f>
        <v>0.06</v>
      </c>
      <c r="AF393" s="29" t="n">
        <f aca="false">MIN(Params!$B$9,AD393/Params!$B$5)</f>
        <v>0.06</v>
      </c>
      <c r="AG393" s="28" t="n">
        <f aca="false">IF($R393&gt;0,Params!$B$9*Params!$B$4/(Params!$B$6*$R393),"n/a")</f>
        <v>1.06163226093944</v>
      </c>
      <c r="AH393" s="28" t="n">
        <f aca="false">IF($R393&gt;0,Params!$B$9*Params!$B$5/(Params!$B$6*$R393),"n/a")</f>
        <v>2.12326452187888</v>
      </c>
      <c r="AI393" s="28" t="n">
        <f aca="false">IF($R393&gt;0,Params!$B$15*Params!$B$4/(Params!$B$6*$R393),"n/a")</f>
        <v>0.353877420313147</v>
      </c>
      <c r="AJ393" s="29" t="n">
        <f aca="false">MIN(Params!$B$9,AD393*Params!$B$8/Params!$B$4)</f>
        <v>0.06</v>
      </c>
      <c r="AK393" s="28" t="n">
        <f aca="false">IF($R393&gt;0,Params!$B$9*Params!$B$4/(Params!$B$6*$R393*Params!$B$8),"n/a")</f>
        <v>2.12326452187888</v>
      </c>
      <c r="AL393" s="27" t="str">
        <f aca="false">IFERROR(ciq($D393,"IQ_PE_EXCL"),"")</f>
        <v/>
      </c>
      <c r="AM393" s="27" t="str">
        <f aca="false">IFERROR(ciq($D393,"IQ_PE_EXCL_FWD_CIQ"),"")</f>
        <v/>
      </c>
      <c r="AN393" s="27" t="str">
        <f aca="false">IFERROR(ciq($D393,"IQ_PBV"),"")</f>
        <v/>
      </c>
      <c r="AO393" s="27" t="str">
        <f aca="false">IFERROR(ciq($D393,"IQ_TEV_EBITDA"),"")</f>
        <v/>
      </c>
      <c r="AP393" s="24" t="str">
        <f aca="false">IFERROR(ciq($D393,"IQ_RETURN_EQUITY"),"")</f>
        <v/>
      </c>
      <c r="AQ393" s="24" t="str">
        <f aca="false">IFERROR(ciq($D393,"IQ_RETURN_CAPITAL"),"")</f>
        <v/>
      </c>
      <c r="AR393" s="24" t="str">
        <f aca="false">IFERROR(ciq($D393,"IQ_TOTAL_REV_1YR_ANN_GROWTH"),"")</f>
        <v/>
      </c>
      <c r="AS393" s="24" t="str">
        <f aca="false">IFERROR(ciq($D393,"IQ_EPS_1YR_ANN_GROWTH"),"")</f>
        <v/>
      </c>
      <c r="AT393" s="24" t="str">
        <f aca="false">IFERROR(ciq($D393,"IQ_DIVIDEND_YIELD"),"")</f>
        <v/>
      </c>
      <c r="AU393" s="24" t="str">
        <f aca="false">IFERROR(ciq($D393,"IQ_NET_DEBT"),"")</f>
        <v/>
      </c>
    </row>
    <row r="394" customFormat="false" ht="15" hidden="false" customHeight="false" outlineLevel="0" collapsed="false">
      <c r="A394" s="8" t="s">
        <v>1962</v>
      </c>
      <c r="B394" s="6" t="s">
        <v>1963</v>
      </c>
      <c r="C394" s="8" t="s">
        <v>73</v>
      </c>
      <c r="D394" s="8" t="s">
        <v>1964</v>
      </c>
      <c r="E394" s="8" t="s">
        <v>1965</v>
      </c>
      <c r="F394" s="6" t="s">
        <v>523</v>
      </c>
      <c r="G394" s="8" t="s">
        <v>58</v>
      </c>
      <c r="H394" s="8" t="s">
        <v>67</v>
      </c>
      <c r="I394" s="8"/>
      <c r="J394" s="8"/>
      <c r="K394" s="8"/>
      <c r="L394" s="8" t="s">
        <v>514</v>
      </c>
      <c r="M394" s="23" t="n">
        <v>25550</v>
      </c>
      <c r="N394" s="23" t="n">
        <v>5531.5210895</v>
      </c>
      <c r="O394" s="23" t="n">
        <v>5351.17834713</v>
      </c>
      <c r="P394" s="24" t="n">
        <v>48.01370506</v>
      </c>
      <c r="Q394" s="24" t="n">
        <v>37.7659260433333</v>
      </c>
      <c r="R394" s="24" t="n">
        <v>37.7659260433333</v>
      </c>
      <c r="S394" s="25" t="n">
        <v>0.00868001844034188</v>
      </c>
      <c r="T394" s="26" t="n">
        <v>1.12682419988995</v>
      </c>
      <c r="U394" s="23" t="n">
        <v>2</v>
      </c>
      <c r="V394" s="26" t="n">
        <v>-0.04</v>
      </c>
      <c r="W394" s="26" t="n">
        <v>0.211113895858762</v>
      </c>
      <c r="X394" s="26" t="n">
        <v>-0.138051384480814</v>
      </c>
      <c r="Y394" s="26" t="n">
        <v>-0.309999266682252</v>
      </c>
      <c r="Z394" s="26" t="n">
        <v>-0.165834818106425</v>
      </c>
      <c r="AA394" s="26" t="n">
        <v>0.263952971462593</v>
      </c>
      <c r="AB394" s="26" t="n">
        <v>-0.484134146764774</v>
      </c>
      <c r="AC394" s="27" t="n">
        <v>0.694995103832985</v>
      </c>
      <c r="AD394" s="28" t="n">
        <f aca="false">Params!$B$6*Params!$B$7*$R394</f>
        <v>22.659555626</v>
      </c>
      <c r="AE394" s="29" t="n">
        <f aca="false">MIN(Params!$B$9,AD394/Params!$B$4)</f>
        <v>0.045319111252</v>
      </c>
      <c r="AF394" s="29" t="n">
        <f aca="false">MIN(Params!$B$9,AD394/Params!$B$5)</f>
        <v>0.022659555626</v>
      </c>
      <c r="AG394" s="28" t="n">
        <f aca="false">IF($R394&gt;0,Params!$B$9*Params!$B$4/(Params!$B$6*$R394),"n/a")</f>
        <v>3.97183428860945</v>
      </c>
      <c r="AH394" s="28" t="n">
        <f aca="false">IF($R394&gt;0,Params!$B$9*Params!$B$5/(Params!$B$6*$R394),"n/a")</f>
        <v>7.9436685772189</v>
      </c>
      <c r="AI394" s="28" t="n">
        <f aca="false">IF($R394&gt;0,Params!$B$15*Params!$B$4/(Params!$B$6*$R394),"n/a")</f>
        <v>1.32394476286982</v>
      </c>
      <c r="AJ394" s="29" t="n">
        <f aca="false">MIN(Params!$B$9,AD394*Params!$B$8/Params!$B$4)</f>
        <v>0.022659555626</v>
      </c>
      <c r="AK394" s="28" t="n">
        <f aca="false">IF($R394&gt;0,Params!$B$9*Params!$B$4/(Params!$B$6*$R394*Params!$B$8),"n/a")</f>
        <v>7.9436685772189</v>
      </c>
      <c r="AL394" s="27" t="str">
        <f aca="false">IFERROR(ciq($D394,"IQ_PE_EXCL"),"")</f>
        <v/>
      </c>
      <c r="AM394" s="27" t="str">
        <f aca="false">IFERROR(ciq($D394,"IQ_PE_EXCL_FWD_CIQ"),"")</f>
        <v/>
      </c>
      <c r="AN394" s="27" t="str">
        <f aca="false">IFERROR(ciq($D394,"IQ_PBV"),"")</f>
        <v/>
      </c>
      <c r="AO394" s="27" t="str">
        <f aca="false">IFERROR(ciq($D394,"IQ_TEV_EBITDA"),"")</f>
        <v/>
      </c>
      <c r="AP394" s="24" t="str">
        <f aca="false">IFERROR(ciq($D394,"IQ_RETURN_EQUITY"),"")</f>
        <v/>
      </c>
      <c r="AQ394" s="24" t="str">
        <f aca="false">IFERROR(ciq($D394,"IQ_RETURN_CAPITAL"),"")</f>
        <v/>
      </c>
      <c r="AR394" s="24" t="str">
        <f aca="false">IFERROR(ciq($D394,"IQ_TOTAL_REV_1YR_ANN_GROWTH"),"")</f>
        <v/>
      </c>
      <c r="AS394" s="24" t="str">
        <f aca="false">IFERROR(ciq($D394,"IQ_EPS_1YR_ANN_GROWTH"),"")</f>
        <v/>
      </c>
      <c r="AT394" s="24" t="str">
        <f aca="false">IFERROR(ciq($D394,"IQ_DIVIDEND_YIELD"),"")</f>
        <v/>
      </c>
      <c r="AU394" s="24" t="str">
        <f aca="false">IFERROR(ciq($D394,"IQ_NET_DEBT"),"")</f>
        <v/>
      </c>
    </row>
    <row r="395" customFormat="false" ht="15" hidden="false" customHeight="false" outlineLevel="0" collapsed="false">
      <c r="A395" s="8" t="s">
        <v>1966</v>
      </c>
      <c r="B395" s="6" t="s">
        <v>1967</v>
      </c>
      <c r="C395" s="8" t="s">
        <v>74</v>
      </c>
      <c r="D395" s="8" t="s">
        <v>1968</v>
      </c>
      <c r="E395" s="8" t="s">
        <v>1969</v>
      </c>
      <c r="F395" s="6" t="s">
        <v>900</v>
      </c>
      <c r="G395" s="8" t="s">
        <v>58</v>
      </c>
      <c r="H395" s="8" t="s">
        <v>67</v>
      </c>
      <c r="I395" s="8"/>
      <c r="J395" s="8"/>
      <c r="K395" s="8"/>
      <c r="L395" s="8"/>
      <c r="M395" s="23" t="n">
        <v>36400</v>
      </c>
      <c r="N395" s="23" t="n">
        <v>5301.037924</v>
      </c>
      <c r="O395" s="23" t="n">
        <v>5847.1613365</v>
      </c>
      <c r="P395" s="24" t="n">
        <v>22.8603717</v>
      </c>
      <c r="Q395" s="24" t="n">
        <v>27.2497247958333</v>
      </c>
      <c r="R395" s="24" t="n">
        <v>22.8603717</v>
      </c>
      <c r="S395" s="25" t="n">
        <v>0.00431243315511885</v>
      </c>
      <c r="T395" s="26" t="n">
        <v>0.638923948128042</v>
      </c>
      <c r="U395" s="23" t="n">
        <v>0</v>
      </c>
      <c r="V395" s="26" t="n">
        <v>-0.06</v>
      </c>
      <c r="W395" s="26" t="n">
        <v>-0.128284594951089</v>
      </c>
      <c r="X395" s="26" t="n">
        <v>-0.283357618132498</v>
      </c>
      <c r="Y395" s="26" t="n">
        <v>-0.468531532943292</v>
      </c>
      <c r="Z395" s="26" t="n">
        <v>-0.198219736841701</v>
      </c>
      <c r="AA395" s="26" t="n">
        <v>-0.306618730206051</v>
      </c>
      <c r="AB395" s="26" t="n">
        <v>-0.488007524872595</v>
      </c>
      <c r="AC395" s="27" t="n">
        <v>0.380474089646643</v>
      </c>
      <c r="AD395" s="28" t="n">
        <f aca="false">Params!$B$6*Params!$B$7*$R395</f>
        <v>13.71622302</v>
      </c>
      <c r="AE395" s="29" t="n">
        <f aca="false">MIN(Params!$B$9,AD395/Params!$B$4)</f>
        <v>0.02743244604</v>
      </c>
      <c r="AF395" s="29" t="n">
        <f aca="false">MIN(Params!$B$9,AD395/Params!$B$5)</f>
        <v>0.01371622302</v>
      </c>
      <c r="AG395" s="28" t="n">
        <f aca="false">IF($R395&gt;0,Params!$B$9*Params!$B$4/(Params!$B$6*$R395),"n/a")</f>
        <v>6.56157309988096</v>
      </c>
      <c r="AH395" s="28" t="n">
        <f aca="false">IF($R395&gt;0,Params!$B$9*Params!$B$5/(Params!$B$6*$R395),"n/a")</f>
        <v>13.1231461997619</v>
      </c>
      <c r="AI395" s="28" t="n">
        <f aca="false">IF($R395&gt;0,Params!$B$15*Params!$B$4/(Params!$B$6*$R395),"n/a")</f>
        <v>2.18719103329365</v>
      </c>
      <c r="AJ395" s="29" t="n">
        <f aca="false">MIN(Params!$B$9,AD395*Params!$B$8/Params!$B$4)</f>
        <v>0.01371622302</v>
      </c>
      <c r="AK395" s="28" t="n">
        <f aca="false">IF($R395&gt;0,Params!$B$9*Params!$B$4/(Params!$B$6*$R395*Params!$B$8),"n/a")</f>
        <v>13.1231461997619</v>
      </c>
      <c r="AL395" s="27" t="str">
        <f aca="false">IFERROR(ciq($D395,"IQ_PE_EXCL"),"")</f>
        <v/>
      </c>
      <c r="AM395" s="27" t="str">
        <f aca="false">IFERROR(ciq($D395,"IQ_PE_EXCL_FWD_CIQ"),"")</f>
        <v/>
      </c>
      <c r="AN395" s="27" t="str">
        <f aca="false">IFERROR(ciq($D395,"IQ_PBV"),"")</f>
        <v/>
      </c>
      <c r="AO395" s="27" t="str">
        <f aca="false">IFERROR(ciq($D395,"IQ_TEV_EBITDA"),"")</f>
        <v/>
      </c>
      <c r="AP395" s="24" t="str">
        <f aca="false">IFERROR(ciq($D395,"IQ_RETURN_EQUITY"),"")</f>
        <v/>
      </c>
      <c r="AQ395" s="24" t="str">
        <f aca="false">IFERROR(ciq($D395,"IQ_RETURN_CAPITAL"),"")</f>
        <v/>
      </c>
      <c r="AR395" s="24" t="str">
        <f aca="false">IFERROR(ciq($D395,"IQ_TOTAL_REV_1YR_ANN_GROWTH"),"")</f>
        <v/>
      </c>
      <c r="AS395" s="24" t="str">
        <f aca="false">IFERROR(ciq($D395,"IQ_EPS_1YR_ANN_GROWTH"),"")</f>
        <v/>
      </c>
      <c r="AT395" s="24" t="str">
        <f aca="false">IFERROR(ciq($D395,"IQ_DIVIDEND_YIELD"),"")</f>
        <v/>
      </c>
      <c r="AU395" s="24" t="str">
        <f aca="false">IFERROR(ciq($D395,"IQ_NET_DEBT"),"")</f>
        <v/>
      </c>
    </row>
    <row r="396" customFormat="false" ht="15" hidden="false" customHeight="false" outlineLevel="0" collapsed="false">
      <c r="A396" s="8" t="s">
        <v>1970</v>
      </c>
      <c r="B396" s="6" t="s">
        <v>1971</v>
      </c>
      <c r="C396" s="8" t="s">
        <v>72</v>
      </c>
      <c r="D396" s="8" t="s">
        <v>1972</v>
      </c>
      <c r="E396" s="8" t="s">
        <v>1973</v>
      </c>
      <c r="F396" s="6" t="s">
        <v>852</v>
      </c>
      <c r="G396" s="8" t="s">
        <v>58</v>
      </c>
      <c r="H396" s="8" t="s">
        <v>67</v>
      </c>
      <c r="I396" s="8"/>
      <c r="J396" s="8"/>
      <c r="K396" s="8"/>
      <c r="L396" s="8"/>
      <c r="M396" s="23" t="n">
        <v>10100</v>
      </c>
      <c r="N396" s="23" t="n">
        <v>5294.270722</v>
      </c>
      <c r="O396" s="23" t="n">
        <v>4795.24639256</v>
      </c>
      <c r="P396" s="24" t="n">
        <v>81.2939845675</v>
      </c>
      <c r="Q396" s="24" t="n">
        <v>31.3155776258333</v>
      </c>
      <c r="R396" s="24" t="n">
        <v>31.3155776258333</v>
      </c>
      <c r="S396" s="25" t="n">
        <v>0.0153550864389477</v>
      </c>
      <c r="T396" s="26" t="n">
        <v>0.855721787514563</v>
      </c>
      <c r="U396" s="23" t="n">
        <v>1</v>
      </c>
      <c r="V396" s="26" t="n">
        <v>-0.06</v>
      </c>
      <c r="W396" s="26" t="n">
        <v>0.240700121483272</v>
      </c>
      <c r="X396" s="26" t="n">
        <v>0.156472665962098</v>
      </c>
      <c r="Y396" s="26" t="n">
        <v>-0.0786087031251354</v>
      </c>
      <c r="Z396" s="26" t="n">
        <v>-0.28070904455165</v>
      </c>
      <c r="AA396" s="26" t="n">
        <v>-0.213896918344217</v>
      </c>
      <c r="AB396" s="26" t="n">
        <v>-0.356149161919855</v>
      </c>
      <c r="AC396" s="27" t="n">
        <v>2.22986167522702</v>
      </c>
      <c r="AD396" s="28" t="n">
        <f aca="false">Params!$B$6*Params!$B$7*$R396</f>
        <v>18.7893465755</v>
      </c>
      <c r="AE396" s="29" t="n">
        <f aca="false">MIN(Params!$B$9,AD396/Params!$B$4)</f>
        <v>0.037578693151</v>
      </c>
      <c r="AF396" s="29" t="n">
        <f aca="false">MIN(Params!$B$9,AD396/Params!$B$5)</f>
        <v>0.0187893465755</v>
      </c>
      <c r="AG396" s="28" t="n">
        <f aca="false">IF($R396&gt;0,Params!$B$9*Params!$B$4/(Params!$B$6*$R396),"n/a")</f>
        <v>4.7899483698573</v>
      </c>
      <c r="AH396" s="28" t="n">
        <f aca="false">IF($R396&gt;0,Params!$B$9*Params!$B$5/(Params!$B$6*$R396),"n/a")</f>
        <v>9.57989673971459</v>
      </c>
      <c r="AI396" s="28" t="n">
        <f aca="false">IF($R396&gt;0,Params!$B$15*Params!$B$4/(Params!$B$6*$R396),"n/a")</f>
        <v>1.5966494566191</v>
      </c>
      <c r="AJ396" s="29" t="n">
        <f aca="false">MIN(Params!$B$9,AD396*Params!$B$8/Params!$B$4)</f>
        <v>0.0187893465755</v>
      </c>
      <c r="AK396" s="28" t="n">
        <f aca="false">IF($R396&gt;0,Params!$B$9*Params!$B$4/(Params!$B$6*$R396*Params!$B$8),"n/a")</f>
        <v>9.57989673971459</v>
      </c>
      <c r="AL396" s="27" t="str">
        <f aca="false">IFERROR(ciq($D396,"IQ_PE_EXCL"),"")</f>
        <v/>
      </c>
      <c r="AM396" s="27" t="str">
        <f aca="false">IFERROR(ciq($D396,"IQ_PE_EXCL_FWD_CIQ"),"")</f>
        <v/>
      </c>
      <c r="AN396" s="27" t="str">
        <f aca="false">IFERROR(ciq($D396,"IQ_PBV"),"")</f>
        <v/>
      </c>
      <c r="AO396" s="27" t="str">
        <f aca="false">IFERROR(ciq($D396,"IQ_TEV_EBITDA"),"")</f>
        <v/>
      </c>
      <c r="AP396" s="24" t="str">
        <f aca="false">IFERROR(ciq($D396,"IQ_RETURN_EQUITY"),"")</f>
        <v/>
      </c>
      <c r="AQ396" s="24" t="str">
        <f aca="false">IFERROR(ciq($D396,"IQ_RETURN_CAPITAL"),"")</f>
        <v/>
      </c>
      <c r="AR396" s="24" t="str">
        <f aca="false">IFERROR(ciq($D396,"IQ_TOTAL_REV_1YR_ANN_GROWTH"),"")</f>
        <v/>
      </c>
      <c r="AS396" s="24" t="str">
        <f aca="false">IFERROR(ciq($D396,"IQ_EPS_1YR_ANN_GROWTH"),"")</f>
        <v/>
      </c>
      <c r="AT396" s="24" t="str">
        <f aca="false">IFERROR(ciq($D396,"IQ_DIVIDEND_YIELD"),"")</f>
        <v/>
      </c>
      <c r="AU396" s="24" t="str">
        <f aca="false">IFERROR(ciq($D396,"IQ_NET_DEBT"),"")</f>
        <v/>
      </c>
    </row>
    <row r="397" customFormat="false" ht="15" hidden="false" customHeight="false" outlineLevel="0" collapsed="false">
      <c r="A397" s="8" t="s">
        <v>1974</v>
      </c>
      <c r="B397" s="6" t="s">
        <v>1975</v>
      </c>
      <c r="C397" s="8" t="s">
        <v>72</v>
      </c>
      <c r="D397" s="8" t="s">
        <v>1976</v>
      </c>
      <c r="E397" s="8" t="s">
        <v>1977</v>
      </c>
      <c r="F397" s="8"/>
      <c r="G397" s="8" t="s">
        <v>58</v>
      </c>
      <c r="H397" s="8" t="s">
        <v>67</v>
      </c>
      <c r="I397" s="8"/>
      <c r="J397" s="8"/>
      <c r="K397" s="8"/>
      <c r="L397" s="8"/>
      <c r="M397" s="23" t="n">
        <v>10670</v>
      </c>
      <c r="N397" s="23" t="n">
        <v>5293.1754139</v>
      </c>
      <c r="O397" s="23" t="n">
        <v>4919.379005805</v>
      </c>
      <c r="P397" s="24" t="n">
        <v>18.891867375</v>
      </c>
      <c r="Q397" s="24" t="n">
        <v>20.5289754708333</v>
      </c>
      <c r="R397" s="24" t="n">
        <v>18.891867375</v>
      </c>
      <c r="S397" s="25" t="n">
        <v>0.00356909905637919</v>
      </c>
      <c r="T397" s="26" t="n">
        <v>0.569710777381301</v>
      </c>
      <c r="U397" s="23" t="n">
        <v>0</v>
      </c>
      <c r="V397" s="26" t="n">
        <v>-0.06</v>
      </c>
      <c r="W397" s="26" t="n">
        <v>0.0854175767384731</v>
      </c>
      <c r="X397" s="26" t="n">
        <v>0.172414883093953</v>
      </c>
      <c r="Y397" s="26" t="n">
        <v>0.18451635749216</v>
      </c>
      <c r="Z397" s="26" t="n">
        <v>0.295061411916843</v>
      </c>
      <c r="AA397" s="26" t="n">
        <v>0.130629067233645</v>
      </c>
      <c r="AB397" s="26" t="n">
        <v>-0.345645390794085</v>
      </c>
      <c r="AC397" s="27" t="n">
        <v>0.410345816467424</v>
      </c>
      <c r="AD397" s="28" t="n">
        <f aca="false">Params!$B$6*Params!$B$7*$R397</f>
        <v>11.335120425</v>
      </c>
      <c r="AE397" s="29" t="n">
        <f aca="false">MIN(Params!$B$9,AD397/Params!$B$4)</f>
        <v>0.02267024085</v>
      </c>
      <c r="AF397" s="29" t="n">
        <f aca="false">MIN(Params!$B$9,AD397/Params!$B$5)</f>
        <v>0.011335120425</v>
      </c>
      <c r="AG397" s="28" t="n">
        <f aca="false">IF($R397&gt;0,Params!$B$9*Params!$B$4/(Params!$B$6*$R397),"n/a")</f>
        <v>7.93992446710155</v>
      </c>
      <c r="AH397" s="28" t="n">
        <f aca="false">IF($R397&gt;0,Params!$B$9*Params!$B$5/(Params!$B$6*$R397),"n/a")</f>
        <v>15.8798489342031</v>
      </c>
      <c r="AI397" s="28" t="n">
        <f aca="false">IF($R397&gt;0,Params!$B$15*Params!$B$4/(Params!$B$6*$R397),"n/a")</f>
        <v>2.64664148903385</v>
      </c>
      <c r="AJ397" s="29" t="n">
        <f aca="false">MIN(Params!$B$9,AD397*Params!$B$8/Params!$B$4)</f>
        <v>0.011335120425</v>
      </c>
      <c r="AK397" s="28" t="n">
        <f aca="false">IF($R397&gt;0,Params!$B$9*Params!$B$4/(Params!$B$6*$R397*Params!$B$8),"n/a")</f>
        <v>15.8798489342031</v>
      </c>
      <c r="AL397" s="27" t="str">
        <f aca="false">IFERROR(ciq($D397,"IQ_PE_EXCL"),"")</f>
        <v/>
      </c>
      <c r="AM397" s="27" t="str">
        <f aca="false">IFERROR(ciq($D397,"IQ_PE_EXCL_FWD_CIQ"),"")</f>
        <v/>
      </c>
      <c r="AN397" s="27" t="str">
        <f aca="false">IFERROR(ciq($D397,"IQ_PBV"),"")</f>
        <v/>
      </c>
      <c r="AO397" s="27" t="str">
        <f aca="false">IFERROR(ciq($D397,"IQ_TEV_EBITDA"),"")</f>
        <v/>
      </c>
      <c r="AP397" s="24" t="str">
        <f aca="false">IFERROR(ciq($D397,"IQ_RETURN_EQUITY"),"")</f>
        <v/>
      </c>
      <c r="AQ397" s="24" t="str">
        <f aca="false">IFERROR(ciq($D397,"IQ_RETURN_CAPITAL"),"")</f>
        <v/>
      </c>
      <c r="AR397" s="24" t="str">
        <f aca="false">IFERROR(ciq($D397,"IQ_TOTAL_REV_1YR_ANN_GROWTH"),"")</f>
        <v/>
      </c>
      <c r="AS397" s="24" t="str">
        <f aca="false">IFERROR(ciq($D397,"IQ_EPS_1YR_ANN_GROWTH"),"")</f>
        <v/>
      </c>
      <c r="AT397" s="24" t="str">
        <f aca="false">IFERROR(ciq($D397,"IQ_DIVIDEND_YIELD"),"")</f>
        <v/>
      </c>
      <c r="AU397" s="24" t="str">
        <f aca="false">IFERROR(ciq($D397,"IQ_NET_DEBT"),"")</f>
        <v/>
      </c>
    </row>
    <row r="398" customFormat="false" ht="15" hidden="false" customHeight="false" outlineLevel="0" collapsed="false">
      <c r="A398" s="8" t="s">
        <v>407</v>
      </c>
      <c r="B398" s="6" t="s">
        <v>408</v>
      </c>
      <c r="C398" s="8" t="s">
        <v>73</v>
      </c>
      <c r="D398" s="8" t="s">
        <v>1978</v>
      </c>
      <c r="E398" s="8" t="s">
        <v>1979</v>
      </c>
      <c r="F398" s="6" t="s">
        <v>1980</v>
      </c>
      <c r="G398" s="8" t="s">
        <v>58</v>
      </c>
      <c r="H398" s="8" t="s">
        <v>67</v>
      </c>
      <c r="I398" s="8" t="s">
        <v>508</v>
      </c>
      <c r="J398" s="8"/>
      <c r="K398" s="8"/>
      <c r="L398" s="6" t="s">
        <v>317</v>
      </c>
      <c r="M398" s="23" t="n">
        <v>5400</v>
      </c>
      <c r="N398" s="23" t="n">
        <v>5254.25346</v>
      </c>
      <c r="O398" s="23" t="n">
        <v>4634.689406175</v>
      </c>
      <c r="P398" s="24" t="n">
        <v>396.454343836</v>
      </c>
      <c r="Q398" s="24" t="n">
        <v>154.168105602167</v>
      </c>
      <c r="R398" s="24" t="n">
        <v>154.168105602167</v>
      </c>
      <c r="S398" s="25" t="n">
        <v>0.0754539815892323</v>
      </c>
      <c r="T398" s="26" t="n">
        <v>0.739546704132484</v>
      </c>
      <c r="U398" s="23" t="n">
        <v>1</v>
      </c>
      <c r="V398" s="26" t="n">
        <v>-0.06</v>
      </c>
      <c r="W398" s="26" t="n">
        <v>0.398963743220463</v>
      </c>
      <c r="X398" s="26" t="n">
        <v>0.209040260035375</v>
      </c>
      <c r="Y398" s="26" t="n">
        <v>-0.335265511126405</v>
      </c>
      <c r="Z398" s="26" t="n">
        <v>-0.308045452930013</v>
      </c>
      <c r="AA398" s="26" t="n">
        <v>-0.466934610136921</v>
      </c>
      <c r="AB398" s="26" t="n">
        <v>-0.478998784827452</v>
      </c>
      <c r="AC398" s="27" t="n">
        <v>3.35989614966446</v>
      </c>
      <c r="AD398" s="28" t="n">
        <f aca="false">Params!$B$6*Params!$B$7*$R398</f>
        <v>92.5008633613</v>
      </c>
      <c r="AE398" s="29" t="n">
        <f aca="false">MIN(Params!$B$9,AD398/Params!$B$4)</f>
        <v>0.06</v>
      </c>
      <c r="AF398" s="29" t="n">
        <f aca="false">MIN(Params!$B$9,AD398/Params!$B$5)</f>
        <v>0.06</v>
      </c>
      <c r="AG398" s="28" t="n">
        <f aca="false">IF($R398&gt;0,Params!$B$9*Params!$B$4/(Params!$B$6*$R398),"n/a")</f>
        <v>0.972963891682482</v>
      </c>
      <c r="AH398" s="28" t="n">
        <f aca="false">IF($R398&gt;0,Params!$B$9*Params!$B$5/(Params!$B$6*$R398),"n/a")</f>
        <v>1.94592778336496</v>
      </c>
      <c r="AI398" s="28" t="n">
        <f aca="false">IF($R398&gt;0,Params!$B$15*Params!$B$4/(Params!$B$6*$R398),"n/a")</f>
        <v>0.324321297227494</v>
      </c>
      <c r="AJ398" s="29" t="n">
        <f aca="false">MIN(Params!$B$9,AD398*Params!$B$8/Params!$B$4)</f>
        <v>0.06</v>
      </c>
      <c r="AK398" s="28" t="n">
        <f aca="false">IF($R398&gt;0,Params!$B$9*Params!$B$4/(Params!$B$6*$R398*Params!$B$8),"n/a")</f>
        <v>1.94592778336496</v>
      </c>
      <c r="AL398" s="27" t="str">
        <f aca="false">IFERROR(ciq($D398,"IQ_PE_EXCL"),"")</f>
        <v/>
      </c>
      <c r="AM398" s="27" t="str">
        <f aca="false">IFERROR(ciq($D398,"IQ_PE_EXCL_FWD_CIQ"),"")</f>
        <v/>
      </c>
      <c r="AN398" s="27" t="str">
        <f aca="false">IFERROR(ciq($D398,"IQ_PBV"),"")</f>
        <v/>
      </c>
      <c r="AO398" s="27" t="str">
        <f aca="false">IFERROR(ciq($D398,"IQ_TEV_EBITDA"),"")</f>
        <v/>
      </c>
      <c r="AP398" s="24" t="str">
        <f aca="false">IFERROR(ciq($D398,"IQ_RETURN_EQUITY"),"")</f>
        <v/>
      </c>
      <c r="AQ398" s="24" t="str">
        <f aca="false">IFERROR(ciq($D398,"IQ_RETURN_CAPITAL"),"")</f>
        <v/>
      </c>
      <c r="AR398" s="24" t="str">
        <f aca="false">IFERROR(ciq($D398,"IQ_TOTAL_REV_1YR_ANN_GROWTH"),"")</f>
        <v/>
      </c>
      <c r="AS398" s="24" t="str">
        <f aca="false">IFERROR(ciq($D398,"IQ_EPS_1YR_ANN_GROWTH"),"")</f>
        <v/>
      </c>
      <c r="AT398" s="24" t="str">
        <f aca="false">IFERROR(ciq($D398,"IQ_DIVIDEND_YIELD"),"")</f>
        <v/>
      </c>
      <c r="AU398" s="24" t="str">
        <f aca="false">IFERROR(ciq($D398,"IQ_NET_DEBT"),"")</f>
        <v/>
      </c>
    </row>
    <row r="399" customFormat="false" ht="15" hidden="false" customHeight="false" outlineLevel="0" collapsed="false">
      <c r="A399" s="8" t="s">
        <v>336</v>
      </c>
      <c r="B399" s="6" t="s">
        <v>337</v>
      </c>
      <c r="C399" s="8" t="s">
        <v>72</v>
      </c>
      <c r="D399" s="8" t="s">
        <v>1981</v>
      </c>
      <c r="E399" s="8" t="s">
        <v>1982</v>
      </c>
      <c r="F399" s="8"/>
      <c r="G399" s="8" t="s">
        <v>58</v>
      </c>
      <c r="H399" s="8" t="s">
        <v>67</v>
      </c>
      <c r="I399" s="8" t="s">
        <v>508</v>
      </c>
      <c r="J399" s="6" t="s">
        <v>239</v>
      </c>
      <c r="K399" s="6" t="s">
        <v>338</v>
      </c>
      <c r="L399" s="6" t="s">
        <v>339</v>
      </c>
      <c r="M399" s="23" t="n">
        <v>6190</v>
      </c>
      <c r="N399" s="23" t="n">
        <v>5231.5116165</v>
      </c>
      <c r="O399" s="23" t="n">
        <v>6526.712190375</v>
      </c>
      <c r="P399" s="24" t="n">
        <v>516.904253375</v>
      </c>
      <c r="Q399" s="24" t="n">
        <v>516.904253375</v>
      </c>
      <c r="R399" s="24" t="n">
        <v>516.904253375</v>
      </c>
      <c r="S399" s="25" t="n">
        <v>0.0988059075974719</v>
      </c>
      <c r="T399" s="26" t="n">
        <v>0.906847153604178</v>
      </c>
      <c r="U399" s="23" t="n">
        <v>1</v>
      </c>
      <c r="V399" s="26" t="n">
        <v>-0.06</v>
      </c>
      <c r="W399" s="26"/>
      <c r="X399" s="26"/>
      <c r="Y399" s="26"/>
      <c r="Z399" s="26"/>
      <c r="AA399" s="26"/>
      <c r="AB399" s="26" t="n">
        <v>-0.381640441547109</v>
      </c>
      <c r="AC399" s="27" t="n">
        <v>1</v>
      </c>
      <c r="AD399" s="28" t="n">
        <f aca="false">Params!$B$6*Params!$B$7*$R399</f>
        <v>310.142552025</v>
      </c>
      <c r="AE399" s="29" t="n">
        <f aca="false">MIN(Params!$B$9,AD399/Params!$B$4)</f>
        <v>0.06</v>
      </c>
      <c r="AF399" s="29" t="n">
        <f aca="false">MIN(Params!$B$9,AD399/Params!$B$5)</f>
        <v>0.06</v>
      </c>
      <c r="AG399" s="28" t="n">
        <f aca="false">IF($R399&gt;0,Params!$B$9*Params!$B$4/(Params!$B$6*$R399),"n/a")</f>
        <v>0.290189138550537</v>
      </c>
      <c r="AH399" s="28" t="n">
        <f aca="false">IF($R399&gt;0,Params!$B$9*Params!$B$5/(Params!$B$6*$R399),"n/a")</f>
        <v>0.580378277101075</v>
      </c>
      <c r="AI399" s="28" t="n">
        <f aca="false">IF($R399&gt;0,Params!$B$15*Params!$B$4/(Params!$B$6*$R399),"n/a")</f>
        <v>0.0967297128501791</v>
      </c>
      <c r="AJ399" s="29" t="n">
        <f aca="false">MIN(Params!$B$9,AD399*Params!$B$8/Params!$B$4)</f>
        <v>0.06</v>
      </c>
      <c r="AK399" s="28" t="n">
        <f aca="false">IF($R399&gt;0,Params!$B$9*Params!$B$4/(Params!$B$6*$R399*Params!$B$8),"n/a")</f>
        <v>0.580378277101075</v>
      </c>
      <c r="AL399" s="27" t="str">
        <f aca="false">IFERROR(ciq($D399,"IQ_PE_EXCL"),"")</f>
        <v/>
      </c>
      <c r="AM399" s="27" t="str">
        <f aca="false">IFERROR(ciq($D399,"IQ_PE_EXCL_FWD_CIQ"),"")</f>
        <v/>
      </c>
      <c r="AN399" s="27" t="str">
        <f aca="false">IFERROR(ciq($D399,"IQ_PBV"),"")</f>
        <v/>
      </c>
      <c r="AO399" s="27" t="str">
        <f aca="false">IFERROR(ciq($D399,"IQ_TEV_EBITDA"),"")</f>
        <v/>
      </c>
      <c r="AP399" s="24" t="str">
        <f aca="false">IFERROR(ciq($D399,"IQ_RETURN_EQUITY"),"")</f>
        <v/>
      </c>
      <c r="AQ399" s="24" t="str">
        <f aca="false">IFERROR(ciq($D399,"IQ_RETURN_CAPITAL"),"")</f>
        <v/>
      </c>
      <c r="AR399" s="24" t="str">
        <f aca="false">IFERROR(ciq($D399,"IQ_TOTAL_REV_1YR_ANN_GROWTH"),"")</f>
        <v/>
      </c>
      <c r="AS399" s="24" t="str">
        <f aca="false">IFERROR(ciq($D399,"IQ_EPS_1YR_ANN_GROWTH"),"")</f>
        <v/>
      </c>
      <c r="AT399" s="24" t="str">
        <f aca="false">IFERROR(ciq($D399,"IQ_DIVIDEND_YIELD"),"")</f>
        <v/>
      </c>
      <c r="AU399" s="24" t="str">
        <f aca="false">IFERROR(ciq($D399,"IQ_NET_DEBT"),"")</f>
        <v/>
      </c>
    </row>
    <row r="400" customFormat="false" ht="15" hidden="false" customHeight="false" outlineLevel="0" collapsed="false">
      <c r="A400" s="8" t="s">
        <v>1983</v>
      </c>
      <c r="B400" s="6" t="s">
        <v>1984</v>
      </c>
      <c r="C400" s="8" t="s">
        <v>74</v>
      </c>
      <c r="D400" s="8" t="s">
        <v>1985</v>
      </c>
      <c r="E400" s="8" t="s">
        <v>1986</v>
      </c>
      <c r="F400" s="8" t="s">
        <v>587</v>
      </c>
      <c r="G400" s="8" t="s">
        <v>58</v>
      </c>
      <c r="H400" s="8" t="s">
        <v>67</v>
      </c>
      <c r="I400" s="8"/>
      <c r="J400" s="8"/>
      <c r="K400" s="8"/>
      <c r="L400" s="8"/>
      <c r="M400" s="23" t="n">
        <v>12500</v>
      </c>
      <c r="N400" s="23" t="n">
        <v>5205.337875</v>
      </c>
      <c r="O400" s="23" t="n">
        <v>5124.342817665</v>
      </c>
      <c r="P400" s="24" t="n">
        <v>30.5767730975</v>
      </c>
      <c r="Q400" s="24" t="n">
        <v>22.9563440175</v>
      </c>
      <c r="R400" s="24" t="n">
        <v>22.9563440175</v>
      </c>
      <c r="S400" s="25" t="n">
        <v>0.00587411880492004</v>
      </c>
      <c r="T400" s="26" t="n">
        <v>0.725121838762871</v>
      </c>
      <c r="U400" s="23" t="n">
        <v>0</v>
      </c>
      <c r="V400" s="26" t="n">
        <v>-0.06</v>
      </c>
      <c r="W400" s="26" t="n">
        <v>0.103156949353993</v>
      </c>
      <c r="X400" s="26" t="n">
        <v>-0.109204721917776</v>
      </c>
      <c r="Y400" s="26" t="n">
        <v>-0.29065071134587</v>
      </c>
      <c r="Z400" s="26" t="n">
        <v>-0.208348480778752</v>
      </c>
      <c r="AA400" s="26" t="n">
        <v>-0.0859640238148237</v>
      </c>
      <c r="AB400" s="26" t="n">
        <v>-0.417323364381645</v>
      </c>
      <c r="AC400" s="27" t="n">
        <v>0.739716379517834</v>
      </c>
      <c r="AD400" s="28" t="n">
        <f aca="false">Params!$B$6*Params!$B$7*$R400</f>
        <v>13.7738064105</v>
      </c>
      <c r="AE400" s="29" t="n">
        <f aca="false">MIN(Params!$B$9,AD400/Params!$B$4)</f>
        <v>0.027547612821</v>
      </c>
      <c r="AF400" s="29" t="n">
        <f aca="false">MIN(Params!$B$9,AD400/Params!$B$5)</f>
        <v>0.0137738064105</v>
      </c>
      <c r="AG400" s="28" t="n">
        <f aca="false">IF($R400&gt;0,Params!$B$9*Params!$B$4/(Params!$B$6*$R400),"n/a")</f>
        <v>6.53414149420537</v>
      </c>
      <c r="AH400" s="28" t="n">
        <f aca="false">IF($R400&gt;0,Params!$B$9*Params!$B$5/(Params!$B$6*$R400),"n/a")</f>
        <v>13.0682829884107</v>
      </c>
      <c r="AI400" s="28" t="n">
        <f aca="false">IF($R400&gt;0,Params!$B$15*Params!$B$4/(Params!$B$6*$R400),"n/a")</f>
        <v>2.17804716473512</v>
      </c>
      <c r="AJ400" s="29" t="n">
        <f aca="false">MIN(Params!$B$9,AD400*Params!$B$8/Params!$B$4)</f>
        <v>0.0137738064105</v>
      </c>
      <c r="AK400" s="28" t="n">
        <f aca="false">IF($R400&gt;0,Params!$B$9*Params!$B$4/(Params!$B$6*$R400*Params!$B$8),"n/a")</f>
        <v>13.0682829884107</v>
      </c>
      <c r="AL400" s="27" t="str">
        <f aca="false">IFERROR(ciq($D400,"IQ_PE_EXCL"),"")</f>
        <v/>
      </c>
      <c r="AM400" s="27" t="str">
        <f aca="false">IFERROR(ciq($D400,"IQ_PE_EXCL_FWD_CIQ"),"")</f>
        <v/>
      </c>
      <c r="AN400" s="27" t="str">
        <f aca="false">IFERROR(ciq($D400,"IQ_PBV"),"")</f>
        <v/>
      </c>
      <c r="AO400" s="27" t="str">
        <f aca="false">IFERROR(ciq($D400,"IQ_TEV_EBITDA"),"")</f>
        <v/>
      </c>
      <c r="AP400" s="24" t="str">
        <f aca="false">IFERROR(ciq($D400,"IQ_RETURN_EQUITY"),"")</f>
        <v/>
      </c>
      <c r="AQ400" s="24" t="str">
        <f aca="false">IFERROR(ciq($D400,"IQ_RETURN_CAPITAL"),"")</f>
        <v/>
      </c>
      <c r="AR400" s="24" t="str">
        <f aca="false">IFERROR(ciq($D400,"IQ_TOTAL_REV_1YR_ANN_GROWTH"),"")</f>
        <v/>
      </c>
      <c r="AS400" s="24" t="str">
        <f aca="false">IFERROR(ciq($D400,"IQ_EPS_1YR_ANN_GROWTH"),"")</f>
        <v/>
      </c>
      <c r="AT400" s="24" t="str">
        <f aca="false">IFERROR(ciq($D400,"IQ_DIVIDEND_YIELD"),"")</f>
        <v/>
      </c>
      <c r="AU400" s="24" t="str">
        <f aca="false">IFERROR(ciq($D400,"IQ_NET_DEBT"),"")</f>
        <v/>
      </c>
    </row>
    <row r="401" customFormat="false" ht="15" hidden="false" customHeight="false" outlineLevel="0" collapsed="false">
      <c r="A401" s="8" t="s">
        <v>1987</v>
      </c>
      <c r="B401" s="6" t="s">
        <v>1988</v>
      </c>
      <c r="C401" s="8" t="s">
        <v>73</v>
      </c>
      <c r="D401" s="8" t="s">
        <v>1989</v>
      </c>
      <c r="E401" s="8" t="s">
        <v>1990</v>
      </c>
      <c r="F401" s="8"/>
      <c r="G401" s="8" t="s">
        <v>58</v>
      </c>
      <c r="H401" s="8" t="s">
        <v>67</v>
      </c>
      <c r="I401" s="8"/>
      <c r="J401" s="8"/>
      <c r="K401" s="8"/>
      <c r="L401" s="8" t="s">
        <v>115</v>
      </c>
      <c r="M401" s="23" t="n">
        <v>16770</v>
      </c>
      <c r="N401" s="23" t="n">
        <v>5179.9176</v>
      </c>
      <c r="O401" s="23" t="n">
        <v>5817.13704</v>
      </c>
      <c r="P401" s="24" t="n">
        <v>35.954979325</v>
      </c>
      <c r="Q401" s="24" t="n">
        <v>24.5465026266667</v>
      </c>
      <c r="R401" s="24" t="n">
        <v>24.5465026266667</v>
      </c>
      <c r="S401" s="25" t="n">
        <v>0.00694122611622239</v>
      </c>
      <c r="T401" s="26" t="n">
        <v>1.08748344193122</v>
      </c>
      <c r="U401" s="23" t="n">
        <v>2</v>
      </c>
      <c r="V401" s="26" t="n">
        <v>-0.04</v>
      </c>
      <c r="W401" s="26" t="n">
        <v>-0.0499021091525506</v>
      </c>
      <c r="X401" s="26" t="n">
        <v>-0.381367420098636</v>
      </c>
      <c r="Y401" s="26" t="n">
        <v>-0.713896397790153</v>
      </c>
      <c r="Z401" s="26" t="n">
        <v>-0.718309960035473</v>
      </c>
      <c r="AA401" s="26" t="n">
        <v>-0.528959371478313</v>
      </c>
      <c r="AB401" s="26" t="n">
        <v>-0.803732866483657</v>
      </c>
      <c r="AC401" s="27" t="n">
        <v>0.679866090692655</v>
      </c>
      <c r="AD401" s="28" t="n">
        <f aca="false">Params!$B$6*Params!$B$7*$R401</f>
        <v>14.727901576</v>
      </c>
      <c r="AE401" s="29" t="n">
        <f aca="false">MIN(Params!$B$9,AD401/Params!$B$4)</f>
        <v>0.029455803152</v>
      </c>
      <c r="AF401" s="29" t="n">
        <f aca="false">MIN(Params!$B$9,AD401/Params!$B$5)</f>
        <v>0.014727901576</v>
      </c>
      <c r="AG401" s="28" t="n">
        <f aca="false">IF($R401&gt;0,Params!$B$9*Params!$B$4/(Params!$B$6*$R401),"n/a")</f>
        <v>6.11085018022258</v>
      </c>
      <c r="AH401" s="28" t="n">
        <f aca="false">IF($R401&gt;0,Params!$B$9*Params!$B$5/(Params!$B$6*$R401),"n/a")</f>
        <v>12.2217003604452</v>
      </c>
      <c r="AI401" s="28" t="n">
        <f aca="false">IF($R401&gt;0,Params!$B$15*Params!$B$4/(Params!$B$6*$R401),"n/a")</f>
        <v>2.03695006007419</v>
      </c>
      <c r="AJ401" s="29" t="n">
        <f aca="false">MIN(Params!$B$9,AD401*Params!$B$8/Params!$B$4)</f>
        <v>0.014727901576</v>
      </c>
      <c r="AK401" s="28" t="n">
        <f aca="false">IF($R401&gt;0,Params!$B$9*Params!$B$4/(Params!$B$6*$R401*Params!$B$8),"n/a")</f>
        <v>12.2217003604452</v>
      </c>
      <c r="AL401" s="27" t="str">
        <f aca="false">IFERROR(ciq($D401,"IQ_PE_EXCL"),"")</f>
        <v/>
      </c>
      <c r="AM401" s="27" t="str">
        <f aca="false">IFERROR(ciq($D401,"IQ_PE_EXCL_FWD_CIQ"),"")</f>
        <v/>
      </c>
      <c r="AN401" s="27" t="str">
        <f aca="false">IFERROR(ciq($D401,"IQ_PBV"),"")</f>
        <v/>
      </c>
      <c r="AO401" s="27" t="str">
        <f aca="false">IFERROR(ciq($D401,"IQ_TEV_EBITDA"),"")</f>
        <v/>
      </c>
      <c r="AP401" s="24" t="str">
        <f aca="false">IFERROR(ciq($D401,"IQ_RETURN_EQUITY"),"")</f>
        <v/>
      </c>
      <c r="AQ401" s="24" t="str">
        <f aca="false">IFERROR(ciq($D401,"IQ_RETURN_CAPITAL"),"")</f>
        <v/>
      </c>
      <c r="AR401" s="24" t="str">
        <f aca="false">IFERROR(ciq($D401,"IQ_TOTAL_REV_1YR_ANN_GROWTH"),"")</f>
        <v/>
      </c>
      <c r="AS401" s="24" t="str">
        <f aca="false">IFERROR(ciq($D401,"IQ_EPS_1YR_ANN_GROWTH"),"")</f>
        <v/>
      </c>
      <c r="AT401" s="24" t="str">
        <f aca="false">IFERROR(ciq($D401,"IQ_DIVIDEND_YIELD"),"")</f>
        <v/>
      </c>
      <c r="AU401" s="24" t="str">
        <f aca="false">IFERROR(ciq($D401,"IQ_NET_DEBT"),"")</f>
        <v/>
      </c>
    </row>
    <row r="402" customFormat="false" ht="15" hidden="false" customHeight="false" outlineLevel="0" collapsed="false">
      <c r="A402" s="8" t="s">
        <v>1991</v>
      </c>
      <c r="B402" s="6" t="s">
        <v>1992</v>
      </c>
      <c r="C402" s="8" t="s">
        <v>73</v>
      </c>
      <c r="D402" s="8" t="s">
        <v>1993</v>
      </c>
      <c r="E402" s="8" t="s">
        <v>1994</v>
      </c>
      <c r="F402" s="8"/>
      <c r="G402" s="8" t="s">
        <v>58</v>
      </c>
      <c r="H402" s="8" t="s">
        <v>67</v>
      </c>
      <c r="I402" s="8"/>
      <c r="J402" s="8"/>
      <c r="K402" s="8"/>
      <c r="L402" s="8" t="s">
        <v>241</v>
      </c>
      <c r="M402" s="23" t="n">
        <v>42050</v>
      </c>
      <c r="N402" s="23" t="n">
        <v>5171.823692</v>
      </c>
      <c r="O402" s="23" t="n">
        <v>5903.084087475</v>
      </c>
      <c r="P402" s="24" t="n">
        <v>63.5385688875</v>
      </c>
      <c r="Q402" s="24" t="n">
        <v>122.195485454167</v>
      </c>
      <c r="R402" s="24" t="n">
        <v>63.5385688875</v>
      </c>
      <c r="S402" s="25" t="n">
        <v>0.0122855249272678</v>
      </c>
      <c r="T402" s="26" t="n">
        <v>1.09585137517575</v>
      </c>
      <c r="U402" s="23" t="n">
        <v>1</v>
      </c>
      <c r="V402" s="26" t="n">
        <v>-0.06</v>
      </c>
      <c r="W402" s="26" t="n">
        <v>-0.0287823160667431</v>
      </c>
      <c r="X402" s="26" t="n">
        <v>-0.572732438042012</v>
      </c>
      <c r="Y402" s="26" t="n">
        <v>-0.613455233464626</v>
      </c>
      <c r="Z402" s="26" t="n">
        <v>-0.285912858936148</v>
      </c>
      <c r="AA402" s="26" t="n">
        <v>0.402596617117364</v>
      </c>
      <c r="AB402" s="26" t="n">
        <v>-0.683856951254652</v>
      </c>
      <c r="AC402" s="27" t="n">
        <v>0.278034051123192</v>
      </c>
      <c r="AD402" s="28" t="n">
        <f aca="false">Params!$B$6*Params!$B$7*$R402</f>
        <v>38.1231413325</v>
      </c>
      <c r="AE402" s="29" t="n">
        <f aca="false">MIN(Params!$B$9,AD402/Params!$B$4)</f>
        <v>0.06</v>
      </c>
      <c r="AF402" s="29" t="n">
        <f aca="false">MIN(Params!$B$9,AD402/Params!$B$5)</f>
        <v>0.0381231413325</v>
      </c>
      <c r="AG402" s="28" t="n">
        <f aca="false">IF($R402&gt;0,Params!$B$9*Params!$B$4/(Params!$B$6*$R402),"n/a")</f>
        <v>2.36077082984961</v>
      </c>
      <c r="AH402" s="28" t="n">
        <f aca="false">IF($R402&gt;0,Params!$B$9*Params!$B$5/(Params!$B$6*$R402),"n/a")</f>
        <v>4.72154165969922</v>
      </c>
      <c r="AI402" s="28" t="n">
        <f aca="false">IF($R402&gt;0,Params!$B$15*Params!$B$4/(Params!$B$6*$R402),"n/a")</f>
        <v>0.78692360994987</v>
      </c>
      <c r="AJ402" s="29" t="n">
        <f aca="false">MIN(Params!$B$9,AD402*Params!$B$8/Params!$B$4)</f>
        <v>0.0381231413325</v>
      </c>
      <c r="AK402" s="28" t="n">
        <f aca="false">IF($R402&gt;0,Params!$B$9*Params!$B$4/(Params!$B$6*$R402*Params!$B$8),"n/a")</f>
        <v>4.72154165969922</v>
      </c>
      <c r="AL402" s="27" t="str">
        <f aca="false">IFERROR(ciq($D402,"IQ_PE_EXCL"),"")</f>
        <v/>
      </c>
      <c r="AM402" s="27" t="str">
        <f aca="false">IFERROR(ciq($D402,"IQ_PE_EXCL_FWD_CIQ"),"")</f>
        <v/>
      </c>
      <c r="AN402" s="27" t="str">
        <f aca="false">IFERROR(ciq($D402,"IQ_PBV"),"")</f>
        <v/>
      </c>
      <c r="AO402" s="27" t="str">
        <f aca="false">IFERROR(ciq($D402,"IQ_TEV_EBITDA"),"")</f>
        <v/>
      </c>
      <c r="AP402" s="24" t="str">
        <f aca="false">IFERROR(ciq($D402,"IQ_RETURN_EQUITY"),"")</f>
        <v/>
      </c>
      <c r="AQ402" s="24" t="str">
        <f aca="false">IFERROR(ciq($D402,"IQ_RETURN_CAPITAL"),"")</f>
        <v/>
      </c>
      <c r="AR402" s="24" t="str">
        <f aca="false">IFERROR(ciq($D402,"IQ_TOTAL_REV_1YR_ANN_GROWTH"),"")</f>
        <v/>
      </c>
      <c r="AS402" s="24" t="str">
        <f aca="false">IFERROR(ciq($D402,"IQ_EPS_1YR_ANN_GROWTH"),"")</f>
        <v/>
      </c>
      <c r="AT402" s="24" t="str">
        <f aca="false">IFERROR(ciq($D402,"IQ_DIVIDEND_YIELD"),"")</f>
        <v/>
      </c>
      <c r="AU402" s="24" t="str">
        <f aca="false">IFERROR(ciq($D402,"IQ_NET_DEBT"),"")</f>
        <v/>
      </c>
    </row>
    <row r="403" customFormat="false" ht="15" hidden="false" customHeight="false" outlineLevel="0" collapsed="false">
      <c r="A403" s="8" t="s">
        <v>1995</v>
      </c>
      <c r="B403" s="6" t="s">
        <v>1996</v>
      </c>
      <c r="C403" s="8" t="s">
        <v>73</v>
      </c>
      <c r="D403" s="8" t="s">
        <v>1997</v>
      </c>
      <c r="E403" s="8" t="s">
        <v>1998</v>
      </c>
      <c r="F403" s="6" t="s">
        <v>775</v>
      </c>
      <c r="G403" s="8" t="s">
        <v>58</v>
      </c>
      <c r="H403" s="8" t="s">
        <v>67</v>
      </c>
      <c r="I403" s="8"/>
      <c r="J403" s="8"/>
      <c r="K403" s="8"/>
      <c r="L403" s="8"/>
      <c r="M403" s="23" t="n">
        <v>29200</v>
      </c>
      <c r="N403" s="23" t="n">
        <v>5110</v>
      </c>
      <c r="O403" s="23" t="n">
        <v>5369.4375</v>
      </c>
      <c r="P403" s="24" t="n">
        <v>29.15456965</v>
      </c>
      <c r="Q403" s="24" t="n">
        <v>41.8868643625</v>
      </c>
      <c r="R403" s="24" t="n">
        <v>29.15456965</v>
      </c>
      <c r="S403" s="25" t="n">
        <v>0.00570539523483366</v>
      </c>
      <c r="T403" s="26" t="n">
        <v>1.00337597455046</v>
      </c>
      <c r="U403" s="23" t="n">
        <v>0</v>
      </c>
      <c r="V403" s="26" t="n">
        <v>-0.06</v>
      </c>
      <c r="W403" s="26" t="n">
        <v>-0.0266758185567626</v>
      </c>
      <c r="X403" s="26" t="n">
        <v>-0.0329361093180975</v>
      </c>
      <c r="Y403" s="26" t="n">
        <v>-0.0233809904257288</v>
      </c>
      <c r="Z403" s="26" t="n">
        <v>0.36763479829378</v>
      </c>
      <c r="AA403" s="26" t="n">
        <v>0.555996867696946</v>
      </c>
      <c r="AB403" s="26" t="n">
        <v>-0.23948278615414</v>
      </c>
      <c r="AC403" s="27" t="n">
        <v>0.583022672044768</v>
      </c>
      <c r="AD403" s="28" t="n">
        <f aca="false">Params!$B$6*Params!$B$7*$R403</f>
        <v>17.49274179</v>
      </c>
      <c r="AE403" s="29" t="n">
        <f aca="false">MIN(Params!$B$9,AD403/Params!$B$4)</f>
        <v>0.03498548358</v>
      </c>
      <c r="AF403" s="29" t="n">
        <f aca="false">MIN(Params!$B$9,AD403/Params!$B$5)</f>
        <v>0.01749274179</v>
      </c>
      <c r="AG403" s="28" t="n">
        <f aca="false">IF($R403&gt;0,Params!$B$9*Params!$B$4/(Params!$B$6*$R403),"n/a")</f>
        <v>5.14499105288628</v>
      </c>
      <c r="AH403" s="28" t="n">
        <f aca="false">IF($R403&gt;0,Params!$B$9*Params!$B$5/(Params!$B$6*$R403),"n/a")</f>
        <v>10.2899821057726</v>
      </c>
      <c r="AI403" s="28" t="n">
        <f aca="false">IF($R403&gt;0,Params!$B$15*Params!$B$4/(Params!$B$6*$R403),"n/a")</f>
        <v>1.71499701762876</v>
      </c>
      <c r="AJ403" s="29" t="n">
        <f aca="false">MIN(Params!$B$9,AD403*Params!$B$8/Params!$B$4)</f>
        <v>0.01749274179</v>
      </c>
      <c r="AK403" s="28" t="n">
        <f aca="false">IF($R403&gt;0,Params!$B$9*Params!$B$4/(Params!$B$6*$R403*Params!$B$8),"n/a")</f>
        <v>10.2899821057726</v>
      </c>
      <c r="AL403" s="27" t="str">
        <f aca="false">IFERROR(ciq($D403,"IQ_PE_EXCL"),"")</f>
        <v/>
      </c>
      <c r="AM403" s="27" t="str">
        <f aca="false">IFERROR(ciq($D403,"IQ_PE_EXCL_FWD_CIQ"),"")</f>
        <v/>
      </c>
      <c r="AN403" s="27" t="str">
        <f aca="false">IFERROR(ciq($D403,"IQ_PBV"),"")</f>
        <v/>
      </c>
      <c r="AO403" s="27" t="str">
        <f aca="false">IFERROR(ciq($D403,"IQ_TEV_EBITDA"),"")</f>
        <v/>
      </c>
      <c r="AP403" s="24" t="str">
        <f aca="false">IFERROR(ciq($D403,"IQ_RETURN_EQUITY"),"")</f>
        <v/>
      </c>
      <c r="AQ403" s="24" t="str">
        <f aca="false">IFERROR(ciq($D403,"IQ_RETURN_CAPITAL"),"")</f>
        <v/>
      </c>
      <c r="AR403" s="24" t="str">
        <f aca="false">IFERROR(ciq($D403,"IQ_TOTAL_REV_1YR_ANN_GROWTH"),"")</f>
        <v/>
      </c>
      <c r="AS403" s="24" t="str">
        <f aca="false">IFERROR(ciq($D403,"IQ_EPS_1YR_ANN_GROWTH"),"")</f>
        <v/>
      </c>
      <c r="AT403" s="24" t="str">
        <f aca="false">IFERROR(ciq($D403,"IQ_DIVIDEND_YIELD"),"")</f>
        <v/>
      </c>
      <c r="AU403" s="24" t="str">
        <f aca="false">IFERROR(ciq($D403,"IQ_NET_DEBT"),"")</f>
        <v/>
      </c>
    </row>
    <row r="404" customFormat="false" ht="15" hidden="false" customHeight="false" outlineLevel="0" collapsed="false">
      <c r="A404" s="8" t="s">
        <v>1999</v>
      </c>
      <c r="B404" s="6" t="s">
        <v>2000</v>
      </c>
      <c r="C404" s="8" t="s">
        <v>73</v>
      </c>
      <c r="D404" s="8" t="s">
        <v>2001</v>
      </c>
      <c r="E404" s="8" t="s">
        <v>2002</v>
      </c>
      <c r="F404" s="6" t="s">
        <v>619</v>
      </c>
      <c r="G404" s="8" t="s">
        <v>58</v>
      </c>
      <c r="H404" s="8" t="s">
        <v>67</v>
      </c>
      <c r="I404" s="8"/>
      <c r="J404" s="8"/>
      <c r="K404" s="8"/>
      <c r="L404" s="8"/>
      <c r="M404" s="23" t="n">
        <v>17030</v>
      </c>
      <c r="N404" s="23" t="n">
        <v>5107.2108282</v>
      </c>
      <c r="O404" s="23" t="n">
        <v>5227.46869914</v>
      </c>
      <c r="P404" s="24" t="n">
        <v>19.177675915</v>
      </c>
      <c r="Q404" s="24" t="n">
        <v>22.9027534658333</v>
      </c>
      <c r="R404" s="24" t="n">
        <v>19.177675915</v>
      </c>
      <c r="S404" s="25" t="n">
        <v>0.00375501943430815</v>
      </c>
      <c r="T404" s="26" t="n">
        <v>0.668849044913242</v>
      </c>
      <c r="U404" s="23" t="n">
        <v>0</v>
      </c>
      <c r="V404" s="26" t="n">
        <v>-0.06</v>
      </c>
      <c r="W404" s="26" t="n">
        <v>-0.00243235681863085</v>
      </c>
      <c r="X404" s="26" t="n">
        <v>-0.0480477092591755</v>
      </c>
      <c r="Y404" s="26" t="n">
        <v>-0.362128976012345</v>
      </c>
      <c r="Z404" s="26" t="n">
        <v>-0.328182182221739</v>
      </c>
      <c r="AA404" s="26" t="n">
        <v>-0.448089058237336</v>
      </c>
      <c r="AB404" s="26" t="n">
        <v>-0.499927056769839</v>
      </c>
      <c r="AC404" s="27" t="n">
        <v>0.422422383041383</v>
      </c>
      <c r="AD404" s="28" t="n">
        <f aca="false">Params!$B$6*Params!$B$7*$R404</f>
        <v>11.506605549</v>
      </c>
      <c r="AE404" s="29" t="n">
        <f aca="false">MIN(Params!$B$9,AD404/Params!$B$4)</f>
        <v>0.023013211098</v>
      </c>
      <c r="AF404" s="29" t="n">
        <f aca="false">MIN(Params!$B$9,AD404/Params!$B$5)</f>
        <v>0.011506605549</v>
      </c>
      <c r="AG404" s="28" t="n">
        <f aca="false">IF($R404&gt;0,Params!$B$9*Params!$B$4/(Params!$B$6*$R404),"n/a")</f>
        <v>7.82159426746158</v>
      </c>
      <c r="AH404" s="28" t="n">
        <f aca="false">IF($R404&gt;0,Params!$B$9*Params!$B$5/(Params!$B$6*$R404),"n/a")</f>
        <v>15.6431885349232</v>
      </c>
      <c r="AI404" s="28" t="n">
        <f aca="false">IF($R404&gt;0,Params!$B$15*Params!$B$4/(Params!$B$6*$R404),"n/a")</f>
        <v>2.60719808915386</v>
      </c>
      <c r="AJ404" s="29" t="n">
        <f aca="false">MIN(Params!$B$9,AD404*Params!$B$8/Params!$B$4)</f>
        <v>0.011506605549</v>
      </c>
      <c r="AK404" s="28" t="n">
        <f aca="false">IF($R404&gt;0,Params!$B$9*Params!$B$4/(Params!$B$6*$R404*Params!$B$8),"n/a")</f>
        <v>15.6431885349232</v>
      </c>
      <c r="AL404" s="27" t="str">
        <f aca="false">IFERROR(ciq($D404,"IQ_PE_EXCL"),"")</f>
        <v/>
      </c>
      <c r="AM404" s="27" t="str">
        <f aca="false">IFERROR(ciq($D404,"IQ_PE_EXCL_FWD_CIQ"),"")</f>
        <v/>
      </c>
      <c r="AN404" s="27" t="str">
        <f aca="false">IFERROR(ciq($D404,"IQ_PBV"),"")</f>
        <v/>
      </c>
      <c r="AO404" s="27" t="str">
        <f aca="false">IFERROR(ciq($D404,"IQ_TEV_EBITDA"),"")</f>
        <v/>
      </c>
      <c r="AP404" s="24" t="str">
        <f aca="false">IFERROR(ciq($D404,"IQ_RETURN_EQUITY"),"")</f>
        <v/>
      </c>
      <c r="AQ404" s="24" t="str">
        <f aca="false">IFERROR(ciq($D404,"IQ_RETURN_CAPITAL"),"")</f>
        <v/>
      </c>
      <c r="AR404" s="24" t="str">
        <f aca="false">IFERROR(ciq($D404,"IQ_TOTAL_REV_1YR_ANN_GROWTH"),"")</f>
        <v/>
      </c>
      <c r="AS404" s="24" t="str">
        <f aca="false">IFERROR(ciq($D404,"IQ_EPS_1YR_ANN_GROWTH"),"")</f>
        <v/>
      </c>
      <c r="AT404" s="24" t="str">
        <f aca="false">IFERROR(ciq($D404,"IQ_DIVIDEND_YIELD"),"")</f>
        <v/>
      </c>
      <c r="AU404" s="24" t="str">
        <f aca="false">IFERROR(ciq($D404,"IQ_NET_DEBT"),"")</f>
        <v/>
      </c>
    </row>
    <row r="405" customFormat="false" ht="15" hidden="false" customHeight="false" outlineLevel="0" collapsed="false">
      <c r="A405" s="8" t="s">
        <v>2003</v>
      </c>
      <c r="B405" s="6" t="s">
        <v>2004</v>
      </c>
      <c r="C405" s="8" t="s">
        <v>73</v>
      </c>
      <c r="D405" s="8" t="s">
        <v>2005</v>
      </c>
      <c r="E405" s="8" t="s">
        <v>2006</v>
      </c>
      <c r="F405" s="6" t="s">
        <v>507</v>
      </c>
      <c r="G405" s="8" t="s">
        <v>58</v>
      </c>
      <c r="H405" s="8" t="s">
        <v>67</v>
      </c>
      <c r="I405" s="8"/>
      <c r="J405" s="8"/>
      <c r="K405" s="8"/>
      <c r="L405" s="8" t="s">
        <v>241</v>
      </c>
      <c r="M405" s="23" t="n">
        <v>8360</v>
      </c>
      <c r="N405" s="23" t="n">
        <v>5079.2462424</v>
      </c>
      <c r="O405" s="23" t="n">
        <v>5743.31515902</v>
      </c>
      <c r="P405" s="24" t="n">
        <v>58.0511634825</v>
      </c>
      <c r="Q405" s="24" t="n">
        <v>92.8959518183333</v>
      </c>
      <c r="R405" s="24" t="n">
        <v>58.0511634825</v>
      </c>
      <c r="S405" s="25" t="n">
        <v>0.011429090205926</v>
      </c>
      <c r="T405" s="26" t="n">
        <v>0.747858218594036</v>
      </c>
      <c r="U405" s="23" t="n">
        <v>0</v>
      </c>
      <c r="V405" s="26" t="n">
        <v>-0.06</v>
      </c>
      <c r="W405" s="26" t="n">
        <v>-0.169753699399858</v>
      </c>
      <c r="X405" s="26" t="n">
        <v>-0.371061429132921</v>
      </c>
      <c r="Y405" s="26" t="n">
        <v>-0.286333860365041</v>
      </c>
      <c r="Z405" s="26" t="n">
        <v>0.133960742330057</v>
      </c>
      <c r="AA405" s="26" t="n">
        <v>0.295724577259102</v>
      </c>
      <c r="AB405" s="26" t="n">
        <v>-0.556561909648213</v>
      </c>
      <c r="AC405" s="27" t="n">
        <v>0.0656732899493804</v>
      </c>
      <c r="AD405" s="28" t="n">
        <f aca="false">Params!$B$6*Params!$B$7*$R405</f>
        <v>34.8306980895</v>
      </c>
      <c r="AE405" s="29" t="n">
        <f aca="false">MIN(Params!$B$9,AD405/Params!$B$4)</f>
        <v>0.06</v>
      </c>
      <c r="AF405" s="29" t="n">
        <f aca="false">MIN(Params!$B$9,AD405/Params!$B$5)</f>
        <v>0.0348306980895</v>
      </c>
      <c r="AG405" s="28" t="n">
        <f aca="false">IF($R405&gt;0,Params!$B$9*Params!$B$4/(Params!$B$6*$R405),"n/a")</f>
        <v>2.5839275391133</v>
      </c>
      <c r="AH405" s="28" t="n">
        <f aca="false">IF($R405&gt;0,Params!$B$9*Params!$B$5/(Params!$B$6*$R405),"n/a")</f>
        <v>5.1678550782266</v>
      </c>
      <c r="AI405" s="28" t="n">
        <f aca="false">IF($R405&gt;0,Params!$B$15*Params!$B$4/(Params!$B$6*$R405),"n/a")</f>
        <v>0.861309179704433</v>
      </c>
      <c r="AJ405" s="29" t="n">
        <f aca="false">MIN(Params!$B$9,AD405*Params!$B$8/Params!$B$4)</f>
        <v>0.0348306980895</v>
      </c>
      <c r="AK405" s="28" t="n">
        <f aca="false">IF($R405&gt;0,Params!$B$9*Params!$B$4/(Params!$B$6*$R405*Params!$B$8),"n/a")</f>
        <v>5.1678550782266</v>
      </c>
      <c r="AL405" s="27" t="str">
        <f aca="false">IFERROR(ciq($D405,"IQ_PE_EXCL"),"")</f>
        <v/>
      </c>
      <c r="AM405" s="27" t="str">
        <f aca="false">IFERROR(ciq($D405,"IQ_PE_EXCL_FWD_CIQ"),"")</f>
        <v/>
      </c>
      <c r="AN405" s="27" t="str">
        <f aca="false">IFERROR(ciq($D405,"IQ_PBV"),"")</f>
        <v/>
      </c>
      <c r="AO405" s="27" t="str">
        <f aca="false">IFERROR(ciq($D405,"IQ_TEV_EBITDA"),"")</f>
        <v/>
      </c>
      <c r="AP405" s="24" t="str">
        <f aca="false">IFERROR(ciq($D405,"IQ_RETURN_EQUITY"),"")</f>
        <v/>
      </c>
      <c r="AQ405" s="24" t="str">
        <f aca="false">IFERROR(ciq($D405,"IQ_RETURN_CAPITAL"),"")</f>
        <v/>
      </c>
      <c r="AR405" s="24" t="str">
        <f aca="false">IFERROR(ciq($D405,"IQ_TOTAL_REV_1YR_ANN_GROWTH"),"")</f>
        <v/>
      </c>
      <c r="AS405" s="24" t="str">
        <f aca="false">IFERROR(ciq($D405,"IQ_EPS_1YR_ANN_GROWTH"),"")</f>
        <v/>
      </c>
      <c r="AT405" s="24" t="str">
        <f aca="false">IFERROR(ciq($D405,"IQ_DIVIDEND_YIELD"),"")</f>
        <v/>
      </c>
      <c r="AU405" s="24" t="str">
        <f aca="false">IFERROR(ciq($D405,"IQ_NET_DEBT"),"")</f>
        <v/>
      </c>
    </row>
    <row r="406" customFormat="false" ht="15" hidden="false" customHeight="false" outlineLevel="0" collapsed="false">
      <c r="A406" s="8" t="s">
        <v>2007</v>
      </c>
      <c r="B406" s="6" t="s">
        <v>2008</v>
      </c>
      <c r="C406" s="8" t="s">
        <v>72</v>
      </c>
      <c r="D406" s="8" t="s">
        <v>2009</v>
      </c>
      <c r="E406" s="8" t="s">
        <v>2010</v>
      </c>
      <c r="F406" s="6" t="s">
        <v>619</v>
      </c>
      <c r="G406" s="8" t="s">
        <v>58</v>
      </c>
      <c r="H406" s="8" t="s">
        <v>67</v>
      </c>
      <c r="I406" s="8"/>
      <c r="J406" s="8"/>
      <c r="K406" s="8"/>
      <c r="L406" s="8"/>
      <c r="M406" s="23" t="n">
        <v>10420</v>
      </c>
      <c r="N406" s="23" t="n">
        <v>5069.1954778</v>
      </c>
      <c r="O406" s="23" t="n">
        <v>4753.708599935</v>
      </c>
      <c r="P406" s="24" t="n">
        <v>33.181863595</v>
      </c>
      <c r="Q406" s="24" t="n">
        <v>22.3954034</v>
      </c>
      <c r="R406" s="24" t="n">
        <v>22.3954034</v>
      </c>
      <c r="S406" s="25" t="n">
        <v>0.00654578497521282</v>
      </c>
      <c r="T406" s="26" t="n">
        <v>0.676365344033954</v>
      </c>
      <c r="U406" s="23" t="n">
        <v>0</v>
      </c>
      <c r="V406" s="26" t="n">
        <v>-0.06</v>
      </c>
      <c r="W406" s="26" t="n">
        <v>0.170695411249946</v>
      </c>
      <c r="X406" s="26" t="n">
        <v>0.0144513479724888</v>
      </c>
      <c r="Y406" s="26" t="n">
        <v>0.0226799343298181</v>
      </c>
      <c r="Z406" s="26" t="n">
        <v>0.0969470899928004</v>
      </c>
      <c r="AA406" s="26" t="n">
        <v>-0.0507378000774469</v>
      </c>
      <c r="AB406" s="26" t="n">
        <v>-0.454555413945878</v>
      </c>
      <c r="AC406" s="27" t="n">
        <v>0.282058727540642</v>
      </c>
      <c r="AD406" s="28" t="n">
        <f aca="false">Params!$B$6*Params!$B$7*$R406</f>
        <v>13.43724204</v>
      </c>
      <c r="AE406" s="29" t="n">
        <f aca="false">MIN(Params!$B$9,AD406/Params!$B$4)</f>
        <v>0.02687448408</v>
      </c>
      <c r="AF406" s="29" t="n">
        <f aca="false">MIN(Params!$B$9,AD406/Params!$B$5)</f>
        <v>0.01343724204</v>
      </c>
      <c r="AG406" s="28" t="n">
        <f aca="false">IF($R406&gt;0,Params!$B$9*Params!$B$4/(Params!$B$6*$R406),"n/a")</f>
        <v>6.69780299648454</v>
      </c>
      <c r="AH406" s="28" t="n">
        <f aca="false">IF($R406&gt;0,Params!$B$9*Params!$B$5/(Params!$B$6*$R406),"n/a")</f>
        <v>13.3956059929691</v>
      </c>
      <c r="AI406" s="28" t="n">
        <f aca="false">IF($R406&gt;0,Params!$B$15*Params!$B$4/(Params!$B$6*$R406),"n/a")</f>
        <v>2.23260099882818</v>
      </c>
      <c r="AJ406" s="29" t="n">
        <f aca="false">MIN(Params!$B$9,AD406*Params!$B$8/Params!$B$4)</f>
        <v>0.01343724204</v>
      </c>
      <c r="AK406" s="28" t="n">
        <f aca="false">IF($R406&gt;0,Params!$B$9*Params!$B$4/(Params!$B$6*$R406*Params!$B$8),"n/a")</f>
        <v>13.3956059929691</v>
      </c>
      <c r="AL406" s="27" t="str">
        <f aca="false">IFERROR(ciq($D406,"IQ_PE_EXCL"),"")</f>
        <v/>
      </c>
      <c r="AM406" s="27" t="str">
        <f aca="false">IFERROR(ciq($D406,"IQ_PE_EXCL_FWD_CIQ"),"")</f>
        <v/>
      </c>
      <c r="AN406" s="27" t="str">
        <f aca="false">IFERROR(ciq($D406,"IQ_PBV"),"")</f>
        <v/>
      </c>
      <c r="AO406" s="27" t="str">
        <f aca="false">IFERROR(ciq($D406,"IQ_TEV_EBITDA"),"")</f>
        <v/>
      </c>
      <c r="AP406" s="24" t="str">
        <f aca="false">IFERROR(ciq($D406,"IQ_RETURN_EQUITY"),"")</f>
        <v/>
      </c>
      <c r="AQ406" s="24" t="str">
        <f aca="false">IFERROR(ciq($D406,"IQ_RETURN_CAPITAL"),"")</f>
        <v/>
      </c>
      <c r="AR406" s="24" t="str">
        <f aca="false">IFERROR(ciq($D406,"IQ_TOTAL_REV_1YR_ANN_GROWTH"),"")</f>
        <v/>
      </c>
      <c r="AS406" s="24" t="str">
        <f aca="false">IFERROR(ciq($D406,"IQ_EPS_1YR_ANN_GROWTH"),"")</f>
        <v/>
      </c>
      <c r="AT406" s="24" t="str">
        <f aca="false">IFERROR(ciq($D406,"IQ_DIVIDEND_YIELD"),"")</f>
        <v/>
      </c>
      <c r="AU406" s="24" t="str">
        <f aca="false">IFERROR(ciq($D406,"IQ_NET_DEBT"),"")</f>
        <v/>
      </c>
    </row>
    <row r="407" customFormat="false" ht="15" hidden="false" customHeight="false" outlineLevel="0" collapsed="false">
      <c r="A407" s="8" t="s">
        <v>2011</v>
      </c>
      <c r="B407" s="6" t="s">
        <v>2012</v>
      </c>
      <c r="C407" s="8" t="s">
        <v>73</v>
      </c>
      <c r="D407" s="8" t="s">
        <v>2013</v>
      </c>
      <c r="E407" s="8" t="s">
        <v>2014</v>
      </c>
      <c r="F407" s="6" t="s">
        <v>533</v>
      </c>
      <c r="G407" s="8" t="s">
        <v>58</v>
      </c>
      <c r="H407" s="8" t="s">
        <v>67</v>
      </c>
      <c r="I407" s="8"/>
      <c r="J407" s="8"/>
      <c r="K407" s="8"/>
      <c r="L407" s="8" t="s">
        <v>241</v>
      </c>
      <c r="M407" s="23" t="n">
        <v>69300</v>
      </c>
      <c r="N407" s="23" t="n">
        <v>5057.858421</v>
      </c>
      <c r="O407" s="23" t="n">
        <v>5295.7894232</v>
      </c>
      <c r="P407" s="24" t="n">
        <v>25.5063908</v>
      </c>
      <c r="Q407" s="24" t="n">
        <v>32.9875360166667</v>
      </c>
      <c r="R407" s="24" t="n">
        <v>25.5063908</v>
      </c>
      <c r="S407" s="25" t="n">
        <v>0.00504292304705458</v>
      </c>
      <c r="T407" s="26" t="n">
        <v>0.604941190558139</v>
      </c>
      <c r="U407" s="23" t="n">
        <v>0</v>
      </c>
      <c r="V407" s="26" t="n">
        <v>-0.06</v>
      </c>
      <c r="W407" s="26" t="n">
        <v>-0.0977933502247107</v>
      </c>
      <c r="X407" s="26" t="n">
        <v>-0.123976488795582</v>
      </c>
      <c r="Y407" s="26" t="n">
        <v>-0.423026525183704</v>
      </c>
      <c r="Z407" s="26" t="n">
        <v>-0.426489027785633</v>
      </c>
      <c r="AA407" s="26" t="n">
        <v>-0.419938647064418</v>
      </c>
      <c r="AB407" s="26" t="n">
        <v>-0.500112042832853</v>
      </c>
      <c r="AC407" s="27" t="n">
        <v>0.633434016601406</v>
      </c>
      <c r="AD407" s="28" t="n">
        <f aca="false">Params!$B$6*Params!$B$7*$R407</f>
        <v>15.30383448</v>
      </c>
      <c r="AE407" s="29" t="n">
        <f aca="false">MIN(Params!$B$9,AD407/Params!$B$4)</f>
        <v>0.03060766896</v>
      </c>
      <c r="AF407" s="29" t="n">
        <f aca="false">MIN(Params!$B$9,AD407/Params!$B$5)</f>
        <v>0.01530383448</v>
      </c>
      <c r="AG407" s="28" t="n">
        <f aca="false">IF($R407&gt;0,Params!$B$9*Params!$B$4/(Params!$B$6*$R407),"n/a")</f>
        <v>5.88087907756828</v>
      </c>
      <c r="AH407" s="28" t="n">
        <f aca="false">IF($R407&gt;0,Params!$B$9*Params!$B$5/(Params!$B$6*$R407),"n/a")</f>
        <v>11.7617581551366</v>
      </c>
      <c r="AI407" s="28" t="n">
        <f aca="false">IF($R407&gt;0,Params!$B$15*Params!$B$4/(Params!$B$6*$R407),"n/a")</f>
        <v>1.96029302585609</v>
      </c>
      <c r="AJ407" s="29" t="n">
        <f aca="false">MIN(Params!$B$9,AD407*Params!$B$8/Params!$B$4)</f>
        <v>0.01530383448</v>
      </c>
      <c r="AK407" s="28" t="n">
        <f aca="false">IF($R407&gt;0,Params!$B$9*Params!$B$4/(Params!$B$6*$R407*Params!$B$8),"n/a")</f>
        <v>11.7617581551366</v>
      </c>
      <c r="AL407" s="27" t="str">
        <f aca="false">IFERROR(ciq($D407,"IQ_PE_EXCL"),"")</f>
        <v/>
      </c>
      <c r="AM407" s="27" t="str">
        <f aca="false">IFERROR(ciq($D407,"IQ_PE_EXCL_FWD_CIQ"),"")</f>
        <v/>
      </c>
      <c r="AN407" s="27" t="str">
        <f aca="false">IFERROR(ciq($D407,"IQ_PBV"),"")</f>
        <v/>
      </c>
      <c r="AO407" s="27" t="str">
        <f aca="false">IFERROR(ciq($D407,"IQ_TEV_EBITDA"),"")</f>
        <v/>
      </c>
      <c r="AP407" s="24" t="str">
        <f aca="false">IFERROR(ciq($D407,"IQ_RETURN_EQUITY"),"")</f>
        <v/>
      </c>
      <c r="AQ407" s="24" t="str">
        <f aca="false">IFERROR(ciq($D407,"IQ_RETURN_CAPITAL"),"")</f>
        <v/>
      </c>
      <c r="AR407" s="24" t="str">
        <f aca="false">IFERROR(ciq($D407,"IQ_TOTAL_REV_1YR_ANN_GROWTH"),"")</f>
        <v/>
      </c>
      <c r="AS407" s="24" t="str">
        <f aca="false">IFERROR(ciq($D407,"IQ_EPS_1YR_ANN_GROWTH"),"")</f>
        <v/>
      </c>
      <c r="AT407" s="24" t="str">
        <f aca="false">IFERROR(ciq($D407,"IQ_DIVIDEND_YIELD"),"")</f>
        <v/>
      </c>
      <c r="AU407" s="24" t="str">
        <f aca="false">IFERROR(ciq($D407,"IQ_NET_DEBT"),"")</f>
        <v/>
      </c>
    </row>
    <row r="408" customFormat="false" ht="15" hidden="false" customHeight="false" outlineLevel="0" collapsed="false">
      <c r="A408" s="8" t="s">
        <v>409</v>
      </c>
      <c r="B408" s="8" t="s">
        <v>410</v>
      </c>
      <c r="C408" s="8" t="s">
        <v>73</v>
      </c>
      <c r="D408" s="8" t="s">
        <v>2015</v>
      </c>
      <c r="E408" s="8" t="s">
        <v>2016</v>
      </c>
      <c r="F408" s="6" t="s">
        <v>523</v>
      </c>
      <c r="G408" s="8" t="s">
        <v>58</v>
      </c>
      <c r="H408" s="8" t="s">
        <v>67</v>
      </c>
      <c r="I408" s="8" t="s">
        <v>508</v>
      </c>
      <c r="J408" s="8"/>
      <c r="K408" s="8"/>
      <c r="L408" s="6" t="s">
        <v>172</v>
      </c>
      <c r="M408" s="23" t="n">
        <v>15880</v>
      </c>
      <c r="N408" s="23" t="n">
        <v>5042.4627872</v>
      </c>
      <c r="O408" s="23" t="n">
        <v>4382.62414288</v>
      </c>
      <c r="P408" s="24" t="n">
        <v>25.216381435</v>
      </c>
      <c r="Q408" s="24" t="n">
        <v>26.903943045</v>
      </c>
      <c r="R408" s="24" t="n">
        <v>25.216381435</v>
      </c>
      <c r="S408" s="25" t="n">
        <v>0.00500080664928462</v>
      </c>
      <c r="T408" s="26" t="n">
        <v>1.25593100501418</v>
      </c>
      <c r="U408" s="23" t="n">
        <v>2</v>
      </c>
      <c r="V408" s="26" t="n">
        <v>-0.04</v>
      </c>
      <c r="W408" s="26" t="n">
        <v>0.456749522318742</v>
      </c>
      <c r="X408" s="26" t="n">
        <v>0.166870917103142</v>
      </c>
      <c r="Y408" s="26" t="n">
        <v>0.0244942724880803</v>
      </c>
      <c r="Z408" s="26" t="n">
        <v>0.591698407723885</v>
      </c>
      <c r="AA408" s="26" t="n">
        <v>1.14266058014098</v>
      </c>
      <c r="AB408" s="26" t="n">
        <v>-0.410687180196233</v>
      </c>
      <c r="AC408" s="27" t="n">
        <v>0.361848106123625</v>
      </c>
      <c r="AD408" s="28" t="n">
        <f aca="false">Params!$B$6*Params!$B$7*$R408</f>
        <v>15.129828861</v>
      </c>
      <c r="AE408" s="29" t="n">
        <f aca="false">MIN(Params!$B$9,AD408/Params!$B$4)</f>
        <v>0.030259657722</v>
      </c>
      <c r="AF408" s="29" t="n">
        <f aca="false">MIN(Params!$B$9,AD408/Params!$B$5)</f>
        <v>0.015129828861</v>
      </c>
      <c r="AG408" s="28" t="n">
        <f aca="false">IF($R408&gt;0,Params!$B$9*Params!$B$4/(Params!$B$6*$R408),"n/a")</f>
        <v>5.94851407949445</v>
      </c>
      <c r="AH408" s="28" t="n">
        <f aca="false">IF($R408&gt;0,Params!$B$9*Params!$B$5/(Params!$B$6*$R408),"n/a")</f>
        <v>11.8970281589889</v>
      </c>
      <c r="AI408" s="28" t="n">
        <f aca="false">IF($R408&gt;0,Params!$B$15*Params!$B$4/(Params!$B$6*$R408),"n/a")</f>
        <v>1.98283802649815</v>
      </c>
      <c r="AJ408" s="29" t="n">
        <f aca="false">MIN(Params!$B$9,AD408*Params!$B$8/Params!$B$4)</f>
        <v>0.015129828861</v>
      </c>
      <c r="AK408" s="28" t="n">
        <f aca="false">IF($R408&gt;0,Params!$B$9*Params!$B$4/(Params!$B$6*$R408*Params!$B$8),"n/a")</f>
        <v>11.8970281589889</v>
      </c>
      <c r="AL408" s="27" t="str">
        <f aca="false">IFERROR(ciq($D408,"IQ_PE_EXCL"),"")</f>
        <v/>
      </c>
      <c r="AM408" s="27" t="str">
        <f aca="false">IFERROR(ciq($D408,"IQ_PE_EXCL_FWD_CIQ"),"")</f>
        <v/>
      </c>
      <c r="AN408" s="27" t="str">
        <f aca="false">IFERROR(ciq($D408,"IQ_PBV"),"")</f>
        <v/>
      </c>
      <c r="AO408" s="27" t="str">
        <f aca="false">IFERROR(ciq($D408,"IQ_TEV_EBITDA"),"")</f>
        <v/>
      </c>
      <c r="AP408" s="24" t="str">
        <f aca="false">IFERROR(ciq($D408,"IQ_RETURN_EQUITY"),"")</f>
        <v/>
      </c>
      <c r="AQ408" s="24" t="str">
        <f aca="false">IFERROR(ciq($D408,"IQ_RETURN_CAPITAL"),"")</f>
        <v/>
      </c>
      <c r="AR408" s="24" t="str">
        <f aca="false">IFERROR(ciq($D408,"IQ_TOTAL_REV_1YR_ANN_GROWTH"),"")</f>
        <v/>
      </c>
      <c r="AS408" s="24" t="str">
        <f aca="false">IFERROR(ciq($D408,"IQ_EPS_1YR_ANN_GROWTH"),"")</f>
        <v/>
      </c>
      <c r="AT408" s="24" t="str">
        <f aca="false">IFERROR(ciq($D408,"IQ_DIVIDEND_YIELD"),"")</f>
        <v/>
      </c>
      <c r="AU408" s="24" t="str">
        <f aca="false">IFERROR(ciq($D408,"IQ_NET_DEBT"),"")</f>
        <v/>
      </c>
    </row>
    <row r="409" customFormat="false" ht="15" hidden="false" customHeight="false" outlineLevel="0" collapsed="false">
      <c r="A409" s="8" t="s">
        <v>2017</v>
      </c>
      <c r="B409" s="6" t="s">
        <v>2018</v>
      </c>
      <c r="C409" s="8" t="s">
        <v>73</v>
      </c>
      <c r="D409" s="8" t="s">
        <v>2019</v>
      </c>
      <c r="E409" s="8" t="s">
        <v>2020</v>
      </c>
      <c r="F409" s="6" t="s">
        <v>1852</v>
      </c>
      <c r="G409" s="8" t="s">
        <v>58</v>
      </c>
      <c r="H409" s="8" t="s">
        <v>67</v>
      </c>
      <c r="I409" s="8"/>
      <c r="J409" s="8"/>
      <c r="K409" s="8"/>
      <c r="L409" s="8" t="s">
        <v>514</v>
      </c>
      <c r="M409" s="23" t="n">
        <v>13490</v>
      </c>
      <c r="N409" s="23" t="n">
        <v>5017.4339072</v>
      </c>
      <c r="O409" s="23" t="n">
        <v>5863.21928192</v>
      </c>
      <c r="P409" s="24" t="n">
        <v>146.4558336125</v>
      </c>
      <c r="Q409" s="24" t="n">
        <v>182.703695909167</v>
      </c>
      <c r="R409" s="24" t="n">
        <v>146.4558336125</v>
      </c>
      <c r="S409" s="25" t="n">
        <v>0.0291893897002483</v>
      </c>
      <c r="T409" s="26" t="n">
        <v>1.28336465244783</v>
      </c>
      <c r="U409" s="23" t="n">
        <v>2</v>
      </c>
      <c r="V409" s="26" t="n">
        <v>-0.04</v>
      </c>
      <c r="W409" s="26" t="n">
        <v>-0.285912612409356</v>
      </c>
      <c r="X409" s="26" t="n">
        <v>-0.0254896481605823</v>
      </c>
      <c r="Y409" s="26" t="n">
        <v>0.217189851406399</v>
      </c>
      <c r="Z409" s="26" t="n">
        <v>1.54438713504262</v>
      </c>
      <c r="AA409" s="26" t="n">
        <v>1.46582624736292</v>
      </c>
      <c r="AB409" s="26" t="n">
        <v>-0.494784014482354</v>
      </c>
      <c r="AC409" s="27" t="n">
        <v>0.827445746866144</v>
      </c>
      <c r="AD409" s="28" t="n">
        <f aca="false">Params!$B$6*Params!$B$7*$R409</f>
        <v>87.8735001675</v>
      </c>
      <c r="AE409" s="29" t="n">
        <f aca="false">MIN(Params!$B$9,AD409/Params!$B$4)</f>
        <v>0.06</v>
      </c>
      <c r="AF409" s="29" t="n">
        <f aca="false">MIN(Params!$B$9,AD409/Params!$B$5)</f>
        <v>0.06</v>
      </c>
      <c r="AG409" s="28" t="n">
        <f aca="false">IF($R409&gt;0,Params!$B$9*Params!$B$4/(Params!$B$6*$R409),"n/a")</f>
        <v>1.02419955764191</v>
      </c>
      <c r="AH409" s="28" t="n">
        <f aca="false">IF($R409&gt;0,Params!$B$9*Params!$B$5/(Params!$B$6*$R409),"n/a")</f>
        <v>2.04839911528382</v>
      </c>
      <c r="AI409" s="28" t="n">
        <f aca="false">IF($R409&gt;0,Params!$B$15*Params!$B$4/(Params!$B$6*$R409),"n/a")</f>
        <v>0.341399852547304</v>
      </c>
      <c r="AJ409" s="29" t="n">
        <f aca="false">MIN(Params!$B$9,AD409*Params!$B$8/Params!$B$4)</f>
        <v>0.06</v>
      </c>
      <c r="AK409" s="28" t="n">
        <f aca="false">IF($R409&gt;0,Params!$B$9*Params!$B$4/(Params!$B$6*$R409*Params!$B$8),"n/a")</f>
        <v>2.04839911528382</v>
      </c>
      <c r="AL409" s="27" t="str">
        <f aca="false">IFERROR(ciq($D409,"IQ_PE_EXCL"),"")</f>
        <v/>
      </c>
      <c r="AM409" s="27" t="str">
        <f aca="false">IFERROR(ciq($D409,"IQ_PE_EXCL_FWD_CIQ"),"")</f>
        <v/>
      </c>
      <c r="AN409" s="27" t="str">
        <f aca="false">IFERROR(ciq($D409,"IQ_PBV"),"")</f>
        <v/>
      </c>
      <c r="AO409" s="27" t="str">
        <f aca="false">IFERROR(ciq($D409,"IQ_TEV_EBITDA"),"")</f>
        <v/>
      </c>
      <c r="AP409" s="24" t="str">
        <f aca="false">IFERROR(ciq($D409,"IQ_RETURN_EQUITY"),"")</f>
        <v/>
      </c>
      <c r="AQ409" s="24" t="str">
        <f aca="false">IFERROR(ciq($D409,"IQ_RETURN_CAPITAL"),"")</f>
        <v/>
      </c>
      <c r="AR409" s="24" t="str">
        <f aca="false">IFERROR(ciq($D409,"IQ_TOTAL_REV_1YR_ANN_GROWTH"),"")</f>
        <v/>
      </c>
      <c r="AS409" s="24" t="str">
        <f aca="false">IFERROR(ciq($D409,"IQ_EPS_1YR_ANN_GROWTH"),"")</f>
        <v/>
      </c>
      <c r="AT409" s="24" t="str">
        <f aca="false">IFERROR(ciq($D409,"IQ_DIVIDEND_YIELD"),"")</f>
        <v/>
      </c>
      <c r="AU409" s="24" t="str">
        <f aca="false">IFERROR(ciq($D409,"IQ_NET_DEBT"),"")</f>
        <v/>
      </c>
    </row>
    <row r="410" customFormat="false" ht="15" hidden="false" customHeight="false" outlineLevel="0" collapsed="false">
      <c r="A410" s="8" t="s">
        <v>2021</v>
      </c>
      <c r="B410" s="6" t="s">
        <v>2022</v>
      </c>
      <c r="C410" s="8" t="s">
        <v>73</v>
      </c>
      <c r="D410" s="8" t="s">
        <v>2023</v>
      </c>
      <c r="E410" s="8" t="s">
        <v>2024</v>
      </c>
      <c r="F410" s="6" t="s">
        <v>513</v>
      </c>
      <c r="G410" s="8" t="s">
        <v>58</v>
      </c>
      <c r="H410" s="8" t="s">
        <v>67</v>
      </c>
      <c r="I410" s="8"/>
      <c r="J410" s="8"/>
      <c r="K410" s="8"/>
      <c r="L410" s="8" t="s">
        <v>514</v>
      </c>
      <c r="M410" s="23" t="n">
        <v>21550</v>
      </c>
      <c r="N410" s="23" t="n">
        <v>4969.258031</v>
      </c>
      <c r="O410" s="23" t="n">
        <v>4544.73812218</v>
      </c>
      <c r="P410" s="24" t="n">
        <v>31.22850878</v>
      </c>
      <c r="Q410" s="24" t="n">
        <v>59.1340382891667</v>
      </c>
      <c r="R410" s="24" t="n">
        <v>31.22850878</v>
      </c>
      <c r="S410" s="25" t="n">
        <v>0.00628434035527748</v>
      </c>
      <c r="T410" s="26" t="n">
        <v>1.17944741551546</v>
      </c>
      <c r="U410" s="23" t="n">
        <v>3</v>
      </c>
      <c r="V410" s="26" t="n">
        <v>-0.04</v>
      </c>
      <c r="W410" s="26" t="n">
        <v>0.290625962170054</v>
      </c>
      <c r="X410" s="26" t="n">
        <v>-0.351810227878852</v>
      </c>
      <c r="Y410" s="26" t="n">
        <v>0.264269983901202</v>
      </c>
      <c r="Z410" s="26" t="n">
        <v>0.382010891639828</v>
      </c>
      <c r="AA410" s="26" t="n">
        <v>0.935853029478867</v>
      </c>
      <c r="AB410" s="26" t="n">
        <v>-0.446653540035476</v>
      </c>
      <c r="AC410" s="27" t="n">
        <v>0.327707323766826</v>
      </c>
      <c r="AD410" s="28" t="n">
        <f aca="false">Params!$B$6*Params!$B$7*$R410</f>
        <v>18.737105268</v>
      </c>
      <c r="AE410" s="29" t="n">
        <f aca="false">MIN(Params!$B$9,AD410/Params!$B$4)</f>
        <v>0.037474210536</v>
      </c>
      <c r="AF410" s="29" t="n">
        <f aca="false">MIN(Params!$B$9,AD410/Params!$B$5)</f>
        <v>0.018737105268</v>
      </c>
      <c r="AG410" s="28" t="n">
        <f aca="false">IF($R410&gt;0,Params!$B$9*Params!$B$4/(Params!$B$6*$R410),"n/a")</f>
        <v>4.80330332315023</v>
      </c>
      <c r="AH410" s="28" t="n">
        <f aca="false">IF($R410&gt;0,Params!$B$9*Params!$B$5/(Params!$B$6*$R410),"n/a")</f>
        <v>9.60660664630045</v>
      </c>
      <c r="AI410" s="28" t="n">
        <f aca="false">IF($R410&gt;0,Params!$B$15*Params!$B$4/(Params!$B$6*$R410),"n/a")</f>
        <v>1.60110110771674</v>
      </c>
      <c r="AJ410" s="29" t="n">
        <f aca="false">MIN(Params!$B$9,AD410*Params!$B$8/Params!$B$4)</f>
        <v>0.018737105268</v>
      </c>
      <c r="AK410" s="28" t="n">
        <f aca="false">IF($R410&gt;0,Params!$B$9*Params!$B$4/(Params!$B$6*$R410*Params!$B$8),"n/a")</f>
        <v>9.60660664630045</v>
      </c>
      <c r="AL410" s="27" t="str">
        <f aca="false">IFERROR(ciq($D410,"IQ_PE_EXCL"),"")</f>
        <v/>
      </c>
      <c r="AM410" s="27" t="str">
        <f aca="false">IFERROR(ciq($D410,"IQ_PE_EXCL_FWD_CIQ"),"")</f>
        <v/>
      </c>
      <c r="AN410" s="27" t="str">
        <f aca="false">IFERROR(ciq($D410,"IQ_PBV"),"")</f>
        <v/>
      </c>
      <c r="AO410" s="27" t="str">
        <f aca="false">IFERROR(ciq($D410,"IQ_TEV_EBITDA"),"")</f>
        <v/>
      </c>
      <c r="AP410" s="24" t="str">
        <f aca="false">IFERROR(ciq($D410,"IQ_RETURN_EQUITY"),"")</f>
        <v/>
      </c>
      <c r="AQ410" s="24" t="str">
        <f aca="false">IFERROR(ciq($D410,"IQ_RETURN_CAPITAL"),"")</f>
        <v/>
      </c>
      <c r="AR410" s="24" t="str">
        <f aca="false">IFERROR(ciq($D410,"IQ_TOTAL_REV_1YR_ANN_GROWTH"),"")</f>
        <v/>
      </c>
      <c r="AS410" s="24" t="str">
        <f aca="false">IFERROR(ciq($D410,"IQ_EPS_1YR_ANN_GROWTH"),"")</f>
        <v/>
      </c>
      <c r="AT410" s="24" t="str">
        <f aca="false">IFERROR(ciq($D410,"IQ_DIVIDEND_YIELD"),"")</f>
        <v/>
      </c>
      <c r="AU410" s="24" t="str">
        <f aca="false">IFERROR(ciq($D410,"IQ_NET_DEBT"),"")</f>
        <v/>
      </c>
    </row>
    <row r="411" customFormat="false" ht="15" hidden="false" customHeight="false" outlineLevel="0" collapsed="false">
      <c r="A411" s="8" t="s">
        <v>2025</v>
      </c>
      <c r="B411" s="6" t="s">
        <v>2026</v>
      </c>
      <c r="C411" s="8" t="s">
        <v>73</v>
      </c>
      <c r="D411" s="8" t="s">
        <v>2027</v>
      </c>
      <c r="E411" s="8" t="s">
        <v>2028</v>
      </c>
      <c r="F411" s="6" t="s">
        <v>900</v>
      </c>
      <c r="G411" s="8" t="s">
        <v>58</v>
      </c>
      <c r="H411" s="8" t="s">
        <v>67</v>
      </c>
      <c r="I411" s="8"/>
      <c r="J411" s="8"/>
      <c r="K411" s="8"/>
      <c r="L411" s="8" t="s">
        <v>241</v>
      </c>
      <c r="M411" s="23" t="n">
        <v>14510</v>
      </c>
      <c r="N411" s="23" t="n">
        <v>4925.9248833</v>
      </c>
      <c r="O411" s="23" t="n">
        <v>5441.093112825</v>
      </c>
      <c r="P411" s="24" t="n">
        <v>39.08859447</v>
      </c>
      <c r="Q411" s="24" t="n">
        <v>44.4220061841667</v>
      </c>
      <c r="R411" s="24" t="n">
        <v>39.08859447</v>
      </c>
      <c r="S411" s="25" t="n">
        <v>0.00793528025620512</v>
      </c>
      <c r="T411" s="26" t="n">
        <v>1.06990117775872</v>
      </c>
      <c r="U411" s="23" t="n">
        <v>0</v>
      </c>
      <c r="V411" s="26" t="n">
        <v>-0.06</v>
      </c>
      <c r="W411" s="26" t="n">
        <v>-0.0822926302720823</v>
      </c>
      <c r="X411" s="26" t="n">
        <v>-0.147363337711869</v>
      </c>
      <c r="Y411" s="26" t="n">
        <v>-0.354915438823736</v>
      </c>
      <c r="Z411" s="26" t="n">
        <v>-0.418303620796457</v>
      </c>
      <c r="AA411" s="26" t="n">
        <v>-0.50296870777053</v>
      </c>
      <c r="AB411" s="26" t="n">
        <v>-0.568002378823661</v>
      </c>
      <c r="AC411" s="27" t="n">
        <v>0.935530990654265</v>
      </c>
      <c r="AD411" s="28" t="n">
        <f aca="false">Params!$B$6*Params!$B$7*$R411</f>
        <v>23.453156682</v>
      </c>
      <c r="AE411" s="29" t="n">
        <f aca="false">MIN(Params!$B$9,AD411/Params!$B$4)</f>
        <v>0.046906313364</v>
      </c>
      <c r="AF411" s="29" t="n">
        <f aca="false">MIN(Params!$B$9,AD411/Params!$B$5)</f>
        <v>0.023453156682</v>
      </c>
      <c r="AG411" s="28" t="n">
        <f aca="false">IF($R411&gt;0,Params!$B$9*Params!$B$4/(Params!$B$6*$R411),"n/a")</f>
        <v>3.83743652167189</v>
      </c>
      <c r="AH411" s="28" t="n">
        <f aca="false">IF($R411&gt;0,Params!$B$9*Params!$B$5/(Params!$B$6*$R411),"n/a")</f>
        <v>7.67487304334379</v>
      </c>
      <c r="AI411" s="28" t="n">
        <f aca="false">IF($R411&gt;0,Params!$B$15*Params!$B$4/(Params!$B$6*$R411),"n/a")</f>
        <v>1.27914550722396</v>
      </c>
      <c r="AJ411" s="29" t="n">
        <f aca="false">MIN(Params!$B$9,AD411*Params!$B$8/Params!$B$4)</f>
        <v>0.023453156682</v>
      </c>
      <c r="AK411" s="28" t="n">
        <f aca="false">IF($R411&gt;0,Params!$B$9*Params!$B$4/(Params!$B$6*$R411*Params!$B$8),"n/a")</f>
        <v>7.67487304334379</v>
      </c>
      <c r="AL411" s="27" t="str">
        <f aca="false">IFERROR(ciq($D411,"IQ_PE_EXCL"),"")</f>
        <v/>
      </c>
      <c r="AM411" s="27" t="str">
        <f aca="false">IFERROR(ciq($D411,"IQ_PE_EXCL_FWD_CIQ"),"")</f>
        <v/>
      </c>
      <c r="AN411" s="27" t="str">
        <f aca="false">IFERROR(ciq($D411,"IQ_PBV"),"")</f>
        <v/>
      </c>
      <c r="AO411" s="27" t="str">
        <f aca="false">IFERROR(ciq($D411,"IQ_TEV_EBITDA"),"")</f>
        <v/>
      </c>
      <c r="AP411" s="24" t="str">
        <f aca="false">IFERROR(ciq($D411,"IQ_RETURN_EQUITY"),"")</f>
        <v/>
      </c>
      <c r="AQ411" s="24" t="str">
        <f aca="false">IFERROR(ciq($D411,"IQ_RETURN_CAPITAL"),"")</f>
        <v/>
      </c>
      <c r="AR411" s="24" t="str">
        <f aca="false">IFERROR(ciq($D411,"IQ_TOTAL_REV_1YR_ANN_GROWTH"),"")</f>
        <v/>
      </c>
      <c r="AS411" s="24" t="str">
        <f aca="false">IFERROR(ciq($D411,"IQ_EPS_1YR_ANN_GROWTH"),"")</f>
        <v/>
      </c>
      <c r="AT411" s="24" t="str">
        <f aca="false">IFERROR(ciq($D411,"IQ_DIVIDEND_YIELD"),"")</f>
        <v/>
      </c>
      <c r="AU411" s="24" t="str">
        <f aca="false">IFERROR(ciq($D411,"IQ_NET_DEBT"),"")</f>
        <v/>
      </c>
    </row>
    <row r="412" customFormat="false" ht="15" hidden="false" customHeight="false" outlineLevel="0" collapsed="false">
      <c r="A412" s="8" t="s">
        <v>2029</v>
      </c>
      <c r="B412" s="6" t="s">
        <v>2030</v>
      </c>
      <c r="C412" s="8" t="s">
        <v>73</v>
      </c>
      <c r="D412" s="8" t="s">
        <v>2031</v>
      </c>
      <c r="E412" s="8" t="s">
        <v>2032</v>
      </c>
      <c r="F412" s="8"/>
      <c r="G412" s="8" t="s">
        <v>58</v>
      </c>
      <c r="H412" s="8" t="s">
        <v>67</v>
      </c>
      <c r="I412" s="8"/>
      <c r="J412" s="8"/>
      <c r="K412" s="8"/>
      <c r="L412" s="8" t="s">
        <v>241</v>
      </c>
      <c r="M412" s="23" t="n">
        <v>7620</v>
      </c>
      <c r="N412" s="23" t="n">
        <v>4916.1196572</v>
      </c>
      <c r="O412" s="23" t="n">
        <v>5385.79618088</v>
      </c>
      <c r="P412" s="24" t="n">
        <v>34.213614735</v>
      </c>
      <c r="Q412" s="24" t="n">
        <v>49.0246407741667</v>
      </c>
      <c r="R412" s="24" t="n">
        <v>34.213614735</v>
      </c>
      <c r="S412" s="25" t="n">
        <v>0.00695947558658215</v>
      </c>
      <c r="T412" s="26" t="n">
        <v>1.02090317600626</v>
      </c>
      <c r="U412" s="23" t="n">
        <v>0</v>
      </c>
      <c r="V412" s="26" t="n">
        <v>-0.06</v>
      </c>
      <c r="W412" s="26" t="n">
        <v>-0.0698739751785102</v>
      </c>
      <c r="X412" s="26" t="n">
        <v>-0.343082670928059</v>
      </c>
      <c r="Y412" s="26" t="n">
        <v>-0.423847961840864</v>
      </c>
      <c r="Z412" s="26" t="n">
        <v>-0.567917123007284</v>
      </c>
      <c r="AA412" s="26" t="n">
        <v>-0.556996309807369</v>
      </c>
      <c r="AB412" s="26" t="n">
        <v>-0.635365010403731</v>
      </c>
      <c r="AC412" s="27" t="n">
        <v>0.440797759770378</v>
      </c>
      <c r="AD412" s="28" t="n">
        <f aca="false">Params!$B$6*Params!$B$7*$R412</f>
        <v>20.528168841</v>
      </c>
      <c r="AE412" s="29" t="n">
        <f aca="false">MIN(Params!$B$9,AD412/Params!$B$4)</f>
        <v>0.041056337682</v>
      </c>
      <c r="AF412" s="29" t="n">
        <f aca="false">MIN(Params!$B$9,AD412/Params!$B$5)</f>
        <v>0.020528168841</v>
      </c>
      <c r="AG412" s="28" t="n">
        <f aca="false">IF($R412&gt;0,Params!$B$9*Params!$B$4/(Params!$B$6*$R412),"n/a")</f>
        <v>4.38421959099669</v>
      </c>
      <c r="AH412" s="28" t="n">
        <f aca="false">IF($R412&gt;0,Params!$B$9*Params!$B$5/(Params!$B$6*$R412),"n/a")</f>
        <v>8.76843918199338</v>
      </c>
      <c r="AI412" s="28" t="n">
        <f aca="false">IF($R412&gt;0,Params!$B$15*Params!$B$4/(Params!$B$6*$R412),"n/a")</f>
        <v>1.46140653033223</v>
      </c>
      <c r="AJ412" s="29" t="n">
        <f aca="false">MIN(Params!$B$9,AD412*Params!$B$8/Params!$B$4)</f>
        <v>0.020528168841</v>
      </c>
      <c r="AK412" s="28" t="n">
        <f aca="false">IF($R412&gt;0,Params!$B$9*Params!$B$4/(Params!$B$6*$R412*Params!$B$8),"n/a")</f>
        <v>8.76843918199338</v>
      </c>
      <c r="AL412" s="27" t="str">
        <f aca="false">IFERROR(ciq($D412,"IQ_PE_EXCL"),"")</f>
        <v/>
      </c>
      <c r="AM412" s="27" t="str">
        <f aca="false">IFERROR(ciq($D412,"IQ_PE_EXCL_FWD_CIQ"),"")</f>
        <v/>
      </c>
      <c r="AN412" s="27" t="str">
        <f aca="false">IFERROR(ciq($D412,"IQ_PBV"),"")</f>
        <v/>
      </c>
      <c r="AO412" s="27" t="str">
        <f aca="false">IFERROR(ciq($D412,"IQ_TEV_EBITDA"),"")</f>
        <v/>
      </c>
      <c r="AP412" s="24" t="str">
        <f aca="false">IFERROR(ciq($D412,"IQ_RETURN_EQUITY"),"")</f>
        <v/>
      </c>
      <c r="AQ412" s="24" t="str">
        <f aca="false">IFERROR(ciq($D412,"IQ_RETURN_CAPITAL"),"")</f>
        <v/>
      </c>
      <c r="AR412" s="24" t="str">
        <f aca="false">IFERROR(ciq($D412,"IQ_TOTAL_REV_1YR_ANN_GROWTH"),"")</f>
        <v/>
      </c>
      <c r="AS412" s="24" t="str">
        <f aca="false">IFERROR(ciq($D412,"IQ_EPS_1YR_ANN_GROWTH"),"")</f>
        <v/>
      </c>
      <c r="AT412" s="24" t="str">
        <f aca="false">IFERROR(ciq($D412,"IQ_DIVIDEND_YIELD"),"")</f>
        <v/>
      </c>
      <c r="AU412" s="24" t="str">
        <f aca="false">IFERROR(ciq($D412,"IQ_NET_DEBT"),"")</f>
        <v/>
      </c>
    </row>
    <row r="413" customFormat="false" ht="15" hidden="false" customHeight="false" outlineLevel="0" collapsed="false">
      <c r="A413" s="8" t="s">
        <v>2033</v>
      </c>
      <c r="B413" s="6" t="s">
        <v>2034</v>
      </c>
      <c r="C413" s="8" t="s">
        <v>73</v>
      </c>
      <c r="D413" s="8" t="s">
        <v>2035</v>
      </c>
      <c r="E413" s="8" t="s">
        <v>2036</v>
      </c>
      <c r="F413" s="6" t="s">
        <v>507</v>
      </c>
      <c r="G413" s="8" t="s">
        <v>58</v>
      </c>
      <c r="H413" s="8" t="s">
        <v>67</v>
      </c>
      <c r="I413" s="8"/>
      <c r="J413" s="8"/>
      <c r="K413" s="8"/>
      <c r="L413" s="8"/>
      <c r="M413" s="23" t="n">
        <v>30000</v>
      </c>
      <c r="N413" s="23" t="n">
        <v>4895.5566</v>
      </c>
      <c r="O413" s="23" t="n">
        <v>5428.76430635</v>
      </c>
      <c r="P413" s="24" t="n">
        <v>26.097621825</v>
      </c>
      <c r="Q413" s="24" t="n">
        <v>34.2595943041667</v>
      </c>
      <c r="R413" s="24" t="n">
        <v>26.097621825</v>
      </c>
      <c r="S413" s="25" t="n">
        <v>0.00533087939888184</v>
      </c>
      <c r="T413" s="26" t="n">
        <v>0.746131578253995</v>
      </c>
      <c r="U413" s="23" t="n">
        <v>0</v>
      </c>
      <c r="V413" s="26" t="n">
        <v>-0.06</v>
      </c>
      <c r="W413" s="26" t="n">
        <v>-0.161873698266557</v>
      </c>
      <c r="X413" s="26" t="n">
        <v>-0.290645317829248</v>
      </c>
      <c r="Y413" s="26" t="n">
        <v>0.258218610015762</v>
      </c>
      <c r="Z413" s="26" t="n">
        <v>1.03539368769139</v>
      </c>
      <c r="AA413" s="26" t="n">
        <v>1.66215315460579</v>
      </c>
      <c r="AB413" s="26" t="n">
        <v>-0.468095048679763</v>
      </c>
      <c r="AC413" s="27" t="n">
        <v>0.261754782214087</v>
      </c>
      <c r="AD413" s="28" t="n">
        <f aca="false">Params!$B$6*Params!$B$7*$R413</f>
        <v>15.658573095</v>
      </c>
      <c r="AE413" s="29" t="n">
        <f aca="false">MIN(Params!$B$9,AD413/Params!$B$4)</f>
        <v>0.03131714619</v>
      </c>
      <c r="AF413" s="29" t="n">
        <f aca="false">MIN(Params!$B$9,AD413/Params!$B$5)</f>
        <v>0.015658573095</v>
      </c>
      <c r="AG413" s="28" t="n">
        <f aca="false">IF($R413&gt;0,Params!$B$9*Params!$B$4/(Params!$B$6*$R413),"n/a")</f>
        <v>5.74765015011095</v>
      </c>
      <c r="AH413" s="28" t="n">
        <f aca="false">IF($R413&gt;0,Params!$B$9*Params!$B$5/(Params!$B$6*$R413),"n/a")</f>
        <v>11.4953003002219</v>
      </c>
      <c r="AI413" s="28" t="n">
        <f aca="false">IF($R413&gt;0,Params!$B$15*Params!$B$4/(Params!$B$6*$R413),"n/a")</f>
        <v>1.91588338337032</v>
      </c>
      <c r="AJ413" s="29" t="n">
        <f aca="false">MIN(Params!$B$9,AD413*Params!$B$8/Params!$B$4)</f>
        <v>0.015658573095</v>
      </c>
      <c r="AK413" s="28" t="n">
        <f aca="false">IF($R413&gt;0,Params!$B$9*Params!$B$4/(Params!$B$6*$R413*Params!$B$8),"n/a")</f>
        <v>11.4953003002219</v>
      </c>
      <c r="AL413" s="27" t="str">
        <f aca="false">IFERROR(ciq($D413,"IQ_PE_EXCL"),"")</f>
        <v/>
      </c>
      <c r="AM413" s="27" t="str">
        <f aca="false">IFERROR(ciq($D413,"IQ_PE_EXCL_FWD_CIQ"),"")</f>
        <v/>
      </c>
      <c r="AN413" s="27" t="str">
        <f aca="false">IFERROR(ciq($D413,"IQ_PBV"),"")</f>
        <v/>
      </c>
      <c r="AO413" s="27" t="str">
        <f aca="false">IFERROR(ciq($D413,"IQ_TEV_EBITDA"),"")</f>
        <v/>
      </c>
      <c r="AP413" s="24" t="str">
        <f aca="false">IFERROR(ciq($D413,"IQ_RETURN_EQUITY"),"")</f>
        <v/>
      </c>
      <c r="AQ413" s="24" t="str">
        <f aca="false">IFERROR(ciq($D413,"IQ_RETURN_CAPITAL"),"")</f>
        <v/>
      </c>
      <c r="AR413" s="24" t="str">
        <f aca="false">IFERROR(ciq($D413,"IQ_TOTAL_REV_1YR_ANN_GROWTH"),"")</f>
        <v/>
      </c>
      <c r="AS413" s="24" t="str">
        <f aca="false">IFERROR(ciq($D413,"IQ_EPS_1YR_ANN_GROWTH"),"")</f>
        <v/>
      </c>
      <c r="AT413" s="24" t="str">
        <f aca="false">IFERROR(ciq($D413,"IQ_DIVIDEND_YIELD"),"")</f>
        <v/>
      </c>
      <c r="AU413" s="24" t="str">
        <f aca="false">IFERROR(ciq($D413,"IQ_NET_DEBT"),"")</f>
        <v/>
      </c>
    </row>
    <row r="414" customFormat="false" ht="15" hidden="false" customHeight="false" outlineLevel="0" collapsed="false">
      <c r="A414" s="8" t="s">
        <v>2037</v>
      </c>
      <c r="B414" s="6" t="s">
        <v>2038</v>
      </c>
      <c r="C414" s="8" t="s">
        <v>73</v>
      </c>
      <c r="D414" s="8" t="s">
        <v>2039</v>
      </c>
      <c r="E414" s="8" t="s">
        <v>2040</v>
      </c>
      <c r="F414" s="6" t="s">
        <v>650</v>
      </c>
      <c r="G414" s="8" t="s">
        <v>58</v>
      </c>
      <c r="H414" s="8" t="s">
        <v>67</v>
      </c>
      <c r="I414" s="8"/>
      <c r="J414" s="8"/>
      <c r="K414" s="8"/>
      <c r="L414" s="8"/>
      <c r="M414" s="23" t="n">
        <v>11140</v>
      </c>
      <c r="N414" s="23" t="n">
        <v>4887.0248696</v>
      </c>
      <c r="O414" s="23" t="n">
        <v>4684.78802356</v>
      </c>
      <c r="P414" s="24" t="n">
        <v>54.0657100275</v>
      </c>
      <c r="Q414" s="24" t="n">
        <v>45.7589084241667</v>
      </c>
      <c r="R414" s="24" t="n">
        <v>45.7589084241667</v>
      </c>
      <c r="S414" s="25" t="n">
        <v>0.011063113339942</v>
      </c>
      <c r="T414" s="26" t="n">
        <v>0.940787945973021</v>
      </c>
      <c r="U414" s="23" t="n">
        <v>1</v>
      </c>
      <c r="V414" s="26" t="n">
        <v>-0.06</v>
      </c>
      <c r="W414" s="26" t="n">
        <v>0.198887505257992</v>
      </c>
      <c r="X414" s="26" t="n">
        <v>-0.145288236817817</v>
      </c>
      <c r="Y414" s="26" t="n">
        <v>-0.43525415474519</v>
      </c>
      <c r="Z414" s="26" t="n">
        <v>0.0168814476724619</v>
      </c>
      <c r="AA414" s="26" t="n">
        <v>0.391173311450206</v>
      </c>
      <c r="AB414" s="26" t="n">
        <v>-0.460631258825702</v>
      </c>
      <c r="AC414" s="27" t="n">
        <v>0.386900860867549</v>
      </c>
      <c r="AD414" s="28" t="n">
        <f aca="false">Params!$B$6*Params!$B$7*$R414</f>
        <v>27.4553450545</v>
      </c>
      <c r="AE414" s="29" t="n">
        <f aca="false">MIN(Params!$B$9,AD414/Params!$B$4)</f>
        <v>0.054910690109</v>
      </c>
      <c r="AF414" s="29" t="n">
        <f aca="false">MIN(Params!$B$9,AD414/Params!$B$5)</f>
        <v>0.0274553450545</v>
      </c>
      <c r="AG414" s="28" t="n">
        <f aca="false">IF($R414&gt;0,Params!$B$9*Params!$B$4/(Params!$B$6*$R414),"n/a")</f>
        <v>3.27805022378507</v>
      </c>
      <c r="AH414" s="28" t="n">
        <f aca="false">IF($R414&gt;0,Params!$B$9*Params!$B$5/(Params!$B$6*$R414),"n/a")</f>
        <v>6.55610044757014</v>
      </c>
      <c r="AI414" s="28" t="n">
        <f aca="false">IF($R414&gt;0,Params!$B$15*Params!$B$4/(Params!$B$6*$R414),"n/a")</f>
        <v>1.09268340792836</v>
      </c>
      <c r="AJ414" s="29" t="n">
        <f aca="false">MIN(Params!$B$9,AD414*Params!$B$8/Params!$B$4)</f>
        <v>0.0274553450545</v>
      </c>
      <c r="AK414" s="28" t="n">
        <f aca="false">IF($R414&gt;0,Params!$B$9*Params!$B$4/(Params!$B$6*$R414*Params!$B$8),"n/a")</f>
        <v>6.55610044757014</v>
      </c>
      <c r="AL414" s="27" t="str">
        <f aca="false">IFERROR(ciq($D414,"IQ_PE_EXCL"),"")</f>
        <v/>
      </c>
      <c r="AM414" s="27" t="str">
        <f aca="false">IFERROR(ciq($D414,"IQ_PE_EXCL_FWD_CIQ"),"")</f>
        <v/>
      </c>
      <c r="AN414" s="27" t="str">
        <f aca="false">IFERROR(ciq($D414,"IQ_PBV"),"")</f>
        <v/>
      </c>
      <c r="AO414" s="27" t="str">
        <f aca="false">IFERROR(ciq($D414,"IQ_TEV_EBITDA"),"")</f>
        <v/>
      </c>
      <c r="AP414" s="24" t="str">
        <f aca="false">IFERROR(ciq($D414,"IQ_RETURN_EQUITY"),"")</f>
        <v/>
      </c>
      <c r="AQ414" s="24" t="str">
        <f aca="false">IFERROR(ciq($D414,"IQ_RETURN_CAPITAL"),"")</f>
        <v/>
      </c>
      <c r="AR414" s="24" t="str">
        <f aca="false">IFERROR(ciq($D414,"IQ_TOTAL_REV_1YR_ANN_GROWTH"),"")</f>
        <v/>
      </c>
      <c r="AS414" s="24" t="str">
        <f aca="false">IFERROR(ciq($D414,"IQ_EPS_1YR_ANN_GROWTH"),"")</f>
        <v/>
      </c>
      <c r="AT414" s="24" t="str">
        <f aca="false">IFERROR(ciq($D414,"IQ_DIVIDEND_YIELD"),"")</f>
        <v/>
      </c>
      <c r="AU414" s="24" t="str">
        <f aca="false">IFERROR(ciq($D414,"IQ_NET_DEBT"),"")</f>
        <v/>
      </c>
    </row>
    <row r="415" customFormat="false" ht="15" hidden="false" customHeight="false" outlineLevel="0" collapsed="false">
      <c r="A415" s="8" t="s">
        <v>2041</v>
      </c>
      <c r="B415" s="6" t="s">
        <v>2042</v>
      </c>
      <c r="C415" s="8" t="s">
        <v>73</v>
      </c>
      <c r="D415" s="8" t="s">
        <v>2043</v>
      </c>
      <c r="E415" s="8" t="s">
        <v>2044</v>
      </c>
      <c r="F415" s="8"/>
      <c r="G415" s="8" t="s">
        <v>58</v>
      </c>
      <c r="H415" s="8" t="s">
        <v>67</v>
      </c>
      <c r="I415" s="8"/>
      <c r="J415" s="8"/>
      <c r="K415" s="8"/>
      <c r="L415" s="8" t="s">
        <v>241</v>
      </c>
      <c r="M415" s="23" t="n">
        <v>14150</v>
      </c>
      <c r="N415" s="23" t="n">
        <v>4814.59976</v>
      </c>
      <c r="O415" s="23" t="n">
        <v>5437.6055664</v>
      </c>
      <c r="P415" s="24" t="n">
        <v>32.6843880425</v>
      </c>
      <c r="Q415" s="24" t="n">
        <v>68.0497292758333</v>
      </c>
      <c r="R415" s="24" t="n">
        <v>32.6843880425</v>
      </c>
      <c r="S415" s="25" t="n">
        <v>0.00678859919240722</v>
      </c>
      <c r="T415" s="26" t="n">
        <v>1.13895626854635</v>
      </c>
      <c r="U415" s="23" t="n">
        <v>1</v>
      </c>
      <c r="V415" s="26" t="n">
        <v>-0.06</v>
      </c>
      <c r="W415" s="26" t="n">
        <v>-0.190964213520894</v>
      </c>
      <c r="X415" s="26" t="n">
        <v>-0.497315727157888</v>
      </c>
      <c r="Y415" s="26" t="n">
        <v>-0.438438582144714</v>
      </c>
      <c r="Z415" s="26" t="n">
        <v>-0.465939949401414</v>
      </c>
      <c r="AA415" s="26"/>
      <c r="AB415" s="26" t="n">
        <v>-0.710029074621997</v>
      </c>
      <c r="AC415" s="27" t="n">
        <v>0.0859003118523136</v>
      </c>
      <c r="AD415" s="28" t="n">
        <f aca="false">Params!$B$6*Params!$B$7*$R415</f>
        <v>19.6106328255</v>
      </c>
      <c r="AE415" s="29" t="n">
        <f aca="false">MIN(Params!$B$9,AD415/Params!$B$4)</f>
        <v>0.039221265651</v>
      </c>
      <c r="AF415" s="29" t="n">
        <f aca="false">MIN(Params!$B$9,AD415/Params!$B$5)</f>
        <v>0.0196106328255</v>
      </c>
      <c r="AG415" s="28" t="n">
        <f aca="false">IF($R415&gt;0,Params!$B$9*Params!$B$4/(Params!$B$6*$R415),"n/a")</f>
        <v>4.5893470547759</v>
      </c>
      <c r="AH415" s="28" t="n">
        <f aca="false">IF($R415&gt;0,Params!$B$9*Params!$B$5/(Params!$B$6*$R415),"n/a")</f>
        <v>9.1786941095518</v>
      </c>
      <c r="AI415" s="28" t="n">
        <f aca="false">IF($R415&gt;0,Params!$B$15*Params!$B$4/(Params!$B$6*$R415),"n/a")</f>
        <v>1.52978235159197</v>
      </c>
      <c r="AJ415" s="29" t="n">
        <f aca="false">MIN(Params!$B$9,AD415*Params!$B$8/Params!$B$4)</f>
        <v>0.0196106328255</v>
      </c>
      <c r="AK415" s="28" t="n">
        <f aca="false">IF($R415&gt;0,Params!$B$9*Params!$B$4/(Params!$B$6*$R415*Params!$B$8),"n/a")</f>
        <v>9.1786941095518</v>
      </c>
      <c r="AL415" s="27" t="str">
        <f aca="false">IFERROR(ciq($D415,"IQ_PE_EXCL"),"")</f>
        <v/>
      </c>
      <c r="AM415" s="27" t="str">
        <f aca="false">IFERROR(ciq($D415,"IQ_PE_EXCL_FWD_CIQ"),"")</f>
        <v/>
      </c>
      <c r="AN415" s="27" t="str">
        <f aca="false">IFERROR(ciq($D415,"IQ_PBV"),"")</f>
        <v/>
      </c>
      <c r="AO415" s="27" t="str">
        <f aca="false">IFERROR(ciq($D415,"IQ_TEV_EBITDA"),"")</f>
        <v/>
      </c>
      <c r="AP415" s="24" t="str">
        <f aca="false">IFERROR(ciq($D415,"IQ_RETURN_EQUITY"),"")</f>
        <v/>
      </c>
      <c r="AQ415" s="24" t="str">
        <f aca="false">IFERROR(ciq($D415,"IQ_RETURN_CAPITAL"),"")</f>
        <v/>
      </c>
      <c r="AR415" s="24" t="str">
        <f aca="false">IFERROR(ciq($D415,"IQ_TOTAL_REV_1YR_ANN_GROWTH"),"")</f>
        <v/>
      </c>
      <c r="AS415" s="24" t="str">
        <f aca="false">IFERROR(ciq($D415,"IQ_EPS_1YR_ANN_GROWTH"),"")</f>
        <v/>
      </c>
      <c r="AT415" s="24" t="str">
        <f aca="false">IFERROR(ciq($D415,"IQ_DIVIDEND_YIELD"),"")</f>
        <v/>
      </c>
      <c r="AU415" s="24" t="str">
        <f aca="false">IFERROR(ciq($D415,"IQ_NET_DEBT"),"")</f>
        <v/>
      </c>
    </row>
    <row r="416" customFormat="false" ht="15" hidden="false" customHeight="false" outlineLevel="0" collapsed="false">
      <c r="A416" s="8" t="s">
        <v>411</v>
      </c>
      <c r="B416" s="6" t="s">
        <v>412</v>
      </c>
      <c r="C416" s="8" t="s">
        <v>73</v>
      </c>
      <c r="D416" s="8" t="s">
        <v>2045</v>
      </c>
      <c r="E416" s="8" t="s">
        <v>2046</v>
      </c>
      <c r="F416" s="6" t="s">
        <v>536</v>
      </c>
      <c r="G416" s="8" t="s">
        <v>58</v>
      </c>
      <c r="H416" s="8" t="s">
        <v>67</v>
      </c>
      <c r="I416" s="8" t="s">
        <v>508</v>
      </c>
      <c r="J416" s="8"/>
      <c r="K416" s="8"/>
      <c r="L416" s="6" t="s">
        <v>413</v>
      </c>
      <c r="M416" s="23" t="n">
        <v>5710</v>
      </c>
      <c r="N416" s="23" t="n">
        <v>4796.4</v>
      </c>
      <c r="O416" s="23" t="n">
        <v>4573.59</v>
      </c>
      <c r="P416" s="24" t="n">
        <v>402.4285515535</v>
      </c>
      <c r="Q416" s="24" t="n">
        <v>150.7937093185</v>
      </c>
      <c r="R416" s="24" t="n">
        <v>150.7937093185</v>
      </c>
      <c r="S416" s="25" t="n">
        <v>0.0839022082298182</v>
      </c>
      <c r="T416" s="26" t="n">
        <v>0.886664426060208</v>
      </c>
      <c r="U416" s="23" t="n">
        <v>2</v>
      </c>
      <c r="V416" s="26" t="n">
        <v>-0.04</v>
      </c>
      <c r="W416" s="26" t="n">
        <v>0.232139563192748</v>
      </c>
      <c r="X416" s="26" t="n">
        <v>0.0440455338466477</v>
      </c>
      <c r="Y416" s="26" t="n">
        <v>-0.158935963882569</v>
      </c>
      <c r="Z416" s="26" t="n">
        <v>-0.223671923623956</v>
      </c>
      <c r="AA416" s="26" t="n">
        <v>-0.458419760739086</v>
      </c>
      <c r="AB416" s="26" t="n">
        <v>-0.530165187312584</v>
      </c>
      <c r="AC416" s="27" t="n">
        <v>3.69851072246999</v>
      </c>
      <c r="AD416" s="28" t="n">
        <f aca="false">Params!$B$6*Params!$B$7*$R416</f>
        <v>90.4762255911</v>
      </c>
      <c r="AE416" s="29" t="n">
        <f aca="false">MIN(Params!$B$9,AD416/Params!$B$4)</f>
        <v>0.06</v>
      </c>
      <c r="AF416" s="29" t="n">
        <f aca="false">MIN(Params!$B$9,AD416/Params!$B$5)</f>
        <v>0.06</v>
      </c>
      <c r="AG416" s="28" t="n">
        <f aca="false">IF($R416&gt;0,Params!$B$9*Params!$B$4/(Params!$B$6*$R416),"n/a")</f>
        <v>0.994736456035951</v>
      </c>
      <c r="AH416" s="28" t="n">
        <f aca="false">IF($R416&gt;0,Params!$B$9*Params!$B$5/(Params!$B$6*$R416),"n/a")</f>
        <v>1.9894729120719</v>
      </c>
      <c r="AI416" s="28" t="n">
        <f aca="false">IF($R416&gt;0,Params!$B$15*Params!$B$4/(Params!$B$6*$R416),"n/a")</f>
        <v>0.33157881867865</v>
      </c>
      <c r="AJ416" s="29" t="n">
        <f aca="false">MIN(Params!$B$9,AD416*Params!$B$8/Params!$B$4)</f>
        <v>0.06</v>
      </c>
      <c r="AK416" s="28" t="n">
        <f aca="false">IF($R416&gt;0,Params!$B$9*Params!$B$4/(Params!$B$6*$R416*Params!$B$8),"n/a")</f>
        <v>1.9894729120719</v>
      </c>
      <c r="AL416" s="27" t="str">
        <f aca="false">IFERROR(ciq($D416,"IQ_PE_EXCL"),"")</f>
        <v/>
      </c>
      <c r="AM416" s="27" t="str">
        <f aca="false">IFERROR(ciq($D416,"IQ_PE_EXCL_FWD_CIQ"),"")</f>
        <v/>
      </c>
      <c r="AN416" s="27" t="str">
        <f aca="false">IFERROR(ciq($D416,"IQ_PBV"),"")</f>
        <v/>
      </c>
      <c r="AO416" s="27" t="str">
        <f aca="false">IFERROR(ciq($D416,"IQ_TEV_EBITDA"),"")</f>
        <v/>
      </c>
      <c r="AP416" s="24" t="str">
        <f aca="false">IFERROR(ciq($D416,"IQ_RETURN_EQUITY"),"")</f>
        <v/>
      </c>
      <c r="AQ416" s="24" t="str">
        <f aca="false">IFERROR(ciq($D416,"IQ_RETURN_CAPITAL"),"")</f>
        <v/>
      </c>
      <c r="AR416" s="24" t="str">
        <f aca="false">IFERROR(ciq($D416,"IQ_TOTAL_REV_1YR_ANN_GROWTH"),"")</f>
        <v/>
      </c>
      <c r="AS416" s="24" t="str">
        <f aca="false">IFERROR(ciq($D416,"IQ_EPS_1YR_ANN_GROWTH"),"")</f>
        <v/>
      </c>
      <c r="AT416" s="24" t="str">
        <f aca="false">IFERROR(ciq($D416,"IQ_DIVIDEND_YIELD"),"")</f>
        <v/>
      </c>
      <c r="AU416" s="24" t="str">
        <f aca="false">IFERROR(ciq($D416,"IQ_NET_DEBT"),"")</f>
        <v/>
      </c>
    </row>
    <row r="417" customFormat="false" ht="15" hidden="false" customHeight="false" outlineLevel="0" collapsed="false">
      <c r="A417" s="8" t="s">
        <v>2047</v>
      </c>
      <c r="B417" s="6" t="s">
        <v>2048</v>
      </c>
      <c r="C417" s="8" t="s">
        <v>73</v>
      </c>
      <c r="D417" s="8" t="s">
        <v>2049</v>
      </c>
      <c r="E417" s="8" t="s">
        <v>2050</v>
      </c>
      <c r="F417" s="6" t="s">
        <v>523</v>
      </c>
      <c r="G417" s="8" t="s">
        <v>58</v>
      </c>
      <c r="H417" s="8" t="s">
        <v>67</v>
      </c>
      <c r="I417" s="8"/>
      <c r="J417" s="8"/>
      <c r="K417" s="8"/>
      <c r="L417" s="8"/>
      <c r="M417" s="23" t="n">
        <v>28950</v>
      </c>
      <c r="N417" s="23" t="n">
        <v>4779.9324735</v>
      </c>
      <c r="O417" s="23" t="n">
        <v>4770.85142735</v>
      </c>
      <c r="P417" s="24" t="n">
        <v>19.1260844875</v>
      </c>
      <c r="Q417" s="24" t="n">
        <v>31.7128774583333</v>
      </c>
      <c r="R417" s="24" t="n">
        <v>19.1260844875</v>
      </c>
      <c r="S417" s="25" t="n">
        <v>0.00400132943164683</v>
      </c>
      <c r="T417" s="26" t="n">
        <v>0.764934363418838</v>
      </c>
      <c r="U417" s="23" t="n">
        <v>1</v>
      </c>
      <c r="V417" s="26" t="n">
        <v>-0.06</v>
      </c>
      <c r="W417" s="26" t="n">
        <v>8.82556672627821E-005</v>
      </c>
      <c r="X417" s="26" t="n">
        <v>0.131156576198506</v>
      </c>
      <c r="Y417" s="26" t="n">
        <v>-0.0398095934885675</v>
      </c>
      <c r="Z417" s="26" t="n">
        <v>0.343120214999388</v>
      </c>
      <c r="AA417" s="26" t="n">
        <v>0.303543871745134</v>
      </c>
      <c r="AB417" s="26" t="n">
        <v>-0.17139575012515</v>
      </c>
      <c r="AC417" s="27" t="n">
        <v>0.546818321389543</v>
      </c>
      <c r="AD417" s="28" t="n">
        <f aca="false">Params!$B$6*Params!$B$7*$R417</f>
        <v>11.4756506925</v>
      </c>
      <c r="AE417" s="29" t="n">
        <f aca="false">MIN(Params!$B$9,AD417/Params!$B$4)</f>
        <v>0.022951301385</v>
      </c>
      <c r="AF417" s="29" t="n">
        <f aca="false">MIN(Params!$B$9,AD417/Params!$B$5)</f>
        <v>0.0114756506925</v>
      </c>
      <c r="AG417" s="28" t="n">
        <f aca="false">IF($R417&gt;0,Params!$B$9*Params!$B$4/(Params!$B$6*$R417),"n/a")</f>
        <v>7.84269253322778</v>
      </c>
      <c r="AH417" s="28" t="n">
        <f aca="false">IF($R417&gt;0,Params!$B$9*Params!$B$5/(Params!$B$6*$R417),"n/a")</f>
        <v>15.6853850664556</v>
      </c>
      <c r="AI417" s="28" t="n">
        <f aca="false">IF($R417&gt;0,Params!$B$15*Params!$B$4/(Params!$B$6*$R417),"n/a")</f>
        <v>2.61423084440926</v>
      </c>
      <c r="AJ417" s="29" t="n">
        <f aca="false">MIN(Params!$B$9,AD417*Params!$B$8/Params!$B$4)</f>
        <v>0.0114756506925</v>
      </c>
      <c r="AK417" s="28" t="n">
        <f aca="false">IF($R417&gt;0,Params!$B$9*Params!$B$4/(Params!$B$6*$R417*Params!$B$8),"n/a")</f>
        <v>15.6853850664556</v>
      </c>
      <c r="AL417" s="27" t="str">
        <f aca="false">IFERROR(ciq($D417,"IQ_PE_EXCL"),"")</f>
        <v/>
      </c>
      <c r="AM417" s="27" t="str">
        <f aca="false">IFERROR(ciq($D417,"IQ_PE_EXCL_FWD_CIQ"),"")</f>
        <v/>
      </c>
      <c r="AN417" s="27" t="str">
        <f aca="false">IFERROR(ciq($D417,"IQ_PBV"),"")</f>
        <v/>
      </c>
      <c r="AO417" s="27" t="str">
        <f aca="false">IFERROR(ciq($D417,"IQ_TEV_EBITDA"),"")</f>
        <v/>
      </c>
      <c r="AP417" s="24" t="str">
        <f aca="false">IFERROR(ciq($D417,"IQ_RETURN_EQUITY"),"")</f>
        <v/>
      </c>
      <c r="AQ417" s="24" t="str">
        <f aca="false">IFERROR(ciq($D417,"IQ_RETURN_CAPITAL"),"")</f>
        <v/>
      </c>
      <c r="AR417" s="24" t="str">
        <f aca="false">IFERROR(ciq($D417,"IQ_TOTAL_REV_1YR_ANN_GROWTH"),"")</f>
        <v/>
      </c>
      <c r="AS417" s="24" t="str">
        <f aca="false">IFERROR(ciq($D417,"IQ_EPS_1YR_ANN_GROWTH"),"")</f>
        <v/>
      </c>
      <c r="AT417" s="24" t="str">
        <f aca="false">IFERROR(ciq($D417,"IQ_DIVIDEND_YIELD"),"")</f>
        <v/>
      </c>
      <c r="AU417" s="24" t="str">
        <f aca="false">IFERROR(ciq($D417,"IQ_NET_DEBT"),"")</f>
        <v/>
      </c>
    </row>
    <row r="418" customFormat="false" ht="15" hidden="false" customHeight="false" outlineLevel="0" collapsed="false">
      <c r="A418" s="8" t="s">
        <v>2051</v>
      </c>
      <c r="B418" s="6" t="s">
        <v>2052</v>
      </c>
      <c r="C418" s="8" t="s">
        <v>73</v>
      </c>
      <c r="D418" s="8" t="s">
        <v>2053</v>
      </c>
      <c r="E418" s="8" t="s">
        <v>2054</v>
      </c>
      <c r="F418" s="8"/>
      <c r="G418" s="8" t="s">
        <v>58</v>
      </c>
      <c r="H418" s="8" t="s">
        <v>67</v>
      </c>
      <c r="I418" s="8"/>
      <c r="J418" s="8"/>
      <c r="K418" s="8"/>
      <c r="L418" s="8" t="s">
        <v>514</v>
      </c>
      <c r="M418" s="23" t="n">
        <v>40300</v>
      </c>
      <c r="N418" s="23" t="n">
        <v>4779.114132</v>
      </c>
      <c r="O418" s="23" t="n">
        <v>5357.8257192</v>
      </c>
      <c r="P418" s="24" t="n">
        <v>38.3148254375</v>
      </c>
      <c r="Q418" s="24" t="n">
        <v>106.579080308333</v>
      </c>
      <c r="R418" s="24" t="n">
        <v>38.3148254375</v>
      </c>
      <c r="S418" s="25" t="n">
        <v>0.00801713965794446</v>
      </c>
      <c r="T418" s="26" t="n">
        <v>1.38522969862983</v>
      </c>
      <c r="U418" s="23" t="n">
        <v>2</v>
      </c>
      <c r="V418" s="26" t="n">
        <v>-0.04</v>
      </c>
      <c r="W418" s="26" t="n">
        <v>-0.162083982816895</v>
      </c>
      <c r="X418" s="26" t="n">
        <v>-0.173381121675134</v>
      </c>
      <c r="Y418" s="26" t="n">
        <v>-0.358286867967704</v>
      </c>
      <c r="Z418" s="26" t="n">
        <v>-0.220521502504646</v>
      </c>
      <c r="AA418" s="26" t="n">
        <v>-0.0674402698132016</v>
      </c>
      <c r="AB418" s="26" t="n">
        <v>-0.495659828656868</v>
      </c>
      <c r="AC418" s="27" t="n">
        <v>0.383854246758733</v>
      </c>
      <c r="AD418" s="28" t="n">
        <f aca="false">Params!$B$6*Params!$B$7*$R418</f>
        <v>22.9888952625</v>
      </c>
      <c r="AE418" s="29" t="n">
        <f aca="false">MIN(Params!$B$9,AD418/Params!$B$4)</f>
        <v>0.045977790525</v>
      </c>
      <c r="AF418" s="29" t="n">
        <f aca="false">MIN(Params!$B$9,AD418/Params!$B$5)</f>
        <v>0.0229888952625</v>
      </c>
      <c r="AG418" s="28" t="n">
        <f aca="false">IF($R418&gt;0,Params!$B$9*Params!$B$4/(Params!$B$6*$R418),"n/a")</f>
        <v>3.91493366568206</v>
      </c>
      <c r="AH418" s="28" t="n">
        <f aca="false">IF($R418&gt;0,Params!$B$9*Params!$B$5/(Params!$B$6*$R418),"n/a")</f>
        <v>7.82986733136411</v>
      </c>
      <c r="AI418" s="28" t="n">
        <f aca="false">IF($R418&gt;0,Params!$B$15*Params!$B$4/(Params!$B$6*$R418),"n/a")</f>
        <v>1.30497788856069</v>
      </c>
      <c r="AJ418" s="29" t="n">
        <f aca="false">MIN(Params!$B$9,AD418*Params!$B$8/Params!$B$4)</f>
        <v>0.0229888952625</v>
      </c>
      <c r="AK418" s="28" t="n">
        <f aca="false">IF($R418&gt;0,Params!$B$9*Params!$B$4/(Params!$B$6*$R418*Params!$B$8),"n/a")</f>
        <v>7.82986733136411</v>
      </c>
      <c r="AL418" s="27" t="str">
        <f aca="false">IFERROR(ciq($D418,"IQ_PE_EXCL"),"")</f>
        <v/>
      </c>
      <c r="AM418" s="27" t="str">
        <f aca="false">IFERROR(ciq($D418,"IQ_PE_EXCL_FWD_CIQ"),"")</f>
        <v/>
      </c>
      <c r="AN418" s="27" t="str">
        <f aca="false">IFERROR(ciq($D418,"IQ_PBV"),"")</f>
        <v/>
      </c>
      <c r="AO418" s="27" t="str">
        <f aca="false">IFERROR(ciq($D418,"IQ_TEV_EBITDA"),"")</f>
        <v/>
      </c>
      <c r="AP418" s="24" t="str">
        <f aca="false">IFERROR(ciq($D418,"IQ_RETURN_EQUITY"),"")</f>
        <v/>
      </c>
      <c r="AQ418" s="24" t="str">
        <f aca="false">IFERROR(ciq($D418,"IQ_RETURN_CAPITAL"),"")</f>
        <v/>
      </c>
      <c r="AR418" s="24" t="str">
        <f aca="false">IFERROR(ciq($D418,"IQ_TOTAL_REV_1YR_ANN_GROWTH"),"")</f>
        <v/>
      </c>
      <c r="AS418" s="24" t="str">
        <f aca="false">IFERROR(ciq($D418,"IQ_EPS_1YR_ANN_GROWTH"),"")</f>
        <v/>
      </c>
      <c r="AT418" s="24" t="str">
        <f aca="false">IFERROR(ciq($D418,"IQ_DIVIDEND_YIELD"),"")</f>
        <v/>
      </c>
      <c r="AU418" s="24" t="str">
        <f aca="false">IFERROR(ciq($D418,"IQ_NET_DEBT"),"")</f>
        <v/>
      </c>
    </row>
    <row r="419" customFormat="false" ht="15" hidden="false" customHeight="false" outlineLevel="0" collapsed="false">
      <c r="A419" s="8" t="s">
        <v>2055</v>
      </c>
      <c r="B419" s="6" t="s">
        <v>2056</v>
      </c>
      <c r="C419" s="8" t="s">
        <v>72</v>
      </c>
      <c r="D419" s="8" t="s">
        <v>2057</v>
      </c>
      <c r="E419" s="8" t="s">
        <v>2058</v>
      </c>
      <c r="F419" s="6" t="s">
        <v>852</v>
      </c>
      <c r="G419" s="8" t="s">
        <v>58</v>
      </c>
      <c r="H419" s="8" t="s">
        <v>67</v>
      </c>
      <c r="I419" s="8"/>
      <c r="J419" s="8"/>
      <c r="K419" s="8"/>
      <c r="L419" s="8" t="s">
        <v>241</v>
      </c>
      <c r="M419" s="23" t="n">
        <v>15100</v>
      </c>
      <c r="N419" s="23" t="n">
        <v>4777.376052</v>
      </c>
      <c r="O419" s="23" t="n">
        <v>4718.52890328</v>
      </c>
      <c r="P419" s="24" t="n">
        <v>78.7678052825</v>
      </c>
      <c r="Q419" s="24" t="n">
        <v>38.10754317</v>
      </c>
      <c r="R419" s="24" t="n">
        <v>38.10754317</v>
      </c>
      <c r="S419" s="25" t="n">
        <v>0.0164876711452356</v>
      </c>
      <c r="T419" s="26" t="n">
        <v>0.779394053877972</v>
      </c>
      <c r="U419" s="23" t="n">
        <v>0</v>
      </c>
      <c r="V419" s="26" t="n">
        <v>-0.06</v>
      </c>
      <c r="W419" s="26" t="n">
        <v>0.00728606547872146</v>
      </c>
      <c r="X419" s="26" t="n">
        <v>-0.195574485623002</v>
      </c>
      <c r="Y419" s="26" t="n">
        <v>-0.526685113962969</v>
      </c>
      <c r="Z419" s="26" t="n">
        <v>-0.607770219558346</v>
      </c>
      <c r="AA419" s="26" t="n">
        <v>-0.365601273392078</v>
      </c>
      <c r="AB419" s="26" t="n">
        <v>-0.659179702617632</v>
      </c>
      <c r="AC419" s="27" t="n">
        <v>1.72304563197589</v>
      </c>
      <c r="AD419" s="28" t="n">
        <f aca="false">Params!$B$6*Params!$B$7*$R419</f>
        <v>22.864525902</v>
      </c>
      <c r="AE419" s="29" t="n">
        <f aca="false">MIN(Params!$B$9,AD419/Params!$B$4)</f>
        <v>0.045729051804</v>
      </c>
      <c r="AF419" s="29" t="n">
        <f aca="false">MIN(Params!$B$9,AD419/Params!$B$5)</f>
        <v>0.022864525902</v>
      </c>
      <c r="AG419" s="28" t="n">
        <f aca="false">IF($R419&gt;0,Params!$B$9*Params!$B$4/(Params!$B$6*$R419),"n/a")</f>
        <v>3.93622856584695</v>
      </c>
      <c r="AH419" s="28" t="n">
        <f aca="false">IF($R419&gt;0,Params!$B$9*Params!$B$5/(Params!$B$6*$R419),"n/a")</f>
        <v>7.87245713169391</v>
      </c>
      <c r="AI419" s="28" t="n">
        <f aca="false">IF($R419&gt;0,Params!$B$15*Params!$B$4/(Params!$B$6*$R419),"n/a")</f>
        <v>1.31207618861565</v>
      </c>
      <c r="AJ419" s="29" t="n">
        <f aca="false">MIN(Params!$B$9,AD419*Params!$B$8/Params!$B$4)</f>
        <v>0.022864525902</v>
      </c>
      <c r="AK419" s="28" t="n">
        <f aca="false">IF($R419&gt;0,Params!$B$9*Params!$B$4/(Params!$B$6*$R419*Params!$B$8),"n/a")</f>
        <v>7.87245713169391</v>
      </c>
      <c r="AL419" s="27" t="str">
        <f aca="false">IFERROR(ciq($D419,"IQ_PE_EXCL"),"")</f>
        <v/>
      </c>
      <c r="AM419" s="27" t="str">
        <f aca="false">IFERROR(ciq($D419,"IQ_PE_EXCL_FWD_CIQ"),"")</f>
        <v/>
      </c>
      <c r="AN419" s="27" t="str">
        <f aca="false">IFERROR(ciq($D419,"IQ_PBV"),"")</f>
        <v/>
      </c>
      <c r="AO419" s="27" t="str">
        <f aca="false">IFERROR(ciq($D419,"IQ_TEV_EBITDA"),"")</f>
        <v/>
      </c>
      <c r="AP419" s="24" t="str">
        <f aca="false">IFERROR(ciq($D419,"IQ_RETURN_EQUITY"),"")</f>
        <v/>
      </c>
      <c r="AQ419" s="24" t="str">
        <f aca="false">IFERROR(ciq($D419,"IQ_RETURN_CAPITAL"),"")</f>
        <v/>
      </c>
      <c r="AR419" s="24" t="str">
        <f aca="false">IFERROR(ciq($D419,"IQ_TOTAL_REV_1YR_ANN_GROWTH"),"")</f>
        <v/>
      </c>
      <c r="AS419" s="24" t="str">
        <f aca="false">IFERROR(ciq($D419,"IQ_EPS_1YR_ANN_GROWTH"),"")</f>
        <v/>
      </c>
      <c r="AT419" s="24" t="str">
        <f aca="false">IFERROR(ciq($D419,"IQ_DIVIDEND_YIELD"),"")</f>
        <v/>
      </c>
      <c r="AU419" s="24" t="str">
        <f aca="false">IFERROR(ciq($D419,"IQ_NET_DEBT"),"")</f>
        <v/>
      </c>
    </row>
    <row r="420" customFormat="false" ht="15" hidden="false" customHeight="false" outlineLevel="0" collapsed="false">
      <c r="A420" s="8" t="s">
        <v>2059</v>
      </c>
      <c r="B420" s="6" t="s">
        <v>2060</v>
      </c>
      <c r="C420" s="8" t="s">
        <v>73</v>
      </c>
      <c r="D420" s="8" t="s">
        <v>2061</v>
      </c>
      <c r="E420" s="8" t="s">
        <v>2062</v>
      </c>
      <c r="F420" s="8"/>
      <c r="G420" s="8" t="s">
        <v>58</v>
      </c>
      <c r="H420" s="8" t="s">
        <v>67</v>
      </c>
      <c r="I420" s="8"/>
      <c r="J420" s="8"/>
      <c r="K420" s="8"/>
      <c r="L420" s="8" t="s">
        <v>241</v>
      </c>
      <c r="M420" s="23" t="n">
        <v>36900</v>
      </c>
      <c r="N420" s="23" t="n">
        <v>4767.891435</v>
      </c>
      <c r="O420" s="23" t="n">
        <v>4616.7143895</v>
      </c>
      <c r="P420" s="24" t="n">
        <v>19.3350783375</v>
      </c>
      <c r="Q420" s="24" t="n">
        <v>23.6406652708333</v>
      </c>
      <c r="R420" s="24" t="n">
        <v>19.3350783375</v>
      </c>
      <c r="S420" s="25" t="n">
        <v>0.00405526816226679</v>
      </c>
      <c r="T420" s="26" t="n">
        <v>0.75682650677413</v>
      </c>
      <c r="U420" s="23" t="n">
        <v>0</v>
      </c>
      <c r="V420" s="26" t="n">
        <v>-0.06</v>
      </c>
      <c r="W420" s="26" t="n">
        <v>0.169622306642884</v>
      </c>
      <c r="X420" s="26" t="n">
        <v>-0.299851940509773</v>
      </c>
      <c r="Y420" s="26" t="n">
        <v>-0.307708977313853</v>
      </c>
      <c r="Z420" s="26" t="n">
        <v>-0.0977852857046432</v>
      </c>
      <c r="AA420" s="26" t="n">
        <v>-0.0750923485819934</v>
      </c>
      <c r="AB420" s="26" t="n">
        <v>-0.563338839135535</v>
      </c>
      <c r="AC420" s="27" t="n">
        <v>0.475470889359411</v>
      </c>
      <c r="AD420" s="28" t="n">
        <f aca="false">Params!$B$6*Params!$B$7*$R420</f>
        <v>11.6010470025</v>
      </c>
      <c r="AE420" s="29" t="n">
        <f aca="false">MIN(Params!$B$9,AD420/Params!$B$4)</f>
        <v>0.023202094005</v>
      </c>
      <c r="AF420" s="29" t="n">
        <f aca="false">MIN(Params!$B$9,AD420/Params!$B$5)</f>
        <v>0.0116010470025</v>
      </c>
      <c r="AG420" s="28" t="n">
        <f aca="false">IF($R420&gt;0,Params!$B$9*Params!$B$4/(Params!$B$6*$R420),"n/a")</f>
        <v>7.75792046878227</v>
      </c>
      <c r="AH420" s="28" t="n">
        <f aca="false">IF($R420&gt;0,Params!$B$9*Params!$B$5/(Params!$B$6*$R420),"n/a")</f>
        <v>15.5158409375645</v>
      </c>
      <c r="AI420" s="28" t="n">
        <f aca="false">IF($R420&gt;0,Params!$B$15*Params!$B$4/(Params!$B$6*$R420),"n/a")</f>
        <v>2.58597348959409</v>
      </c>
      <c r="AJ420" s="29" t="n">
        <f aca="false">MIN(Params!$B$9,AD420*Params!$B$8/Params!$B$4)</f>
        <v>0.0116010470025</v>
      </c>
      <c r="AK420" s="28" t="n">
        <f aca="false">IF($R420&gt;0,Params!$B$9*Params!$B$4/(Params!$B$6*$R420*Params!$B$8),"n/a")</f>
        <v>15.5158409375645</v>
      </c>
      <c r="AL420" s="27" t="str">
        <f aca="false">IFERROR(ciq($D420,"IQ_PE_EXCL"),"")</f>
        <v/>
      </c>
      <c r="AM420" s="27" t="str">
        <f aca="false">IFERROR(ciq($D420,"IQ_PE_EXCL_FWD_CIQ"),"")</f>
        <v/>
      </c>
      <c r="AN420" s="27" t="str">
        <f aca="false">IFERROR(ciq($D420,"IQ_PBV"),"")</f>
        <v/>
      </c>
      <c r="AO420" s="27" t="str">
        <f aca="false">IFERROR(ciq($D420,"IQ_TEV_EBITDA"),"")</f>
        <v/>
      </c>
      <c r="AP420" s="24" t="str">
        <f aca="false">IFERROR(ciq($D420,"IQ_RETURN_EQUITY"),"")</f>
        <v/>
      </c>
      <c r="AQ420" s="24" t="str">
        <f aca="false">IFERROR(ciq($D420,"IQ_RETURN_CAPITAL"),"")</f>
        <v/>
      </c>
      <c r="AR420" s="24" t="str">
        <f aca="false">IFERROR(ciq($D420,"IQ_TOTAL_REV_1YR_ANN_GROWTH"),"")</f>
        <v/>
      </c>
      <c r="AS420" s="24" t="str">
        <f aca="false">IFERROR(ciq($D420,"IQ_EPS_1YR_ANN_GROWTH"),"")</f>
        <v/>
      </c>
      <c r="AT420" s="24" t="str">
        <f aca="false">IFERROR(ciq($D420,"IQ_DIVIDEND_YIELD"),"")</f>
        <v/>
      </c>
      <c r="AU420" s="24" t="str">
        <f aca="false">IFERROR(ciq($D420,"IQ_NET_DEBT"),"")</f>
        <v/>
      </c>
    </row>
    <row r="421" customFormat="false" ht="15" hidden="false" customHeight="false" outlineLevel="0" collapsed="false">
      <c r="A421" s="8" t="s">
        <v>414</v>
      </c>
      <c r="B421" s="6" t="s">
        <v>415</v>
      </c>
      <c r="C421" s="8" t="s">
        <v>72</v>
      </c>
      <c r="D421" s="8" t="s">
        <v>2063</v>
      </c>
      <c r="E421" s="8" t="s">
        <v>2064</v>
      </c>
      <c r="F421" s="8"/>
      <c r="G421" s="8" t="s">
        <v>58</v>
      </c>
      <c r="H421" s="8" t="s">
        <v>67</v>
      </c>
      <c r="I421" s="8" t="s">
        <v>508</v>
      </c>
      <c r="J421" s="8"/>
      <c r="K421" s="8"/>
      <c r="L421" s="6" t="s">
        <v>370</v>
      </c>
      <c r="M421" s="23" t="n">
        <v>17280</v>
      </c>
      <c r="N421" s="23" t="n">
        <v>4745.38176</v>
      </c>
      <c r="O421" s="23" t="n">
        <v>4570.450731</v>
      </c>
      <c r="P421" s="24" t="n">
        <v>31.4042759975</v>
      </c>
      <c r="Q421" s="24" t="n">
        <v>26.1212868908333</v>
      </c>
      <c r="R421" s="24" t="n">
        <v>26.1212868908333</v>
      </c>
      <c r="S421" s="25" t="n">
        <v>0.00661786081411077</v>
      </c>
      <c r="T421" s="26" t="n">
        <v>1.4665875304164</v>
      </c>
      <c r="U421" s="23" t="n">
        <v>2</v>
      </c>
      <c r="V421" s="26" t="n">
        <v>-0.04</v>
      </c>
      <c r="W421" s="26" t="n">
        <v>0.0106398699271297</v>
      </c>
      <c r="X421" s="26" t="n">
        <v>-0.18722495580433</v>
      </c>
      <c r="Y421" s="26" t="n">
        <v>-0.585524446832953</v>
      </c>
      <c r="Z421" s="26" t="n">
        <v>-0.636843575096891</v>
      </c>
      <c r="AA421" s="26" t="n">
        <v>-0.661122960204226</v>
      </c>
      <c r="AB421" s="26" t="n">
        <v>-0.766853611747961</v>
      </c>
      <c r="AC421" s="27" t="n">
        <v>1.0920917283666</v>
      </c>
      <c r="AD421" s="28" t="n">
        <f aca="false">Params!$B$6*Params!$B$7*$R421</f>
        <v>15.6727721345</v>
      </c>
      <c r="AE421" s="29" t="n">
        <f aca="false">MIN(Params!$B$9,AD421/Params!$B$4)</f>
        <v>0.031345544269</v>
      </c>
      <c r="AF421" s="29" t="n">
        <f aca="false">MIN(Params!$B$9,AD421/Params!$B$5)</f>
        <v>0.0156727721345</v>
      </c>
      <c r="AG421" s="28" t="n">
        <f aca="false">IF($R421&gt;0,Params!$B$9*Params!$B$4/(Params!$B$6*$R421),"n/a")</f>
        <v>5.74244295952505</v>
      </c>
      <c r="AH421" s="28" t="n">
        <f aca="false">IF($R421&gt;0,Params!$B$9*Params!$B$5/(Params!$B$6*$R421),"n/a")</f>
        <v>11.4848859190501</v>
      </c>
      <c r="AI421" s="28" t="n">
        <f aca="false">IF($R421&gt;0,Params!$B$15*Params!$B$4/(Params!$B$6*$R421),"n/a")</f>
        <v>1.91414765317502</v>
      </c>
      <c r="AJ421" s="29" t="n">
        <f aca="false">MIN(Params!$B$9,AD421*Params!$B$8/Params!$B$4)</f>
        <v>0.0156727721345</v>
      </c>
      <c r="AK421" s="28" t="n">
        <f aca="false">IF($R421&gt;0,Params!$B$9*Params!$B$4/(Params!$B$6*$R421*Params!$B$8),"n/a")</f>
        <v>11.4848859190501</v>
      </c>
      <c r="AL421" s="27" t="str">
        <f aca="false">IFERROR(ciq($D421,"IQ_PE_EXCL"),"")</f>
        <v/>
      </c>
      <c r="AM421" s="27" t="str">
        <f aca="false">IFERROR(ciq($D421,"IQ_PE_EXCL_FWD_CIQ"),"")</f>
        <v/>
      </c>
      <c r="AN421" s="27" t="str">
        <f aca="false">IFERROR(ciq($D421,"IQ_PBV"),"")</f>
        <v/>
      </c>
      <c r="AO421" s="27" t="str">
        <f aca="false">IFERROR(ciq($D421,"IQ_TEV_EBITDA"),"")</f>
        <v/>
      </c>
      <c r="AP421" s="24" t="str">
        <f aca="false">IFERROR(ciq($D421,"IQ_RETURN_EQUITY"),"")</f>
        <v/>
      </c>
      <c r="AQ421" s="24" t="str">
        <f aca="false">IFERROR(ciq($D421,"IQ_RETURN_CAPITAL"),"")</f>
        <v/>
      </c>
      <c r="AR421" s="24" t="str">
        <f aca="false">IFERROR(ciq($D421,"IQ_TOTAL_REV_1YR_ANN_GROWTH"),"")</f>
        <v/>
      </c>
      <c r="AS421" s="24" t="str">
        <f aca="false">IFERROR(ciq($D421,"IQ_EPS_1YR_ANN_GROWTH"),"")</f>
        <v/>
      </c>
      <c r="AT421" s="24" t="str">
        <f aca="false">IFERROR(ciq($D421,"IQ_DIVIDEND_YIELD"),"")</f>
        <v/>
      </c>
      <c r="AU421" s="24" t="str">
        <f aca="false">IFERROR(ciq($D421,"IQ_NET_DEBT"),"")</f>
        <v/>
      </c>
    </row>
    <row r="422" customFormat="false" ht="15" hidden="false" customHeight="false" outlineLevel="0" collapsed="false">
      <c r="A422" s="8" t="s">
        <v>2065</v>
      </c>
      <c r="B422" s="6" t="s">
        <v>2066</v>
      </c>
      <c r="C422" s="8" t="s">
        <v>72</v>
      </c>
      <c r="D422" s="8" t="s">
        <v>2067</v>
      </c>
      <c r="E422" s="8" t="s">
        <v>2068</v>
      </c>
      <c r="F422" s="6" t="s">
        <v>2069</v>
      </c>
      <c r="G422" s="8" t="s">
        <v>58</v>
      </c>
      <c r="H422" s="8" t="s">
        <v>67</v>
      </c>
      <c r="I422" s="8"/>
      <c r="J422" s="8"/>
      <c r="K422" s="8"/>
      <c r="L422" s="8" t="s">
        <v>241</v>
      </c>
      <c r="M422" s="23" t="n">
        <v>15670</v>
      </c>
      <c r="N422" s="23" t="n">
        <v>4730.2991392</v>
      </c>
      <c r="O422" s="23" t="n">
        <v>5094.65593952</v>
      </c>
      <c r="P422" s="24" t="n">
        <v>24.4670066875</v>
      </c>
      <c r="Q422" s="24" t="n">
        <v>18.9011711291667</v>
      </c>
      <c r="R422" s="24" t="n">
        <v>18.9011711291667</v>
      </c>
      <c r="S422" s="25" t="n">
        <v>0.00517240156859042</v>
      </c>
      <c r="T422" s="26" t="n">
        <v>0.704292177813167</v>
      </c>
      <c r="U422" s="23" t="n">
        <v>0</v>
      </c>
      <c r="V422" s="26" t="n">
        <v>-0.06</v>
      </c>
      <c r="W422" s="26" t="n">
        <v>-0.196983181897535</v>
      </c>
      <c r="X422" s="26" t="n">
        <v>-0.370904612302509</v>
      </c>
      <c r="Y422" s="26" t="n">
        <v>-0.49227136061246</v>
      </c>
      <c r="Z422" s="26" t="n">
        <v>-0.329336922829744</v>
      </c>
      <c r="AA422" s="26" t="n">
        <v>-0.188368763648847</v>
      </c>
      <c r="AB422" s="26" t="n">
        <v>-0.531732929079534</v>
      </c>
      <c r="AC422" s="27" t="n">
        <v>0.858169946902154</v>
      </c>
      <c r="AD422" s="28" t="n">
        <f aca="false">Params!$B$6*Params!$B$7*$R422</f>
        <v>11.3407026775</v>
      </c>
      <c r="AE422" s="29" t="n">
        <f aca="false">MIN(Params!$B$9,AD422/Params!$B$4)</f>
        <v>0.022681405355</v>
      </c>
      <c r="AF422" s="29" t="n">
        <f aca="false">MIN(Params!$B$9,AD422/Params!$B$5)</f>
        <v>0.0113407026775</v>
      </c>
      <c r="AG422" s="28" t="n">
        <f aca="false">IF($R422&gt;0,Params!$B$9*Params!$B$4/(Params!$B$6*$R422),"n/a")</f>
        <v>7.93601618518404</v>
      </c>
      <c r="AH422" s="28" t="n">
        <f aca="false">IF($R422&gt;0,Params!$B$9*Params!$B$5/(Params!$B$6*$R422),"n/a")</f>
        <v>15.8720323703681</v>
      </c>
      <c r="AI422" s="28" t="n">
        <f aca="false">IF($R422&gt;0,Params!$B$15*Params!$B$4/(Params!$B$6*$R422),"n/a")</f>
        <v>2.64533872839468</v>
      </c>
      <c r="AJ422" s="29" t="n">
        <f aca="false">MIN(Params!$B$9,AD422*Params!$B$8/Params!$B$4)</f>
        <v>0.0113407026775</v>
      </c>
      <c r="AK422" s="28" t="n">
        <f aca="false">IF($R422&gt;0,Params!$B$9*Params!$B$4/(Params!$B$6*$R422*Params!$B$8),"n/a")</f>
        <v>15.8720323703681</v>
      </c>
      <c r="AL422" s="27" t="str">
        <f aca="false">IFERROR(ciq($D422,"IQ_PE_EXCL"),"")</f>
        <v/>
      </c>
      <c r="AM422" s="27" t="str">
        <f aca="false">IFERROR(ciq($D422,"IQ_PE_EXCL_FWD_CIQ"),"")</f>
        <v/>
      </c>
      <c r="AN422" s="27" t="str">
        <f aca="false">IFERROR(ciq($D422,"IQ_PBV"),"")</f>
        <v/>
      </c>
      <c r="AO422" s="27" t="str">
        <f aca="false">IFERROR(ciq($D422,"IQ_TEV_EBITDA"),"")</f>
        <v/>
      </c>
      <c r="AP422" s="24" t="str">
        <f aca="false">IFERROR(ciq($D422,"IQ_RETURN_EQUITY"),"")</f>
        <v/>
      </c>
      <c r="AQ422" s="24" t="str">
        <f aca="false">IFERROR(ciq($D422,"IQ_RETURN_CAPITAL"),"")</f>
        <v/>
      </c>
      <c r="AR422" s="24" t="str">
        <f aca="false">IFERROR(ciq($D422,"IQ_TOTAL_REV_1YR_ANN_GROWTH"),"")</f>
        <v/>
      </c>
      <c r="AS422" s="24" t="str">
        <f aca="false">IFERROR(ciq($D422,"IQ_EPS_1YR_ANN_GROWTH"),"")</f>
        <v/>
      </c>
      <c r="AT422" s="24" t="str">
        <f aca="false">IFERROR(ciq($D422,"IQ_DIVIDEND_YIELD"),"")</f>
        <v/>
      </c>
      <c r="AU422" s="24" t="str">
        <f aca="false">IFERROR(ciq($D422,"IQ_NET_DEBT"),"")</f>
        <v/>
      </c>
    </row>
    <row r="423" customFormat="false" ht="15" hidden="false" customHeight="false" outlineLevel="0" collapsed="false">
      <c r="A423" s="8" t="s">
        <v>416</v>
      </c>
      <c r="B423" s="6" t="s">
        <v>417</v>
      </c>
      <c r="C423" s="8" t="s">
        <v>73</v>
      </c>
      <c r="D423" s="8" t="s">
        <v>2070</v>
      </c>
      <c r="E423" s="8" t="s">
        <v>2071</v>
      </c>
      <c r="F423" s="8"/>
      <c r="G423" s="8" t="s">
        <v>58</v>
      </c>
      <c r="H423" s="8" t="s">
        <v>67</v>
      </c>
      <c r="I423" s="8" t="s">
        <v>508</v>
      </c>
      <c r="J423" s="8"/>
      <c r="K423" s="8"/>
      <c r="L423" s="6" t="s">
        <v>124</v>
      </c>
      <c r="M423" s="23" t="n">
        <v>29300</v>
      </c>
      <c r="N423" s="23" t="n">
        <v>4708.54516</v>
      </c>
      <c r="O423" s="23" t="n">
        <v>3171.39305</v>
      </c>
      <c r="P423" s="24" t="n">
        <v>30.8697805</v>
      </c>
      <c r="Q423" s="24" t="n">
        <v>29.9785260666667</v>
      </c>
      <c r="R423" s="24" t="n">
        <v>29.9785260666667</v>
      </c>
      <c r="S423" s="25" t="n">
        <v>0.0065561185994869</v>
      </c>
      <c r="T423" s="26" t="n">
        <v>0.588717308236261</v>
      </c>
      <c r="U423" s="23" t="n">
        <v>0</v>
      </c>
      <c r="V423" s="26" t="n">
        <v>-0.06</v>
      </c>
      <c r="W423" s="26" t="n">
        <v>-0.117434919043908</v>
      </c>
      <c r="X423" s="26" t="n">
        <v>-5.14365892844149E-005</v>
      </c>
      <c r="Y423" s="26" t="n">
        <v>0.128195117972504</v>
      </c>
      <c r="Z423" s="26" t="n">
        <v>0.17975091894241</v>
      </c>
      <c r="AA423" s="26" t="n">
        <v>0.0759211660742147</v>
      </c>
      <c r="AB423" s="26" t="n">
        <v>-0.125357241133946</v>
      </c>
      <c r="AC423" s="27" t="n">
        <v>0.899107208827579</v>
      </c>
      <c r="AD423" s="28" t="n">
        <f aca="false">Params!$B$6*Params!$B$7*$R423</f>
        <v>17.98711564</v>
      </c>
      <c r="AE423" s="29" t="n">
        <f aca="false">MIN(Params!$B$9,AD423/Params!$B$4)</f>
        <v>0.03597423128</v>
      </c>
      <c r="AF423" s="29" t="n">
        <f aca="false">MIN(Params!$B$9,AD423/Params!$B$5)</f>
        <v>0.01798711564</v>
      </c>
      <c r="AG423" s="28" t="n">
        <f aca="false">IF($R423&gt;0,Params!$B$9*Params!$B$4/(Params!$B$6*$R423),"n/a")</f>
        <v>5.00358155255625</v>
      </c>
      <c r="AH423" s="28" t="n">
        <f aca="false">IF($R423&gt;0,Params!$B$9*Params!$B$5/(Params!$B$6*$R423),"n/a")</f>
        <v>10.0071631051125</v>
      </c>
      <c r="AI423" s="28" t="n">
        <f aca="false">IF($R423&gt;0,Params!$B$15*Params!$B$4/(Params!$B$6*$R423),"n/a")</f>
        <v>1.66786051751875</v>
      </c>
      <c r="AJ423" s="29" t="n">
        <f aca="false">MIN(Params!$B$9,AD423*Params!$B$8/Params!$B$4)</f>
        <v>0.01798711564</v>
      </c>
      <c r="AK423" s="28" t="n">
        <f aca="false">IF($R423&gt;0,Params!$B$9*Params!$B$4/(Params!$B$6*$R423*Params!$B$8),"n/a")</f>
        <v>10.0071631051125</v>
      </c>
      <c r="AL423" s="27" t="str">
        <f aca="false">IFERROR(ciq($D423,"IQ_PE_EXCL"),"")</f>
        <v/>
      </c>
      <c r="AM423" s="27" t="str">
        <f aca="false">IFERROR(ciq($D423,"IQ_PE_EXCL_FWD_CIQ"),"")</f>
        <v/>
      </c>
      <c r="AN423" s="27" t="str">
        <f aca="false">IFERROR(ciq($D423,"IQ_PBV"),"")</f>
        <v/>
      </c>
      <c r="AO423" s="27" t="str">
        <f aca="false">IFERROR(ciq($D423,"IQ_TEV_EBITDA"),"")</f>
        <v/>
      </c>
      <c r="AP423" s="24" t="str">
        <f aca="false">IFERROR(ciq($D423,"IQ_RETURN_EQUITY"),"")</f>
        <v/>
      </c>
      <c r="AQ423" s="24" t="str">
        <f aca="false">IFERROR(ciq($D423,"IQ_RETURN_CAPITAL"),"")</f>
        <v/>
      </c>
      <c r="AR423" s="24" t="str">
        <f aca="false">IFERROR(ciq($D423,"IQ_TOTAL_REV_1YR_ANN_GROWTH"),"")</f>
        <v/>
      </c>
      <c r="AS423" s="24" t="str">
        <f aca="false">IFERROR(ciq($D423,"IQ_EPS_1YR_ANN_GROWTH"),"")</f>
        <v/>
      </c>
      <c r="AT423" s="24" t="str">
        <f aca="false">IFERROR(ciq($D423,"IQ_DIVIDEND_YIELD"),"")</f>
        <v/>
      </c>
      <c r="AU423" s="24" t="str">
        <f aca="false">IFERROR(ciq($D423,"IQ_NET_DEBT"),"")</f>
        <v/>
      </c>
    </row>
    <row r="424" customFormat="false" ht="15" hidden="false" customHeight="false" outlineLevel="0" collapsed="false">
      <c r="A424" s="8" t="s">
        <v>2072</v>
      </c>
      <c r="B424" s="6" t="s">
        <v>2073</v>
      </c>
      <c r="C424" s="8" t="s">
        <v>73</v>
      </c>
      <c r="D424" s="8" t="s">
        <v>2074</v>
      </c>
      <c r="E424" s="8" t="s">
        <v>2075</v>
      </c>
      <c r="F424" s="8"/>
      <c r="G424" s="8" t="s">
        <v>58</v>
      </c>
      <c r="H424" s="8" t="s">
        <v>67</v>
      </c>
      <c r="I424" s="8"/>
      <c r="J424" s="8"/>
      <c r="K424" s="8"/>
      <c r="L424" s="8"/>
      <c r="M424" s="23" t="n">
        <v>22300</v>
      </c>
      <c r="N424" s="23" t="n">
        <v>4677.409836</v>
      </c>
      <c r="O424" s="23" t="n">
        <v>5080.1285304</v>
      </c>
      <c r="P424" s="24" t="n">
        <v>41.0603916875</v>
      </c>
      <c r="Q424" s="24" t="n">
        <v>67.7072409666667</v>
      </c>
      <c r="R424" s="24" t="n">
        <v>41.0603916875</v>
      </c>
      <c r="S424" s="25" t="n">
        <v>0.00877844643235577</v>
      </c>
      <c r="T424" s="26" t="n">
        <v>0.924418060663765</v>
      </c>
      <c r="U424" s="23" t="n">
        <v>1</v>
      </c>
      <c r="V424" s="26" t="n">
        <v>-0.06</v>
      </c>
      <c r="W424" s="26" t="n">
        <v>-0.0612145891711435</v>
      </c>
      <c r="X424" s="26" t="n">
        <v>-0.225957712410209</v>
      </c>
      <c r="Y424" s="26" t="n">
        <v>-0.317394589665652</v>
      </c>
      <c r="Z424" s="26" t="n">
        <v>-0.0732562323634775</v>
      </c>
      <c r="AA424" s="26" t="n">
        <v>-0.155978136616373</v>
      </c>
      <c r="AB424" s="26" t="n">
        <v>-0.494074526888404</v>
      </c>
      <c r="AC424" s="27" t="n">
        <v>0.553278249855072</v>
      </c>
      <c r="AD424" s="28" t="n">
        <f aca="false">Params!$B$6*Params!$B$7*$R424</f>
        <v>24.6362350125</v>
      </c>
      <c r="AE424" s="29" t="n">
        <f aca="false">MIN(Params!$B$9,AD424/Params!$B$4)</f>
        <v>0.049272470025</v>
      </c>
      <c r="AF424" s="29" t="n">
        <f aca="false">MIN(Params!$B$9,AD424/Params!$B$5)</f>
        <v>0.0246362350125</v>
      </c>
      <c r="AG424" s="28" t="n">
        <f aca="false">IF($R424&gt;0,Params!$B$9*Params!$B$4/(Params!$B$6*$R424),"n/a")</f>
        <v>3.65315560410653</v>
      </c>
      <c r="AH424" s="28" t="n">
        <f aca="false">IF($R424&gt;0,Params!$B$9*Params!$B$5/(Params!$B$6*$R424),"n/a")</f>
        <v>7.30631120821307</v>
      </c>
      <c r="AI424" s="28" t="n">
        <f aca="false">IF($R424&gt;0,Params!$B$15*Params!$B$4/(Params!$B$6*$R424),"n/a")</f>
        <v>1.21771853470218</v>
      </c>
      <c r="AJ424" s="29" t="n">
        <f aca="false">MIN(Params!$B$9,AD424*Params!$B$8/Params!$B$4)</f>
        <v>0.0246362350125</v>
      </c>
      <c r="AK424" s="28" t="n">
        <f aca="false">IF($R424&gt;0,Params!$B$9*Params!$B$4/(Params!$B$6*$R424*Params!$B$8),"n/a")</f>
        <v>7.30631120821307</v>
      </c>
      <c r="AL424" s="27" t="str">
        <f aca="false">IFERROR(ciq($D424,"IQ_PE_EXCL"),"")</f>
        <v/>
      </c>
      <c r="AM424" s="27" t="str">
        <f aca="false">IFERROR(ciq($D424,"IQ_PE_EXCL_FWD_CIQ"),"")</f>
        <v/>
      </c>
      <c r="AN424" s="27" t="str">
        <f aca="false">IFERROR(ciq($D424,"IQ_PBV"),"")</f>
        <v/>
      </c>
      <c r="AO424" s="27" t="str">
        <f aca="false">IFERROR(ciq($D424,"IQ_TEV_EBITDA"),"")</f>
        <v/>
      </c>
      <c r="AP424" s="24" t="str">
        <f aca="false">IFERROR(ciq($D424,"IQ_RETURN_EQUITY"),"")</f>
        <v/>
      </c>
      <c r="AQ424" s="24" t="str">
        <f aca="false">IFERROR(ciq($D424,"IQ_RETURN_CAPITAL"),"")</f>
        <v/>
      </c>
      <c r="AR424" s="24" t="str">
        <f aca="false">IFERROR(ciq($D424,"IQ_TOTAL_REV_1YR_ANN_GROWTH"),"")</f>
        <v/>
      </c>
      <c r="AS424" s="24" t="str">
        <f aca="false">IFERROR(ciq($D424,"IQ_EPS_1YR_ANN_GROWTH"),"")</f>
        <v/>
      </c>
      <c r="AT424" s="24" t="str">
        <f aca="false">IFERROR(ciq($D424,"IQ_DIVIDEND_YIELD"),"")</f>
        <v/>
      </c>
      <c r="AU424" s="24" t="str">
        <f aca="false">IFERROR(ciq($D424,"IQ_NET_DEBT"),"")</f>
        <v/>
      </c>
    </row>
    <row r="425" customFormat="false" ht="15" hidden="false" customHeight="false" outlineLevel="0" collapsed="false">
      <c r="A425" s="8" t="s">
        <v>2076</v>
      </c>
      <c r="B425" s="6" t="s">
        <v>2077</v>
      </c>
      <c r="C425" s="8" t="s">
        <v>73</v>
      </c>
      <c r="D425" s="8" t="s">
        <v>2078</v>
      </c>
      <c r="E425" s="8" t="s">
        <v>2079</v>
      </c>
      <c r="F425" s="8"/>
      <c r="G425" s="8" t="s">
        <v>58</v>
      </c>
      <c r="H425" s="8" t="s">
        <v>67</v>
      </c>
      <c r="I425" s="8"/>
      <c r="J425" s="8"/>
      <c r="K425" s="8"/>
      <c r="L425" s="8" t="s">
        <v>241</v>
      </c>
      <c r="M425" s="23" t="n">
        <v>13150</v>
      </c>
      <c r="N425" s="23" t="n">
        <v>4669.6532365</v>
      </c>
      <c r="O425" s="23" t="n">
        <v>5063.644131245</v>
      </c>
      <c r="P425" s="24" t="n">
        <v>54.890468685</v>
      </c>
      <c r="Q425" s="24" t="n">
        <v>91.6055733683333</v>
      </c>
      <c r="R425" s="24" t="n">
        <v>54.890468685</v>
      </c>
      <c r="S425" s="25" t="n">
        <v>0.0117547205124254</v>
      </c>
      <c r="T425" s="26" t="n">
        <v>0.924913207820064</v>
      </c>
      <c r="U425" s="23" t="n">
        <v>1</v>
      </c>
      <c r="V425" s="26" t="n">
        <v>-0.06</v>
      </c>
      <c r="W425" s="26" t="n">
        <v>-0.100519070485092</v>
      </c>
      <c r="X425" s="26" t="n">
        <v>-0.0163907782195902</v>
      </c>
      <c r="Y425" s="26" t="n">
        <v>-0.271954028790961</v>
      </c>
      <c r="Z425" s="26" t="n">
        <v>-0.256884208914406</v>
      </c>
      <c r="AA425" s="26" t="n">
        <v>-0.403939141042197</v>
      </c>
      <c r="AB425" s="26" t="n">
        <v>-0.573961929469463</v>
      </c>
      <c r="AC425" s="27" t="n">
        <v>0.584231579948203</v>
      </c>
      <c r="AD425" s="28" t="n">
        <f aca="false">Params!$B$6*Params!$B$7*$R425</f>
        <v>32.934281211</v>
      </c>
      <c r="AE425" s="29" t="n">
        <f aca="false">MIN(Params!$B$9,AD425/Params!$B$4)</f>
        <v>0.06</v>
      </c>
      <c r="AF425" s="29" t="n">
        <f aca="false">MIN(Params!$B$9,AD425/Params!$B$5)</f>
        <v>0.032934281211</v>
      </c>
      <c r="AG425" s="28" t="n">
        <f aca="false">IF($R425&gt;0,Params!$B$9*Params!$B$4/(Params!$B$6*$R425),"n/a")</f>
        <v>2.73271487005887</v>
      </c>
      <c r="AH425" s="28" t="n">
        <f aca="false">IF($R425&gt;0,Params!$B$9*Params!$B$5/(Params!$B$6*$R425),"n/a")</f>
        <v>5.46542974011773</v>
      </c>
      <c r="AI425" s="28" t="n">
        <f aca="false">IF($R425&gt;0,Params!$B$15*Params!$B$4/(Params!$B$6*$R425),"n/a")</f>
        <v>0.910904956686288</v>
      </c>
      <c r="AJ425" s="29" t="n">
        <f aca="false">MIN(Params!$B$9,AD425*Params!$B$8/Params!$B$4)</f>
        <v>0.032934281211</v>
      </c>
      <c r="AK425" s="28" t="n">
        <f aca="false">IF($R425&gt;0,Params!$B$9*Params!$B$4/(Params!$B$6*$R425*Params!$B$8),"n/a")</f>
        <v>5.46542974011773</v>
      </c>
      <c r="AL425" s="27" t="str">
        <f aca="false">IFERROR(ciq($D425,"IQ_PE_EXCL"),"")</f>
        <v/>
      </c>
      <c r="AM425" s="27" t="str">
        <f aca="false">IFERROR(ciq($D425,"IQ_PE_EXCL_FWD_CIQ"),"")</f>
        <v/>
      </c>
      <c r="AN425" s="27" t="str">
        <f aca="false">IFERROR(ciq($D425,"IQ_PBV"),"")</f>
        <v/>
      </c>
      <c r="AO425" s="27" t="str">
        <f aca="false">IFERROR(ciq($D425,"IQ_TEV_EBITDA"),"")</f>
        <v/>
      </c>
      <c r="AP425" s="24" t="str">
        <f aca="false">IFERROR(ciq($D425,"IQ_RETURN_EQUITY"),"")</f>
        <v/>
      </c>
      <c r="AQ425" s="24" t="str">
        <f aca="false">IFERROR(ciq($D425,"IQ_RETURN_CAPITAL"),"")</f>
        <v/>
      </c>
      <c r="AR425" s="24" t="str">
        <f aca="false">IFERROR(ciq($D425,"IQ_TOTAL_REV_1YR_ANN_GROWTH"),"")</f>
        <v/>
      </c>
      <c r="AS425" s="24" t="str">
        <f aca="false">IFERROR(ciq($D425,"IQ_EPS_1YR_ANN_GROWTH"),"")</f>
        <v/>
      </c>
      <c r="AT425" s="24" t="str">
        <f aca="false">IFERROR(ciq($D425,"IQ_DIVIDEND_YIELD"),"")</f>
        <v/>
      </c>
      <c r="AU425" s="24" t="str">
        <f aca="false">IFERROR(ciq($D425,"IQ_NET_DEBT"),"")</f>
        <v/>
      </c>
    </row>
    <row r="426" customFormat="false" ht="15" hidden="false" customHeight="false" outlineLevel="0" collapsed="false">
      <c r="A426" s="8" t="s">
        <v>418</v>
      </c>
      <c r="B426" s="6" t="s">
        <v>419</v>
      </c>
      <c r="C426" s="8" t="s">
        <v>73</v>
      </c>
      <c r="D426" s="8" t="s">
        <v>2080</v>
      </c>
      <c r="E426" s="8" t="s">
        <v>2081</v>
      </c>
      <c r="F426" s="8"/>
      <c r="G426" s="8" t="s">
        <v>58</v>
      </c>
      <c r="H426" s="8" t="s">
        <v>67</v>
      </c>
      <c r="I426" s="8" t="s">
        <v>508</v>
      </c>
      <c r="J426" s="8"/>
      <c r="K426" s="8"/>
      <c r="L426" s="8" t="s">
        <v>379</v>
      </c>
      <c r="M426" s="23" t="n">
        <v>16770</v>
      </c>
      <c r="N426" s="23" t="n">
        <v>4621.6077414</v>
      </c>
      <c r="O426" s="23" t="n">
        <v>6065.95146828</v>
      </c>
      <c r="P426" s="24" t="n">
        <v>71.449324935</v>
      </c>
      <c r="Q426" s="24" t="n">
        <v>91.1417365633333</v>
      </c>
      <c r="R426" s="24" t="n">
        <v>71.449324935</v>
      </c>
      <c r="S426" s="25" t="n">
        <v>0.0154598418846677</v>
      </c>
      <c r="T426" s="26" t="n">
        <v>1.05461749819142</v>
      </c>
      <c r="U426" s="23" t="n">
        <v>1</v>
      </c>
      <c r="V426" s="26" t="n">
        <v>-0.06</v>
      </c>
      <c r="W426" s="26" t="n">
        <v>-0.368455500085874</v>
      </c>
      <c r="X426" s="26" t="n">
        <v>-0.595392705598294</v>
      </c>
      <c r="Y426" s="26" t="n">
        <v>-0.729101069184362</v>
      </c>
      <c r="Z426" s="26" t="n">
        <v>-0.694458030710858</v>
      </c>
      <c r="AA426" s="26" t="n">
        <v>-0.226785847960393</v>
      </c>
      <c r="AB426" s="26" t="n">
        <v>-0.771251493611643</v>
      </c>
      <c r="AC426" s="27" t="n">
        <v>0.517562359737295</v>
      </c>
      <c r="AD426" s="28" t="n">
        <f aca="false">Params!$B$6*Params!$B$7*$R426</f>
        <v>42.869594961</v>
      </c>
      <c r="AE426" s="29" t="n">
        <f aca="false">MIN(Params!$B$9,AD426/Params!$B$4)</f>
        <v>0.06</v>
      </c>
      <c r="AF426" s="29" t="n">
        <f aca="false">MIN(Params!$B$9,AD426/Params!$B$5)</f>
        <v>0.042869594961</v>
      </c>
      <c r="AG426" s="28" t="n">
        <f aca="false">IF($R426&gt;0,Params!$B$9*Params!$B$4/(Params!$B$6*$R426),"n/a")</f>
        <v>2.09939002413893</v>
      </c>
      <c r="AH426" s="28" t="n">
        <f aca="false">IF($R426&gt;0,Params!$B$9*Params!$B$5/(Params!$B$6*$R426),"n/a")</f>
        <v>4.19878004827786</v>
      </c>
      <c r="AI426" s="28" t="n">
        <f aca="false">IF($R426&gt;0,Params!$B$15*Params!$B$4/(Params!$B$6*$R426),"n/a")</f>
        <v>0.699796674712977</v>
      </c>
      <c r="AJ426" s="29" t="n">
        <f aca="false">MIN(Params!$B$9,AD426*Params!$B$8/Params!$B$4)</f>
        <v>0.042869594961</v>
      </c>
      <c r="AK426" s="28" t="n">
        <f aca="false">IF($R426&gt;0,Params!$B$9*Params!$B$4/(Params!$B$6*$R426*Params!$B$8),"n/a")</f>
        <v>4.19878004827786</v>
      </c>
      <c r="AL426" s="27" t="str">
        <f aca="false">IFERROR(ciq($D426,"IQ_PE_EXCL"),"")</f>
        <v/>
      </c>
      <c r="AM426" s="27" t="str">
        <f aca="false">IFERROR(ciq($D426,"IQ_PE_EXCL_FWD_CIQ"),"")</f>
        <v/>
      </c>
      <c r="AN426" s="27" t="str">
        <f aca="false">IFERROR(ciq($D426,"IQ_PBV"),"")</f>
        <v/>
      </c>
      <c r="AO426" s="27" t="str">
        <f aca="false">IFERROR(ciq($D426,"IQ_TEV_EBITDA"),"")</f>
        <v/>
      </c>
      <c r="AP426" s="24" t="str">
        <f aca="false">IFERROR(ciq($D426,"IQ_RETURN_EQUITY"),"")</f>
        <v/>
      </c>
      <c r="AQ426" s="24" t="str">
        <f aca="false">IFERROR(ciq($D426,"IQ_RETURN_CAPITAL"),"")</f>
        <v/>
      </c>
      <c r="AR426" s="24" t="str">
        <f aca="false">IFERROR(ciq($D426,"IQ_TOTAL_REV_1YR_ANN_GROWTH"),"")</f>
        <v/>
      </c>
      <c r="AS426" s="24" t="str">
        <f aca="false">IFERROR(ciq($D426,"IQ_EPS_1YR_ANN_GROWTH"),"")</f>
        <v/>
      </c>
      <c r="AT426" s="24" t="str">
        <f aca="false">IFERROR(ciq($D426,"IQ_DIVIDEND_YIELD"),"")</f>
        <v/>
      </c>
      <c r="AU426" s="24" t="str">
        <f aca="false">IFERROR(ciq($D426,"IQ_NET_DEBT"),"")</f>
        <v/>
      </c>
    </row>
    <row r="427" customFormat="false" ht="15" hidden="false" customHeight="false" outlineLevel="0" collapsed="false">
      <c r="A427" s="8" t="s">
        <v>2082</v>
      </c>
      <c r="B427" s="6" t="s">
        <v>2083</v>
      </c>
      <c r="C427" s="8" t="s">
        <v>73</v>
      </c>
      <c r="D427" s="8" t="s">
        <v>2084</v>
      </c>
      <c r="E427" s="8" t="s">
        <v>2085</v>
      </c>
      <c r="F427" s="6" t="s">
        <v>627</v>
      </c>
      <c r="G427" s="8" t="s">
        <v>58</v>
      </c>
      <c r="H427" s="8" t="s">
        <v>67</v>
      </c>
      <c r="I427" s="8"/>
      <c r="J427" s="8"/>
      <c r="K427" s="8"/>
      <c r="L427" s="8" t="s">
        <v>241</v>
      </c>
      <c r="M427" s="23" t="n">
        <v>10370</v>
      </c>
      <c r="N427" s="23" t="n">
        <v>4590.7163511</v>
      </c>
      <c r="O427" s="23" t="n">
        <v>4951.51035555</v>
      </c>
      <c r="P427" s="24" t="n">
        <v>24.0150792575</v>
      </c>
      <c r="Q427" s="24" t="n">
        <v>26.5962320641667</v>
      </c>
      <c r="R427" s="24" t="n">
        <v>24.0150792575</v>
      </c>
      <c r="S427" s="25" t="n">
        <v>0.00523122698524941</v>
      </c>
      <c r="T427" s="26" t="n">
        <v>0.773309128532171</v>
      </c>
      <c r="U427" s="23" t="n">
        <v>0</v>
      </c>
      <c r="V427" s="26" t="n">
        <v>-0.06</v>
      </c>
      <c r="W427" s="26" t="n">
        <v>-0.100578510115888</v>
      </c>
      <c r="X427" s="26" t="n">
        <v>-0.221879163327003</v>
      </c>
      <c r="Y427" s="26" t="n">
        <v>-0.730558291263974</v>
      </c>
      <c r="Z427" s="26" t="n">
        <v>-0.642179286849645</v>
      </c>
      <c r="AA427" s="26" t="n">
        <v>-0.791485782695156</v>
      </c>
      <c r="AB427" s="26" t="n">
        <v>-0.825035332907467</v>
      </c>
      <c r="AC427" s="27" t="n">
        <v>0.432879397579384</v>
      </c>
      <c r="AD427" s="28" t="n">
        <f aca="false">Params!$B$6*Params!$B$7*$R427</f>
        <v>14.4090475545</v>
      </c>
      <c r="AE427" s="29" t="n">
        <f aca="false">MIN(Params!$B$9,AD427/Params!$B$4)</f>
        <v>0.028818095109</v>
      </c>
      <c r="AF427" s="29" t="n">
        <f aca="false">MIN(Params!$B$9,AD427/Params!$B$5)</f>
        <v>0.0144090475545</v>
      </c>
      <c r="AG427" s="28" t="n">
        <f aca="false">IF($R427&gt;0,Params!$B$9*Params!$B$4/(Params!$B$6*$R427),"n/a")</f>
        <v>6.2460755757512</v>
      </c>
      <c r="AH427" s="28" t="n">
        <f aca="false">IF($R427&gt;0,Params!$B$9*Params!$B$5/(Params!$B$6*$R427),"n/a")</f>
        <v>12.4921511515024</v>
      </c>
      <c r="AI427" s="28" t="n">
        <f aca="false">IF($R427&gt;0,Params!$B$15*Params!$B$4/(Params!$B$6*$R427),"n/a")</f>
        <v>2.08202519191707</v>
      </c>
      <c r="AJ427" s="29" t="n">
        <f aca="false">MIN(Params!$B$9,AD427*Params!$B$8/Params!$B$4)</f>
        <v>0.0144090475545</v>
      </c>
      <c r="AK427" s="28" t="n">
        <f aca="false">IF($R427&gt;0,Params!$B$9*Params!$B$4/(Params!$B$6*$R427*Params!$B$8),"n/a")</f>
        <v>12.4921511515024</v>
      </c>
      <c r="AL427" s="27" t="str">
        <f aca="false">IFERROR(ciq($D427,"IQ_PE_EXCL"),"")</f>
        <v/>
      </c>
      <c r="AM427" s="27" t="str">
        <f aca="false">IFERROR(ciq($D427,"IQ_PE_EXCL_FWD_CIQ"),"")</f>
        <v/>
      </c>
      <c r="AN427" s="27" t="str">
        <f aca="false">IFERROR(ciq($D427,"IQ_PBV"),"")</f>
        <v/>
      </c>
      <c r="AO427" s="27" t="str">
        <f aca="false">IFERROR(ciq($D427,"IQ_TEV_EBITDA"),"")</f>
        <v/>
      </c>
      <c r="AP427" s="24" t="str">
        <f aca="false">IFERROR(ciq($D427,"IQ_RETURN_EQUITY"),"")</f>
        <v/>
      </c>
      <c r="AQ427" s="24" t="str">
        <f aca="false">IFERROR(ciq($D427,"IQ_RETURN_CAPITAL"),"")</f>
        <v/>
      </c>
      <c r="AR427" s="24" t="str">
        <f aca="false">IFERROR(ciq($D427,"IQ_TOTAL_REV_1YR_ANN_GROWTH"),"")</f>
        <v/>
      </c>
      <c r="AS427" s="24" t="str">
        <f aca="false">IFERROR(ciq($D427,"IQ_EPS_1YR_ANN_GROWTH"),"")</f>
        <v/>
      </c>
      <c r="AT427" s="24" t="str">
        <f aca="false">IFERROR(ciq($D427,"IQ_DIVIDEND_YIELD"),"")</f>
        <v/>
      </c>
      <c r="AU427" s="24" t="str">
        <f aca="false">IFERROR(ciq($D427,"IQ_NET_DEBT"),"")</f>
        <v/>
      </c>
    </row>
    <row r="428" customFormat="false" ht="15" hidden="false" customHeight="false" outlineLevel="0" collapsed="false">
      <c r="A428" s="8" t="s">
        <v>420</v>
      </c>
      <c r="B428" s="6" t="s">
        <v>421</v>
      </c>
      <c r="C428" s="8" t="s">
        <v>72</v>
      </c>
      <c r="D428" s="8" t="s">
        <v>2086</v>
      </c>
      <c r="E428" s="8" t="s">
        <v>2087</v>
      </c>
      <c r="F428" s="6" t="s">
        <v>523</v>
      </c>
      <c r="G428" s="8" t="s">
        <v>58</v>
      </c>
      <c r="H428" s="8" t="s">
        <v>67</v>
      </c>
      <c r="I428" s="8" t="s">
        <v>508</v>
      </c>
      <c r="J428" s="8"/>
      <c r="K428" s="8"/>
      <c r="L428" s="6" t="s">
        <v>172</v>
      </c>
      <c r="M428" s="23" t="n">
        <v>8490</v>
      </c>
      <c r="N428" s="23" t="n">
        <v>4509.8724633</v>
      </c>
      <c r="O428" s="23" t="n">
        <v>3898.9945678</v>
      </c>
      <c r="P428" s="24" t="n">
        <v>61.986909115</v>
      </c>
      <c r="Q428" s="24" t="n">
        <v>157.041195400833</v>
      </c>
      <c r="R428" s="24" t="n">
        <v>61.986909115</v>
      </c>
      <c r="S428" s="25" t="n">
        <v>0.0137447144280534</v>
      </c>
      <c r="T428" s="26" t="n">
        <v>1.44778070807632</v>
      </c>
      <c r="U428" s="23" t="n">
        <v>3</v>
      </c>
      <c r="V428" s="26" t="n">
        <v>-0.04</v>
      </c>
      <c r="W428" s="26" t="n">
        <v>0.098528797844563</v>
      </c>
      <c r="X428" s="26" t="n">
        <v>-0.200395841998817</v>
      </c>
      <c r="Y428" s="26" t="n">
        <v>0.632402791948763</v>
      </c>
      <c r="Z428" s="26" t="n">
        <v>0.529620758263034</v>
      </c>
      <c r="AA428" s="26" t="n">
        <v>0.619515989075755</v>
      </c>
      <c r="AB428" s="26" t="n">
        <v>-0.45074565104815</v>
      </c>
      <c r="AC428" s="27" t="n">
        <v>0.369379821492695</v>
      </c>
      <c r="AD428" s="28" t="n">
        <f aca="false">Params!$B$6*Params!$B$7*$R428</f>
        <v>37.192145469</v>
      </c>
      <c r="AE428" s="29" t="n">
        <f aca="false">MIN(Params!$B$9,AD428/Params!$B$4)</f>
        <v>0.06</v>
      </c>
      <c r="AF428" s="29" t="n">
        <f aca="false">MIN(Params!$B$9,AD428/Params!$B$5)</f>
        <v>0.037192145469</v>
      </c>
      <c r="AG428" s="28" t="n">
        <f aca="false">IF($R428&gt;0,Params!$B$9*Params!$B$4/(Params!$B$6*$R428),"n/a")</f>
        <v>2.41986577717104</v>
      </c>
      <c r="AH428" s="28" t="n">
        <f aca="false">IF($R428&gt;0,Params!$B$9*Params!$B$5/(Params!$B$6*$R428),"n/a")</f>
        <v>4.83973155434208</v>
      </c>
      <c r="AI428" s="28" t="n">
        <f aca="false">IF($R428&gt;0,Params!$B$15*Params!$B$4/(Params!$B$6*$R428),"n/a")</f>
        <v>0.806621925723679</v>
      </c>
      <c r="AJ428" s="29" t="n">
        <f aca="false">MIN(Params!$B$9,AD428*Params!$B$8/Params!$B$4)</f>
        <v>0.037192145469</v>
      </c>
      <c r="AK428" s="28" t="n">
        <f aca="false">IF($R428&gt;0,Params!$B$9*Params!$B$4/(Params!$B$6*$R428*Params!$B$8),"n/a")</f>
        <v>4.83973155434208</v>
      </c>
      <c r="AL428" s="27" t="str">
        <f aca="false">IFERROR(ciq($D428,"IQ_PE_EXCL"),"")</f>
        <v/>
      </c>
      <c r="AM428" s="27" t="str">
        <f aca="false">IFERROR(ciq($D428,"IQ_PE_EXCL_FWD_CIQ"),"")</f>
        <v/>
      </c>
      <c r="AN428" s="27" t="str">
        <f aca="false">IFERROR(ciq($D428,"IQ_PBV"),"")</f>
        <v/>
      </c>
      <c r="AO428" s="27" t="str">
        <f aca="false">IFERROR(ciq($D428,"IQ_TEV_EBITDA"),"")</f>
        <v/>
      </c>
      <c r="AP428" s="24" t="str">
        <f aca="false">IFERROR(ciq($D428,"IQ_RETURN_EQUITY"),"")</f>
        <v/>
      </c>
      <c r="AQ428" s="24" t="str">
        <f aca="false">IFERROR(ciq($D428,"IQ_RETURN_CAPITAL"),"")</f>
        <v/>
      </c>
      <c r="AR428" s="24" t="str">
        <f aca="false">IFERROR(ciq($D428,"IQ_TOTAL_REV_1YR_ANN_GROWTH"),"")</f>
        <v/>
      </c>
      <c r="AS428" s="24" t="str">
        <f aca="false">IFERROR(ciq($D428,"IQ_EPS_1YR_ANN_GROWTH"),"")</f>
        <v/>
      </c>
      <c r="AT428" s="24" t="str">
        <f aca="false">IFERROR(ciq($D428,"IQ_DIVIDEND_YIELD"),"")</f>
        <v/>
      </c>
      <c r="AU428" s="24" t="str">
        <f aca="false">IFERROR(ciq($D428,"IQ_NET_DEBT"),"")</f>
        <v/>
      </c>
    </row>
    <row r="429" customFormat="false" ht="15" hidden="false" customHeight="false" outlineLevel="0" collapsed="false">
      <c r="A429" s="8" t="s">
        <v>2088</v>
      </c>
      <c r="B429" s="6" t="s">
        <v>2089</v>
      </c>
      <c r="C429" s="8" t="s">
        <v>73</v>
      </c>
      <c r="D429" s="8" t="s">
        <v>2090</v>
      </c>
      <c r="E429" s="8" t="s">
        <v>2091</v>
      </c>
      <c r="F429" s="6" t="s">
        <v>627</v>
      </c>
      <c r="G429" s="8" t="s">
        <v>58</v>
      </c>
      <c r="H429" s="8" t="s">
        <v>67</v>
      </c>
      <c r="I429" s="8"/>
      <c r="J429" s="8"/>
      <c r="K429" s="8"/>
      <c r="L429" s="8" t="s">
        <v>514</v>
      </c>
      <c r="M429" s="23" t="n">
        <v>34400</v>
      </c>
      <c r="N429" s="23" t="n">
        <v>4457.406832</v>
      </c>
      <c r="O429" s="23" t="n">
        <v>4254.29679685</v>
      </c>
      <c r="P429" s="24" t="n">
        <v>100.1396246</v>
      </c>
      <c r="Q429" s="24" t="n">
        <v>149.2357621125</v>
      </c>
      <c r="R429" s="24" t="n">
        <v>100.1396246</v>
      </c>
      <c r="S429" s="25" t="n">
        <v>0.0224658929225601</v>
      </c>
      <c r="T429" s="26" t="n">
        <v>1.28805797106092</v>
      </c>
      <c r="U429" s="23" t="n">
        <v>3</v>
      </c>
      <c r="V429" s="26" t="n">
        <v>-0.04</v>
      </c>
      <c r="W429" s="26" t="n">
        <v>0.162129617271171</v>
      </c>
      <c r="X429" s="26" t="n">
        <v>-0.0959254825538068</v>
      </c>
      <c r="Y429" s="26" t="n">
        <v>1.26988878775215</v>
      </c>
      <c r="Z429" s="26" t="n">
        <v>1.65199090471959</v>
      </c>
      <c r="AA429" s="26" t="n">
        <v>1.94868212829029</v>
      </c>
      <c r="AB429" s="26" t="n">
        <v>-0.335874628617018</v>
      </c>
      <c r="AC429" s="27" t="n">
        <v>0.627912376066148</v>
      </c>
      <c r="AD429" s="28" t="n">
        <f aca="false">Params!$B$6*Params!$B$7*$R429</f>
        <v>60.08377476</v>
      </c>
      <c r="AE429" s="29" t="n">
        <f aca="false">MIN(Params!$B$9,AD429/Params!$B$4)</f>
        <v>0.06</v>
      </c>
      <c r="AF429" s="29" t="n">
        <f aca="false">MIN(Params!$B$9,AD429/Params!$B$5)</f>
        <v>0.06</v>
      </c>
      <c r="AG429" s="28" t="n">
        <f aca="false">IF($R429&gt;0,Params!$B$9*Params!$B$4/(Params!$B$6*$R429),"n/a")</f>
        <v>1.49790855117705</v>
      </c>
      <c r="AH429" s="28" t="n">
        <f aca="false">IF($R429&gt;0,Params!$B$9*Params!$B$5/(Params!$B$6*$R429),"n/a")</f>
        <v>2.99581710235411</v>
      </c>
      <c r="AI429" s="28" t="n">
        <f aca="false">IF($R429&gt;0,Params!$B$15*Params!$B$4/(Params!$B$6*$R429),"n/a")</f>
        <v>0.499302850392351</v>
      </c>
      <c r="AJ429" s="29" t="n">
        <f aca="false">MIN(Params!$B$9,AD429*Params!$B$8/Params!$B$4)</f>
        <v>0.06</v>
      </c>
      <c r="AK429" s="28" t="n">
        <f aca="false">IF($R429&gt;0,Params!$B$9*Params!$B$4/(Params!$B$6*$R429*Params!$B$8),"n/a")</f>
        <v>2.99581710235411</v>
      </c>
      <c r="AL429" s="27" t="str">
        <f aca="false">IFERROR(ciq($D429,"IQ_PE_EXCL"),"")</f>
        <v/>
      </c>
      <c r="AM429" s="27" t="str">
        <f aca="false">IFERROR(ciq($D429,"IQ_PE_EXCL_FWD_CIQ"),"")</f>
        <v/>
      </c>
      <c r="AN429" s="27" t="str">
        <f aca="false">IFERROR(ciq($D429,"IQ_PBV"),"")</f>
        <v/>
      </c>
      <c r="AO429" s="27" t="str">
        <f aca="false">IFERROR(ciq($D429,"IQ_TEV_EBITDA"),"")</f>
        <v/>
      </c>
      <c r="AP429" s="24" t="str">
        <f aca="false">IFERROR(ciq($D429,"IQ_RETURN_EQUITY"),"")</f>
        <v/>
      </c>
      <c r="AQ429" s="24" t="str">
        <f aca="false">IFERROR(ciq($D429,"IQ_RETURN_CAPITAL"),"")</f>
        <v/>
      </c>
      <c r="AR429" s="24" t="str">
        <f aca="false">IFERROR(ciq($D429,"IQ_TOTAL_REV_1YR_ANN_GROWTH"),"")</f>
        <v/>
      </c>
      <c r="AS429" s="24" t="str">
        <f aca="false">IFERROR(ciq($D429,"IQ_EPS_1YR_ANN_GROWTH"),"")</f>
        <v/>
      </c>
      <c r="AT429" s="24" t="str">
        <f aca="false">IFERROR(ciq($D429,"IQ_DIVIDEND_YIELD"),"")</f>
        <v/>
      </c>
      <c r="AU429" s="24" t="str">
        <f aca="false">IFERROR(ciq($D429,"IQ_NET_DEBT"),"")</f>
        <v/>
      </c>
    </row>
    <row r="430" customFormat="false" ht="15" hidden="false" customHeight="false" outlineLevel="0" collapsed="false">
      <c r="A430" s="8" t="s">
        <v>2092</v>
      </c>
      <c r="B430" s="6" t="s">
        <v>2093</v>
      </c>
      <c r="C430" s="8" t="s">
        <v>73</v>
      </c>
      <c r="D430" s="8" t="s">
        <v>2094</v>
      </c>
      <c r="E430" s="8" t="s">
        <v>2095</v>
      </c>
      <c r="F430" s="8"/>
      <c r="G430" s="8" t="s">
        <v>58</v>
      </c>
      <c r="H430" s="8" t="s">
        <v>67</v>
      </c>
      <c r="I430" s="8"/>
      <c r="J430" s="8"/>
      <c r="K430" s="8"/>
      <c r="L430" s="8" t="s">
        <v>115</v>
      </c>
      <c r="M430" s="23" t="n">
        <v>20150</v>
      </c>
      <c r="N430" s="23" t="n">
        <v>4415.065291</v>
      </c>
      <c r="O430" s="23" t="n">
        <v>4770.57114575</v>
      </c>
      <c r="P430" s="24" t="n">
        <v>85.7049987375</v>
      </c>
      <c r="Q430" s="24" t="n">
        <v>61.3430822316667</v>
      </c>
      <c r="R430" s="24" t="n">
        <v>61.3430822316667</v>
      </c>
      <c r="S430" s="25" t="n">
        <v>0.0194119436720919</v>
      </c>
      <c r="T430" s="26" t="n">
        <v>1.39877356891126</v>
      </c>
      <c r="U430" s="23" t="n">
        <v>5</v>
      </c>
      <c r="V430" s="26" t="n">
        <v>-0.04</v>
      </c>
      <c r="W430" s="26" t="n">
        <v>-0.047353927925358</v>
      </c>
      <c r="X430" s="26" t="n">
        <v>-0.361245425498619</v>
      </c>
      <c r="Y430" s="26" t="n">
        <v>-0.655564708218002</v>
      </c>
      <c r="Z430" s="26" t="n">
        <v>-0.679638868629116</v>
      </c>
      <c r="AA430" s="26" t="n">
        <v>-0.759132111880774</v>
      </c>
      <c r="AB430" s="26" t="n">
        <v>-0.794119842247357</v>
      </c>
      <c r="AC430" s="27" t="n">
        <v>0.685338371836053</v>
      </c>
      <c r="AD430" s="28" t="n">
        <f aca="false">Params!$B$6*Params!$B$7*$R430</f>
        <v>36.805849339</v>
      </c>
      <c r="AE430" s="29" t="n">
        <f aca="false">MIN(Params!$B$9,AD430/Params!$B$4)</f>
        <v>0.06</v>
      </c>
      <c r="AF430" s="29" t="n">
        <f aca="false">MIN(Params!$B$9,AD430/Params!$B$5)</f>
        <v>0.036805849339</v>
      </c>
      <c r="AG430" s="28" t="n">
        <f aca="false">IF($R430&gt;0,Params!$B$9*Params!$B$4/(Params!$B$6*$R430),"n/a")</f>
        <v>2.44526350067501</v>
      </c>
      <c r="AH430" s="28" t="n">
        <f aca="false">IF($R430&gt;0,Params!$B$9*Params!$B$5/(Params!$B$6*$R430),"n/a")</f>
        <v>4.89052700135001</v>
      </c>
      <c r="AI430" s="28" t="n">
        <f aca="false">IF($R430&gt;0,Params!$B$15*Params!$B$4/(Params!$B$6*$R430),"n/a")</f>
        <v>0.815087833558335</v>
      </c>
      <c r="AJ430" s="29" t="n">
        <f aca="false">MIN(Params!$B$9,AD430*Params!$B$8/Params!$B$4)</f>
        <v>0.036805849339</v>
      </c>
      <c r="AK430" s="28" t="n">
        <f aca="false">IF($R430&gt;0,Params!$B$9*Params!$B$4/(Params!$B$6*$R430*Params!$B$8),"n/a")</f>
        <v>4.89052700135001</v>
      </c>
      <c r="AL430" s="27" t="str">
        <f aca="false">IFERROR(ciq($D430,"IQ_PE_EXCL"),"")</f>
        <v/>
      </c>
      <c r="AM430" s="27" t="str">
        <f aca="false">IFERROR(ciq($D430,"IQ_PE_EXCL_FWD_CIQ"),"")</f>
        <v/>
      </c>
      <c r="AN430" s="27" t="str">
        <f aca="false">IFERROR(ciq($D430,"IQ_PBV"),"")</f>
        <v/>
      </c>
      <c r="AO430" s="27" t="str">
        <f aca="false">IFERROR(ciq($D430,"IQ_TEV_EBITDA"),"")</f>
        <v/>
      </c>
      <c r="AP430" s="24" t="str">
        <f aca="false">IFERROR(ciq($D430,"IQ_RETURN_EQUITY"),"")</f>
        <v/>
      </c>
      <c r="AQ430" s="24" t="str">
        <f aca="false">IFERROR(ciq($D430,"IQ_RETURN_CAPITAL"),"")</f>
        <v/>
      </c>
      <c r="AR430" s="24" t="str">
        <f aca="false">IFERROR(ciq($D430,"IQ_TOTAL_REV_1YR_ANN_GROWTH"),"")</f>
        <v/>
      </c>
      <c r="AS430" s="24" t="str">
        <f aca="false">IFERROR(ciq($D430,"IQ_EPS_1YR_ANN_GROWTH"),"")</f>
        <v/>
      </c>
      <c r="AT430" s="24" t="str">
        <f aca="false">IFERROR(ciq($D430,"IQ_DIVIDEND_YIELD"),"")</f>
        <v/>
      </c>
      <c r="AU430" s="24" t="str">
        <f aca="false">IFERROR(ciq($D430,"IQ_NET_DEBT"),"")</f>
        <v/>
      </c>
    </row>
    <row r="431" customFormat="false" ht="15" hidden="false" customHeight="false" outlineLevel="0" collapsed="false">
      <c r="A431" s="8" t="s">
        <v>2096</v>
      </c>
      <c r="B431" s="6" t="s">
        <v>2097</v>
      </c>
      <c r="C431" s="8" t="s">
        <v>73</v>
      </c>
      <c r="D431" s="8" t="s">
        <v>2098</v>
      </c>
      <c r="E431" s="8" t="s">
        <v>2099</v>
      </c>
      <c r="F431" s="6" t="s">
        <v>536</v>
      </c>
      <c r="G431" s="8" t="s">
        <v>58</v>
      </c>
      <c r="H431" s="8" t="s">
        <v>67</v>
      </c>
      <c r="I431" s="8"/>
      <c r="J431" s="8"/>
      <c r="K431" s="8"/>
      <c r="L431" s="8" t="s">
        <v>115</v>
      </c>
      <c r="M431" s="23" t="n">
        <v>9700</v>
      </c>
      <c r="N431" s="23" t="n">
        <v>4407.389194</v>
      </c>
      <c r="O431" s="23" t="n">
        <v>4453.28056602</v>
      </c>
      <c r="P431" s="24" t="n">
        <v>83.4595458475</v>
      </c>
      <c r="Q431" s="24" t="n">
        <v>77.60097991</v>
      </c>
      <c r="R431" s="24" t="n">
        <v>77.60097991</v>
      </c>
      <c r="S431" s="25" t="n">
        <v>0.0189362777312967</v>
      </c>
      <c r="T431" s="26" t="n">
        <v>1.22570585039597</v>
      </c>
      <c r="U431" s="23" t="n">
        <v>2</v>
      </c>
      <c r="V431" s="26" t="n">
        <v>-0.04</v>
      </c>
      <c r="W431" s="26" t="n">
        <v>-0.00793213306646601</v>
      </c>
      <c r="X431" s="26" t="n">
        <v>-0.304556922212779</v>
      </c>
      <c r="Y431" s="26" t="n">
        <v>-0.300572206034352</v>
      </c>
      <c r="Z431" s="26" t="n">
        <v>0.593228440297152</v>
      </c>
      <c r="AA431" s="26" t="n">
        <v>1.13457555789264</v>
      </c>
      <c r="AB431" s="26" t="n">
        <v>-0.504675962443977</v>
      </c>
      <c r="AC431" s="27" t="n">
        <v>0.450433910549894</v>
      </c>
      <c r="AD431" s="28" t="n">
        <f aca="false">Params!$B$6*Params!$B$7*$R431</f>
        <v>46.560587946</v>
      </c>
      <c r="AE431" s="29" t="n">
        <f aca="false">MIN(Params!$B$9,AD431/Params!$B$4)</f>
        <v>0.06</v>
      </c>
      <c r="AF431" s="29" t="n">
        <f aca="false">MIN(Params!$B$9,AD431/Params!$B$5)</f>
        <v>0.046560587946</v>
      </c>
      <c r="AG431" s="28" t="n">
        <f aca="false">IF($R431&gt;0,Params!$B$9*Params!$B$4/(Params!$B$6*$R431),"n/a")</f>
        <v>1.932965281804</v>
      </c>
      <c r="AH431" s="28" t="n">
        <f aca="false">IF($R431&gt;0,Params!$B$9*Params!$B$5/(Params!$B$6*$R431),"n/a")</f>
        <v>3.86593056360801</v>
      </c>
      <c r="AI431" s="28" t="n">
        <f aca="false">IF($R431&gt;0,Params!$B$15*Params!$B$4/(Params!$B$6*$R431),"n/a")</f>
        <v>0.644321760601335</v>
      </c>
      <c r="AJ431" s="29" t="n">
        <f aca="false">MIN(Params!$B$9,AD431*Params!$B$8/Params!$B$4)</f>
        <v>0.046560587946</v>
      </c>
      <c r="AK431" s="28" t="n">
        <f aca="false">IF($R431&gt;0,Params!$B$9*Params!$B$4/(Params!$B$6*$R431*Params!$B$8),"n/a")</f>
        <v>3.86593056360801</v>
      </c>
      <c r="AL431" s="27" t="str">
        <f aca="false">IFERROR(ciq($D431,"IQ_PE_EXCL"),"")</f>
        <v/>
      </c>
      <c r="AM431" s="27" t="str">
        <f aca="false">IFERROR(ciq($D431,"IQ_PE_EXCL_FWD_CIQ"),"")</f>
        <v/>
      </c>
      <c r="AN431" s="27" t="str">
        <f aca="false">IFERROR(ciq($D431,"IQ_PBV"),"")</f>
        <v/>
      </c>
      <c r="AO431" s="27" t="str">
        <f aca="false">IFERROR(ciq($D431,"IQ_TEV_EBITDA"),"")</f>
        <v/>
      </c>
      <c r="AP431" s="24" t="str">
        <f aca="false">IFERROR(ciq($D431,"IQ_RETURN_EQUITY"),"")</f>
        <v/>
      </c>
      <c r="AQ431" s="24" t="str">
        <f aca="false">IFERROR(ciq($D431,"IQ_RETURN_CAPITAL"),"")</f>
        <v/>
      </c>
      <c r="AR431" s="24" t="str">
        <f aca="false">IFERROR(ciq($D431,"IQ_TOTAL_REV_1YR_ANN_GROWTH"),"")</f>
        <v/>
      </c>
      <c r="AS431" s="24" t="str">
        <f aca="false">IFERROR(ciq($D431,"IQ_EPS_1YR_ANN_GROWTH"),"")</f>
        <v/>
      </c>
      <c r="AT431" s="24" t="str">
        <f aca="false">IFERROR(ciq($D431,"IQ_DIVIDEND_YIELD"),"")</f>
        <v/>
      </c>
      <c r="AU431" s="24" t="str">
        <f aca="false">IFERROR(ciq($D431,"IQ_NET_DEBT"),"")</f>
        <v/>
      </c>
    </row>
    <row r="432" customFormat="false" ht="15" hidden="false" customHeight="false" outlineLevel="0" collapsed="false">
      <c r="A432" s="8" t="s">
        <v>2100</v>
      </c>
      <c r="B432" s="6" t="s">
        <v>2101</v>
      </c>
      <c r="C432" s="8" t="s">
        <v>73</v>
      </c>
      <c r="D432" s="8" t="s">
        <v>2102</v>
      </c>
      <c r="E432" s="8" t="s">
        <v>2103</v>
      </c>
      <c r="F432" s="8"/>
      <c r="G432" s="8" t="s">
        <v>58</v>
      </c>
      <c r="H432" s="8" t="s">
        <v>67</v>
      </c>
      <c r="I432" s="8"/>
      <c r="J432" s="8"/>
      <c r="K432" s="8"/>
      <c r="L432" s="8" t="s">
        <v>115</v>
      </c>
      <c r="M432" s="23" t="n">
        <v>25300</v>
      </c>
      <c r="N432" s="23" t="n">
        <v>4404.55037</v>
      </c>
      <c r="O432" s="23" t="n">
        <v>5085.0799559</v>
      </c>
      <c r="P432" s="24" t="n">
        <v>49.4244684</v>
      </c>
      <c r="Q432" s="24" t="n">
        <v>105.238034233333</v>
      </c>
      <c r="R432" s="24" t="n">
        <v>49.4244684</v>
      </c>
      <c r="S432" s="25" t="n">
        <v>0.0112212290127585</v>
      </c>
      <c r="T432" s="26" t="n">
        <v>1.56663418511346</v>
      </c>
      <c r="U432" s="23" t="n">
        <v>5</v>
      </c>
      <c r="V432" s="26" t="n">
        <v>-0.04</v>
      </c>
      <c r="W432" s="26" t="n">
        <v>-0.29808298733818</v>
      </c>
      <c r="X432" s="26" t="n">
        <v>-0.489365908576172</v>
      </c>
      <c r="Y432" s="26" t="n">
        <v>-0.739206258843936</v>
      </c>
      <c r="Z432" s="26" t="n">
        <v>-0.613784606221141</v>
      </c>
      <c r="AA432" s="26" t="n">
        <v>0.684016429391827</v>
      </c>
      <c r="AB432" s="26" t="n">
        <v>-0.828959430181283</v>
      </c>
      <c r="AC432" s="27" t="n">
        <v>0.203288837312155</v>
      </c>
      <c r="AD432" s="28" t="n">
        <f aca="false">Params!$B$6*Params!$B$7*$R432</f>
        <v>29.65468104</v>
      </c>
      <c r="AE432" s="29" t="n">
        <f aca="false">MIN(Params!$B$9,AD432/Params!$B$4)</f>
        <v>0.05930936208</v>
      </c>
      <c r="AF432" s="29" t="n">
        <f aca="false">MIN(Params!$B$9,AD432/Params!$B$5)</f>
        <v>0.02965468104</v>
      </c>
      <c r="AG432" s="28" t="n">
        <f aca="false">IF($R432&gt;0,Params!$B$9*Params!$B$4/(Params!$B$6*$R432),"n/a")</f>
        <v>3.03493400851632</v>
      </c>
      <c r="AH432" s="28" t="n">
        <f aca="false">IF($R432&gt;0,Params!$B$9*Params!$B$5/(Params!$B$6*$R432),"n/a")</f>
        <v>6.06986801703263</v>
      </c>
      <c r="AI432" s="28" t="n">
        <f aca="false">IF($R432&gt;0,Params!$B$15*Params!$B$4/(Params!$B$6*$R432),"n/a")</f>
        <v>1.01164466950544</v>
      </c>
      <c r="AJ432" s="29" t="n">
        <f aca="false">MIN(Params!$B$9,AD432*Params!$B$8/Params!$B$4)</f>
        <v>0.02965468104</v>
      </c>
      <c r="AK432" s="28" t="n">
        <f aca="false">IF($R432&gt;0,Params!$B$9*Params!$B$4/(Params!$B$6*$R432*Params!$B$8),"n/a")</f>
        <v>6.06986801703263</v>
      </c>
      <c r="AL432" s="27" t="str">
        <f aca="false">IFERROR(ciq($D432,"IQ_PE_EXCL"),"")</f>
        <v/>
      </c>
      <c r="AM432" s="27" t="str">
        <f aca="false">IFERROR(ciq($D432,"IQ_PE_EXCL_FWD_CIQ"),"")</f>
        <v/>
      </c>
      <c r="AN432" s="27" t="str">
        <f aca="false">IFERROR(ciq($D432,"IQ_PBV"),"")</f>
        <v/>
      </c>
      <c r="AO432" s="27" t="str">
        <f aca="false">IFERROR(ciq($D432,"IQ_TEV_EBITDA"),"")</f>
        <v/>
      </c>
      <c r="AP432" s="24" t="str">
        <f aca="false">IFERROR(ciq($D432,"IQ_RETURN_EQUITY"),"")</f>
        <v/>
      </c>
      <c r="AQ432" s="24" t="str">
        <f aca="false">IFERROR(ciq($D432,"IQ_RETURN_CAPITAL"),"")</f>
        <v/>
      </c>
      <c r="AR432" s="24" t="str">
        <f aca="false">IFERROR(ciq($D432,"IQ_TOTAL_REV_1YR_ANN_GROWTH"),"")</f>
        <v/>
      </c>
      <c r="AS432" s="24" t="str">
        <f aca="false">IFERROR(ciq($D432,"IQ_EPS_1YR_ANN_GROWTH"),"")</f>
        <v/>
      </c>
      <c r="AT432" s="24" t="str">
        <f aca="false">IFERROR(ciq($D432,"IQ_DIVIDEND_YIELD"),"")</f>
        <v/>
      </c>
      <c r="AU432" s="24" t="str">
        <f aca="false">IFERROR(ciq($D432,"IQ_NET_DEBT"),"")</f>
        <v/>
      </c>
    </row>
    <row r="433" customFormat="false" ht="15" hidden="false" customHeight="false" outlineLevel="0" collapsed="false">
      <c r="A433" s="8" t="s">
        <v>422</v>
      </c>
      <c r="B433" s="6" t="s">
        <v>423</v>
      </c>
      <c r="C433" s="8" t="s">
        <v>72</v>
      </c>
      <c r="D433" s="8" t="s">
        <v>2104</v>
      </c>
      <c r="E433" s="8" t="s">
        <v>2105</v>
      </c>
      <c r="F433" s="8"/>
      <c r="G433" s="8" t="s">
        <v>58</v>
      </c>
      <c r="H433" s="8" t="s">
        <v>67</v>
      </c>
      <c r="I433" s="8" t="s">
        <v>508</v>
      </c>
      <c r="J433" s="8"/>
      <c r="K433" s="8"/>
      <c r="L433" s="6" t="s">
        <v>282</v>
      </c>
      <c r="M433" s="23" t="n">
        <v>11240</v>
      </c>
      <c r="N433" s="23" t="n">
        <v>4359.155248</v>
      </c>
      <c r="O433" s="23" t="n">
        <v>3888.917193</v>
      </c>
      <c r="P433" s="24" t="n">
        <v>178.7922482525</v>
      </c>
      <c r="Q433" s="24" t="n">
        <v>93.0785644176667</v>
      </c>
      <c r="R433" s="24" t="n">
        <v>93.0785644176667</v>
      </c>
      <c r="S433" s="25" t="n">
        <v>0.0410153431297338</v>
      </c>
      <c r="T433" s="26" t="n">
        <v>1.151845798163</v>
      </c>
      <c r="U433" s="23" t="n">
        <v>2</v>
      </c>
      <c r="V433" s="26" t="n">
        <v>-0.04</v>
      </c>
      <c r="W433" s="26" t="n">
        <v>0.492385926950599</v>
      </c>
      <c r="X433" s="26" t="n">
        <v>2.21620982230201</v>
      </c>
      <c r="Y433" s="26" t="n">
        <v>1.55734002934212</v>
      </c>
      <c r="Z433" s="26" t="n">
        <v>1.55411061031666</v>
      </c>
      <c r="AA433" s="26" t="n">
        <v>2.27590390119557</v>
      </c>
      <c r="AB433" s="26" t="n">
        <v>-0.02856745792</v>
      </c>
      <c r="AC433" s="27" t="n">
        <v>3.55352096354595</v>
      </c>
      <c r="AD433" s="28" t="n">
        <f aca="false">Params!$B$6*Params!$B$7*$R433</f>
        <v>55.8471386506</v>
      </c>
      <c r="AE433" s="29" t="n">
        <f aca="false">MIN(Params!$B$9,AD433/Params!$B$4)</f>
        <v>0.06</v>
      </c>
      <c r="AF433" s="29" t="n">
        <f aca="false">MIN(Params!$B$9,AD433/Params!$B$5)</f>
        <v>0.0558471386506</v>
      </c>
      <c r="AG433" s="28" t="n">
        <f aca="false">IF($R433&gt;0,Params!$B$9*Params!$B$4/(Params!$B$6*$R433),"n/a")</f>
        <v>1.61154182961947</v>
      </c>
      <c r="AH433" s="28" t="n">
        <f aca="false">IF($R433&gt;0,Params!$B$9*Params!$B$5/(Params!$B$6*$R433),"n/a")</f>
        <v>3.22308365923894</v>
      </c>
      <c r="AI433" s="28" t="n">
        <f aca="false">IF($R433&gt;0,Params!$B$15*Params!$B$4/(Params!$B$6*$R433),"n/a")</f>
        <v>0.537180609873156</v>
      </c>
      <c r="AJ433" s="29" t="n">
        <f aca="false">MIN(Params!$B$9,AD433*Params!$B$8/Params!$B$4)</f>
        <v>0.0558471386506</v>
      </c>
      <c r="AK433" s="28" t="n">
        <f aca="false">IF($R433&gt;0,Params!$B$9*Params!$B$4/(Params!$B$6*$R433*Params!$B$8),"n/a")</f>
        <v>3.22308365923894</v>
      </c>
      <c r="AL433" s="27" t="str">
        <f aca="false">IFERROR(ciq($D433,"IQ_PE_EXCL"),"")</f>
        <v/>
      </c>
      <c r="AM433" s="27" t="str">
        <f aca="false">IFERROR(ciq($D433,"IQ_PE_EXCL_FWD_CIQ"),"")</f>
        <v/>
      </c>
      <c r="AN433" s="27" t="str">
        <f aca="false">IFERROR(ciq($D433,"IQ_PBV"),"")</f>
        <v/>
      </c>
      <c r="AO433" s="27" t="str">
        <f aca="false">IFERROR(ciq($D433,"IQ_TEV_EBITDA"),"")</f>
        <v/>
      </c>
      <c r="AP433" s="24" t="str">
        <f aca="false">IFERROR(ciq($D433,"IQ_RETURN_EQUITY"),"")</f>
        <v/>
      </c>
      <c r="AQ433" s="24" t="str">
        <f aca="false">IFERROR(ciq($D433,"IQ_RETURN_CAPITAL"),"")</f>
        <v/>
      </c>
      <c r="AR433" s="24" t="str">
        <f aca="false">IFERROR(ciq($D433,"IQ_TOTAL_REV_1YR_ANN_GROWTH"),"")</f>
        <v/>
      </c>
      <c r="AS433" s="24" t="str">
        <f aca="false">IFERROR(ciq($D433,"IQ_EPS_1YR_ANN_GROWTH"),"")</f>
        <v/>
      </c>
      <c r="AT433" s="24" t="str">
        <f aca="false">IFERROR(ciq($D433,"IQ_DIVIDEND_YIELD"),"")</f>
        <v/>
      </c>
      <c r="AU433" s="24" t="str">
        <f aca="false">IFERROR(ciq($D433,"IQ_NET_DEBT"),"")</f>
        <v/>
      </c>
    </row>
    <row r="434" customFormat="false" ht="15" hidden="false" customHeight="false" outlineLevel="0" collapsed="false">
      <c r="A434" s="8" t="s">
        <v>2106</v>
      </c>
      <c r="B434" s="6" t="s">
        <v>2107</v>
      </c>
      <c r="C434" s="8" t="s">
        <v>73</v>
      </c>
      <c r="D434" s="8" t="s">
        <v>2108</v>
      </c>
      <c r="E434" s="8" t="s">
        <v>2109</v>
      </c>
      <c r="F434" s="8"/>
      <c r="G434" s="8" t="s">
        <v>58</v>
      </c>
      <c r="H434" s="8" t="s">
        <v>67</v>
      </c>
      <c r="I434" s="8"/>
      <c r="J434" s="8"/>
      <c r="K434" s="8"/>
      <c r="L434" s="8" t="s">
        <v>241</v>
      </c>
      <c r="M434" s="23" t="n">
        <v>4860</v>
      </c>
      <c r="N434" s="23" t="n">
        <v>4339.0393956</v>
      </c>
      <c r="O434" s="23" t="n">
        <v>4497.95894548</v>
      </c>
      <c r="P434" s="24" t="n">
        <v>27.5119815795</v>
      </c>
      <c r="Q434" s="24" t="n">
        <v>42.9869312388333</v>
      </c>
      <c r="R434" s="24" t="n">
        <v>27.5119815795</v>
      </c>
      <c r="S434" s="25" t="n">
        <v>0.00634056966788513</v>
      </c>
      <c r="T434" s="26" t="n">
        <v>0.661603357004784</v>
      </c>
      <c r="U434" s="23" t="n">
        <v>0</v>
      </c>
      <c r="V434" s="26" t="n">
        <v>-0.06</v>
      </c>
      <c r="W434" s="26" t="n">
        <v>-0.0705664965161212</v>
      </c>
      <c r="X434" s="26" t="n">
        <v>-0.351349928631159</v>
      </c>
      <c r="Y434" s="26" t="n">
        <v>-0.307947727758612</v>
      </c>
      <c r="Z434" s="26" t="n">
        <v>-0.373185861692572</v>
      </c>
      <c r="AA434" s="26" t="n">
        <v>-0.515457828507616</v>
      </c>
      <c r="AB434" s="26" t="n">
        <v>-0.56100998082833</v>
      </c>
      <c r="AC434" s="27" t="n">
        <v>0.417439595102953</v>
      </c>
      <c r="AD434" s="28" t="n">
        <f aca="false">Params!$B$6*Params!$B$7*$R434</f>
        <v>16.5071889477</v>
      </c>
      <c r="AE434" s="29" t="n">
        <f aca="false">MIN(Params!$B$9,AD434/Params!$B$4)</f>
        <v>0.0330143778954</v>
      </c>
      <c r="AF434" s="29" t="n">
        <f aca="false">MIN(Params!$B$9,AD434/Params!$B$5)</f>
        <v>0.0165071889477</v>
      </c>
      <c r="AG434" s="28" t="n">
        <f aca="false">IF($R434&gt;0,Params!$B$9*Params!$B$4/(Params!$B$6*$R434),"n/a")</f>
        <v>5.45216997788954</v>
      </c>
      <c r="AH434" s="28" t="n">
        <f aca="false">IF($R434&gt;0,Params!$B$9*Params!$B$5/(Params!$B$6*$R434),"n/a")</f>
        <v>10.9043399557791</v>
      </c>
      <c r="AI434" s="28" t="n">
        <f aca="false">IF($R434&gt;0,Params!$B$15*Params!$B$4/(Params!$B$6*$R434),"n/a")</f>
        <v>1.81738999262985</v>
      </c>
      <c r="AJ434" s="29" t="n">
        <f aca="false">MIN(Params!$B$9,AD434*Params!$B$8/Params!$B$4)</f>
        <v>0.0165071889477</v>
      </c>
      <c r="AK434" s="28" t="n">
        <f aca="false">IF($R434&gt;0,Params!$B$9*Params!$B$4/(Params!$B$6*$R434*Params!$B$8),"n/a")</f>
        <v>10.9043399557791</v>
      </c>
      <c r="AL434" s="27" t="str">
        <f aca="false">IFERROR(ciq($D434,"IQ_PE_EXCL"),"")</f>
        <v/>
      </c>
      <c r="AM434" s="27" t="str">
        <f aca="false">IFERROR(ciq($D434,"IQ_PE_EXCL_FWD_CIQ"),"")</f>
        <v/>
      </c>
      <c r="AN434" s="27" t="str">
        <f aca="false">IFERROR(ciq($D434,"IQ_PBV"),"")</f>
        <v/>
      </c>
      <c r="AO434" s="27" t="str">
        <f aca="false">IFERROR(ciq($D434,"IQ_TEV_EBITDA"),"")</f>
        <v/>
      </c>
      <c r="AP434" s="24" t="str">
        <f aca="false">IFERROR(ciq($D434,"IQ_RETURN_EQUITY"),"")</f>
        <v/>
      </c>
      <c r="AQ434" s="24" t="str">
        <f aca="false">IFERROR(ciq($D434,"IQ_RETURN_CAPITAL"),"")</f>
        <v/>
      </c>
      <c r="AR434" s="24" t="str">
        <f aca="false">IFERROR(ciq($D434,"IQ_TOTAL_REV_1YR_ANN_GROWTH"),"")</f>
        <v/>
      </c>
      <c r="AS434" s="24" t="str">
        <f aca="false">IFERROR(ciq($D434,"IQ_EPS_1YR_ANN_GROWTH"),"")</f>
        <v/>
      </c>
      <c r="AT434" s="24" t="str">
        <f aca="false">IFERROR(ciq($D434,"IQ_DIVIDEND_YIELD"),"")</f>
        <v/>
      </c>
      <c r="AU434" s="24" t="str">
        <f aca="false">IFERROR(ciq($D434,"IQ_NET_DEBT"),"")</f>
        <v/>
      </c>
    </row>
    <row r="435" customFormat="false" ht="15" hidden="false" customHeight="false" outlineLevel="0" collapsed="false">
      <c r="A435" s="8" t="s">
        <v>2110</v>
      </c>
      <c r="B435" s="8" t="s">
        <v>2111</v>
      </c>
      <c r="C435" s="8" t="s">
        <v>74</v>
      </c>
      <c r="D435" s="8" t="s">
        <v>2112</v>
      </c>
      <c r="E435" s="8" t="s">
        <v>2113</v>
      </c>
      <c r="F435" s="6" t="s">
        <v>900</v>
      </c>
      <c r="G435" s="8" t="s">
        <v>58</v>
      </c>
      <c r="H435" s="8" t="s">
        <v>67</v>
      </c>
      <c r="I435" s="8"/>
      <c r="J435" s="8"/>
      <c r="K435" s="8"/>
      <c r="L435" s="8" t="s">
        <v>241</v>
      </c>
      <c r="M435" s="23" t="n">
        <v>37700</v>
      </c>
      <c r="N435" s="23" t="n">
        <v>4333.527159</v>
      </c>
      <c r="O435" s="23" t="n">
        <v>4610.5510437</v>
      </c>
      <c r="P435" s="24" t="n">
        <v>20.96110875</v>
      </c>
      <c r="Q435" s="24" t="n">
        <v>27.9680741583333</v>
      </c>
      <c r="R435" s="24" t="n">
        <v>20.96110875</v>
      </c>
      <c r="S435" s="25" t="n">
        <v>0.00483696258980801</v>
      </c>
      <c r="T435" s="26" t="n">
        <v>0.478238713529806</v>
      </c>
      <c r="U435" s="23" t="n">
        <v>0</v>
      </c>
      <c r="V435" s="26" t="n">
        <v>-0.06</v>
      </c>
      <c r="W435" s="26" t="n">
        <v>-0.117122856094313</v>
      </c>
      <c r="X435" s="26" t="n">
        <v>-0.189036423635586</v>
      </c>
      <c r="Y435" s="26" t="n">
        <v>-0.412699438506001</v>
      </c>
      <c r="Z435" s="26" t="n">
        <v>-0.443892117547808</v>
      </c>
      <c r="AA435" s="26" t="n">
        <v>-0.524174159511774</v>
      </c>
      <c r="AB435" s="26" t="n">
        <v>-0.523554780726718</v>
      </c>
      <c r="AC435" s="27" t="n">
        <v>0.706143944210006</v>
      </c>
      <c r="AD435" s="28" t="n">
        <f aca="false">Params!$B$6*Params!$B$7*$R435</f>
        <v>12.57666525</v>
      </c>
      <c r="AE435" s="29" t="n">
        <f aca="false">MIN(Params!$B$9,AD435/Params!$B$4)</f>
        <v>0.0251533305</v>
      </c>
      <c r="AF435" s="29" t="n">
        <f aca="false">MIN(Params!$B$9,AD435/Params!$B$5)</f>
        <v>0.01257666525</v>
      </c>
      <c r="AG435" s="28" t="n">
        <f aca="false">IF($R435&gt;0,Params!$B$9*Params!$B$4/(Params!$B$6*$R435),"n/a")</f>
        <v>7.15611000300735</v>
      </c>
      <c r="AH435" s="28" t="n">
        <f aca="false">IF($R435&gt;0,Params!$B$9*Params!$B$5/(Params!$B$6*$R435),"n/a")</f>
        <v>14.3122200060147</v>
      </c>
      <c r="AI435" s="28" t="n">
        <f aca="false">IF($R435&gt;0,Params!$B$15*Params!$B$4/(Params!$B$6*$R435),"n/a")</f>
        <v>2.38537000100245</v>
      </c>
      <c r="AJ435" s="29" t="n">
        <f aca="false">MIN(Params!$B$9,AD435*Params!$B$8/Params!$B$4)</f>
        <v>0.01257666525</v>
      </c>
      <c r="AK435" s="28" t="n">
        <f aca="false">IF($R435&gt;0,Params!$B$9*Params!$B$4/(Params!$B$6*$R435*Params!$B$8),"n/a")</f>
        <v>14.3122200060147</v>
      </c>
      <c r="AL435" s="27" t="str">
        <f aca="false">IFERROR(ciq($D435,"IQ_PE_EXCL"),"")</f>
        <v/>
      </c>
      <c r="AM435" s="27" t="str">
        <f aca="false">IFERROR(ciq($D435,"IQ_PE_EXCL_FWD_CIQ"),"")</f>
        <v/>
      </c>
      <c r="AN435" s="27" t="str">
        <f aca="false">IFERROR(ciq($D435,"IQ_PBV"),"")</f>
        <v/>
      </c>
      <c r="AO435" s="27" t="str">
        <f aca="false">IFERROR(ciq($D435,"IQ_TEV_EBITDA"),"")</f>
        <v/>
      </c>
      <c r="AP435" s="24" t="str">
        <f aca="false">IFERROR(ciq($D435,"IQ_RETURN_EQUITY"),"")</f>
        <v/>
      </c>
      <c r="AQ435" s="24" t="str">
        <f aca="false">IFERROR(ciq($D435,"IQ_RETURN_CAPITAL"),"")</f>
        <v/>
      </c>
      <c r="AR435" s="24" t="str">
        <f aca="false">IFERROR(ciq($D435,"IQ_TOTAL_REV_1YR_ANN_GROWTH"),"")</f>
        <v/>
      </c>
      <c r="AS435" s="24" t="str">
        <f aca="false">IFERROR(ciq($D435,"IQ_EPS_1YR_ANN_GROWTH"),"")</f>
        <v/>
      </c>
      <c r="AT435" s="24" t="str">
        <f aca="false">IFERROR(ciq($D435,"IQ_DIVIDEND_YIELD"),"")</f>
        <v/>
      </c>
      <c r="AU435" s="24" t="str">
        <f aca="false">IFERROR(ciq($D435,"IQ_NET_DEBT"),"")</f>
        <v/>
      </c>
    </row>
    <row r="436" customFormat="false" ht="15" hidden="false" customHeight="false" outlineLevel="0" collapsed="false">
      <c r="A436" s="8" t="s">
        <v>2114</v>
      </c>
      <c r="B436" s="6" t="s">
        <v>2115</v>
      </c>
      <c r="C436" s="8" t="s">
        <v>72</v>
      </c>
      <c r="D436" s="8" t="s">
        <v>2116</v>
      </c>
      <c r="E436" s="8" t="s">
        <v>2117</v>
      </c>
      <c r="F436" s="8" t="s">
        <v>587</v>
      </c>
      <c r="G436" s="8" t="s">
        <v>58</v>
      </c>
      <c r="H436" s="8" t="s">
        <v>67</v>
      </c>
      <c r="I436" s="8"/>
      <c r="J436" s="8"/>
      <c r="K436" s="8"/>
      <c r="L436" s="8" t="s">
        <v>241</v>
      </c>
      <c r="M436" s="23" t="n">
        <v>104300</v>
      </c>
      <c r="N436" s="23" t="n">
        <v>4319.748251</v>
      </c>
      <c r="O436" s="23" t="n">
        <v>4335.9007133</v>
      </c>
      <c r="P436" s="24" t="n">
        <v>24.629572475</v>
      </c>
      <c r="Q436" s="24" t="n">
        <v>30.8039706916667</v>
      </c>
      <c r="R436" s="24" t="n">
        <v>24.629572475</v>
      </c>
      <c r="S436" s="25" t="n">
        <v>0.00570162218812135</v>
      </c>
      <c r="T436" s="26" t="n">
        <v>0.582064876080065</v>
      </c>
      <c r="U436" s="23" t="n">
        <v>0</v>
      </c>
      <c r="V436" s="26" t="n">
        <v>-0.06</v>
      </c>
      <c r="W436" s="26" t="n">
        <v>-0.0296281873551878</v>
      </c>
      <c r="X436" s="26" t="n">
        <v>-0.220916263157574</v>
      </c>
      <c r="Y436" s="26" t="n">
        <v>-0.258242561321211</v>
      </c>
      <c r="Z436" s="26" t="n">
        <v>-0.18589054078678</v>
      </c>
      <c r="AA436" s="26" t="n">
        <v>-0.440251581156985</v>
      </c>
      <c r="AB436" s="26" t="n">
        <v>-0.587713656581832</v>
      </c>
      <c r="AC436" s="27" t="n">
        <v>0.393606512366827</v>
      </c>
      <c r="AD436" s="28" t="n">
        <f aca="false">Params!$B$6*Params!$B$7*$R436</f>
        <v>14.777743485</v>
      </c>
      <c r="AE436" s="29" t="n">
        <f aca="false">MIN(Params!$B$9,AD436/Params!$B$4)</f>
        <v>0.02955548697</v>
      </c>
      <c r="AF436" s="29" t="n">
        <f aca="false">MIN(Params!$B$9,AD436/Params!$B$5)</f>
        <v>0.014777743485</v>
      </c>
      <c r="AG436" s="28" t="n">
        <f aca="false">IF($R436&gt;0,Params!$B$9*Params!$B$4/(Params!$B$6*$R436),"n/a")</f>
        <v>6.09023969670022</v>
      </c>
      <c r="AH436" s="28" t="n">
        <f aca="false">IF($R436&gt;0,Params!$B$9*Params!$B$5/(Params!$B$6*$R436),"n/a")</f>
        <v>12.1804793934004</v>
      </c>
      <c r="AI436" s="28" t="n">
        <f aca="false">IF($R436&gt;0,Params!$B$15*Params!$B$4/(Params!$B$6*$R436),"n/a")</f>
        <v>2.03007989890007</v>
      </c>
      <c r="AJ436" s="29" t="n">
        <f aca="false">MIN(Params!$B$9,AD436*Params!$B$8/Params!$B$4)</f>
        <v>0.014777743485</v>
      </c>
      <c r="AK436" s="28" t="n">
        <f aca="false">IF($R436&gt;0,Params!$B$9*Params!$B$4/(Params!$B$6*$R436*Params!$B$8),"n/a")</f>
        <v>12.1804793934004</v>
      </c>
      <c r="AL436" s="27" t="str">
        <f aca="false">IFERROR(ciq($D436,"IQ_PE_EXCL"),"")</f>
        <v/>
      </c>
      <c r="AM436" s="27" t="str">
        <f aca="false">IFERROR(ciq($D436,"IQ_PE_EXCL_FWD_CIQ"),"")</f>
        <v/>
      </c>
      <c r="AN436" s="27" t="str">
        <f aca="false">IFERROR(ciq($D436,"IQ_PBV"),"")</f>
        <v/>
      </c>
      <c r="AO436" s="27" t="str">
        <f aca="false">IFERROR(ciq($D436,"IQ_TEV_EBITDA"),"")</f>
        <v/>
      </c>
      <c r="AP436" s="24" t="str">
        <f aca="false">IFERROR(ciq($D436,"IQ_RETURN_EQUITY"),"")</f>
        <v/>
      </c>
      <c r="AQ436" s="24" t="str">
        <f aca="false">IFERROR(ciq($D436,"IQ_RETURN_CAPITAL"),"")</f>
        <v/>
      </c>
      <c r="AR436" s="24" t="str">
        <f aca="false">IFERROR(ciq($D436,"IQ_TOTAL_REV_1YR_ANN_GROWTH"),"")</f>
        <v/>
      </c>
      <c r="AS436" s="24" t="str">
        <f aca="false">IFERROR(ciq($D436,"IQ_EPS_1YR_ANN_GROWTH"),"")</f>
        <v/>
      </c>
      <c r="AT436" s="24" t="str">
        <f aca="false">IFERROR(ciq($D436,"IQ_DIVIDEND_YIELD"),"")</f>
        <v/>
      </c>
      <c r="AU436" s="24" t="str">
        <f aca="false">IFERROR(ciq($D436,"IQ_NET_DEBT"),"")</f>
        <v/>
      </c>
    </row>
    <row r="437" customFormat="false" ht="15" hidden="false" customHeight="false" outlineLevel="0" collapsed="false">
      <c r="A437" s="8" t="s">
        <v>2118</v>
      </c>
      <c r="B437" s="6" t="s">
        <v>2119</v>
      </c>
      <c r="C437" s="8" t="s">
        <v>73</v>
      </c>
      <c r="D437" s="8" t="s">
        <v>2120</v>
      </c>
      <c r="E437" s="8" t="s">
        <v>2121</v>
      </c>
      <c r="F437" s="6" t="s">
        <v>2122</v>
      </c>
      <c r="G437" s="8" t="s">
        <v>58</v>
      </c>
      <c r="H437" s="8" t="s">
        <v>67</v>
      </c>
      <c r="I437" s="8"/>
      <c r="J437" s="8"/>
      <c r="K437" s="8"/>
      <c r="L437" s="8" t="s">
        <v>241</v>
      </c>
      <c r="M437" s="23" t="n">
        <v>12300</v>
      </c>
      <c r="N437" s="23" t="n">
        <v>4297.846074</v>
      </c>
      <c r="O437" s="23" t="n">
        <v>4552.57207302</v>
      </c>
      <c r="P437" s="24" t="n">
        <v>37.71150552</v>
      </c>
      <c r="Q437" s="24" t="n">
        <v>26.0935936308333</v>
      </c>
      <c r="R437" s="24" t="n">
        <v>26.0935936308333</v>
      </c>
      <c r="S437" s="25" t="n">
        <v>0.00877451283054024</v>
      </c>
      <c r="T437" s="26" t="n">
        <v>0.707105683156728</v>
      </c>
      <c r="U437" s="23" t="n">
        <v>0</v>
      </c>
      <c r="V437" s="26" t="n">
        <v>-0.06</v>
      </c>
      <c r="W437" s="26" t="n">
        <v>-0.0638725433500271</v>
      </c>
      <c r="X437" s="26" t="n">
        <v>-0.00927004138366572</v>
      </c>
      <c r="Y437" s="26" t="n">
        <v>-0.189006305919796</v>
      </c>
      <c r="Z437" s="26" t="n">
        <v>-0.297367319162921</v>
      </c>
      <c r="AA437" s="26" t="n">
        <v>-0.680552767274656</v>
      </c>
      <c r="AB437" s="26" t="n">
        <v>-0.677606132460487</v>
      </c>
      <c r="AC437" s="27" t="n">
        <v>1.22893657621022</v>
      </c>
      <c r="AD437" s="28" t="n">
        <f aca="false">Params!$B$6*Params!$B$7*$R437</f>
        <v>15.6561561785</v>
      </c>
      <c r="AE437" s="29" t="n">
        <f aca="false">MIN(Params!$B$9,AD437/Params!$B$4)</f>
        <v>0.031312312357</v>
      </c>
      <c r="AF437" s="29" t="n">
        <f aca="false">MIN(Params!$B$9,AD437/Params!$B$5)</f>
        <v>0.0156561561785</v>
      </c>
      <c r="AG437" s="28" t="n">
        <f aca="false">IF($R437&gt;0,Params!$B$9*Params!$B$4/(Params!$B$6*$R437),"n/a")</f>
        <v>5.74853744264467</v>
      </c>
      <c r="AH437" s="28" t="n">
        <f aca="false">IF($R437&gt;0,Params!$B$9*Params!$B$5/(Params!$B$6*$R437),"n/a")</f>
        <v>11.4970748852893</v>
      </c>
      <c r="AI437" s="28" t="n">
        <f aca="false">IF($R437&gt;0,Params!$B$15*Params!$B$4/(Params!$B$6*$R437),"n/a")</f>
        <v>1.91617914754822</v>
      </c>
      <c r="AJ437" s="29" t="n">
        <f aca="false">MIN(Params!$B$9,AD437*Params!$B$8/Params!$B$4)</f>
        <v>0.0156561561785</v>
      </c>
      <c r="AK437" s="28" t="n">
        <f aca="false">IF($R437&gt;0,Params!$B$9*Params!$B$4/(Params!$B$6*$R437*Params!$B$8),"n/a")</f>
        <v>11.4970748852893</v>
      </c>
      <c r="AL437" s="27" t="str">
        <f aca="false">IFERROR(ciq($D437,"IQ_PE_EXCL"),"")</f>
        <v/>
      </c>
      <c r="AM437" s="27" t="str">
        <f aca="false">IFERROR(ciq($D437,"IQ_PE_EXCL_FWD_CIQ"),"")</f>
        <v/>
      </c>
      <c r="AN437" s="27" t="str">
        <f aca="false">IFERROR(ciq($D437,"IQ_PBV"),"")</f>
        <v/>
      </c>
      <c r="AO437" s="27" t="str">
        <f aca="false">IFERROR(ciq($D437,"IQ_TEV_EBITDA"),"")</f>
        <v/>
      </c>
      <c r="AP437" s="24" t="str">
        <f aca="false">IFERROR(ciq($D437,"IQ_RETURN_EQUITY"),"")</f>
        <v/>
      </c>
      <c r="AQ437" s="24" t="str">
        <f aca="false">IFERROR(ciq($D437,"IQ_RETURN_CAPITAL"),"")</f>
        <v/>
      </c>
      <c r="AR437" s="24" t="str">
        <f aca="false">IFERROR(ciq($D437,"IQ_TOTAL_REV_1YR_ANN_GROWTH"),"")</f>
        <v/>
      </c>
      <c r="AS437" s="24" t="str">
        <f aca="false">IFERROR(ciq($D437,"IQ_EPS_1YR_ANN_GROWTH"),"")</f>
        <v/>
      </c>
      <c r="AT437" s="24" t="str">
        <f aca="false">IFERROR(ciq($D437,"IQ_DIVIDEND_YIELD"),"")</f>
        <v/>
      </c>
      <c r="AU437" s="24" t="str">
        <f aca="false">IFERROR(ciq($D437,"IQ_NET_DEBT"),"")</f>
        <v/>
      </c>
    </row>
    <row r="438" customFormat="false" ht="15" hidden="false" customHeight="false" outlineLevel="0" collapsed="false">
      <c r="A438" s="8" t="s">
        <v>2123</v>
      </c>
      <c r="B438" s="6" t="s">
        <v>2124</v>
      </c>
      <c r="C438" s="8" t="s">
        <v>73</v>
      </c>
      <c r="D438" s="8" t="s">
        <v>2125</v>
      </c>
      <c r="E438" s="8" t="s">
        <v>2126</v>
      </c>
      <c r="F438" s="6" t="s">
        <v>627</v>
      </c>
      <c r="G438" s="8" t="s">
        <v>58</v>
      </c>
      <c r="H438" s="8" t="s">
        <v>67</v>
      </c>
      <c r="I438" s="8"/>
      <c r="J438" s="8"/>
      <c r="K438" s="8"/>
      <c r="L438" s="8" t="s">
        <v>115</v>
      </c>
      <c r="M438" s="23" t="n">
        <v>11040</v>
      </c>
      <c r="N438" s="23" t="n">
        <v>4221.1976544</v>
      </c>
      <c r="O438" s="23" t="n">
        <v>4764.90626532</v>
      </c>
      <c r="P438" s="24" t="n">
        <v>38.1067028175</v>
      </c>
      <c r="Q438" s="24" t="n">
        <v>44.9151745616667</v>
      </c>
      <c r="R438" s="24" t="n">
        <v>38.1067028175</v>
      </c>
      <c r="S438" s="25" t="n">
        <v>0.00902746233116546</v>
      </c>
      <c r="T438" s="26" t="n">
        <v>0.916143096198331</v>
      </c>
      <c r="U438" s="23" t="n">
        <v>2</v>
      </c>
      <c r="V438" s="26" t="n">
        <v>-0.04</v>
      </c>
      <c r="W438" s="26" t="n">
        <v>-0.225914715487363</v>
      </c>
      <c r="X438" s="26" t="n">
        <v>-0.423498188862063</v>
      </c>
      <c r="Y438" s="26" t="n">
        <v>-0.636228466162961</v>
      </c>
      <c r="Z438" s="26" t="n">
        <v>-0.23329206172046</v>
      </c>
      <c r="AA438" s="26" t="n">
        <v>0.056530716324088</v>
      </c>
      <c r="AB438" s="26" t="n">
        <v>-0.758425588266876</v>
      </c>
      <c r="AC438" s="27" t="n">
        <v>0.366290470237909</v>
      </c>
      <c r="AD438" s="28" t="n">
        <f aca="false">Params!$B$6*Params!$B$7*$R438</f>
        <v>22.8640216905</v>
      </c>
      <c r="AE438" s="29" t="n">
        <f aca="false">MIN(Params!$B$9,AD438/Params!$B$4)</f>
        <v>0.045728043381</v>
      </c>
      <c r="AF438" s="29" t="n">
        <f aca="false">MIN(Params!$B$9,AD438/Params!$B$5)</f>
        <v>0.0228640216905</v>
      </c>
      <c r="AG438" s="28" t="n">
        <f aca="false">IF($R438&gt;0,Params!$B$9*Params!$B$4/(Params!$B$6*$R438),"n/a")</f>
        <v>3.93631536998563</v>
      </c>
      <c r="AH438" s="28" t="n">
        <f aca="false">IF($R438&gt;0,Params!$B$9*Params!$B$5/(Params!$B$6*$R438),"n/a")</f>
        <v>7.87263073997126</v>
      </c>
      <c r="AI438" s="28" t="n">
        <f aca="false">IF($R438&gt;0,Params!$B$15*Params!$B$4/(Params!$B$6*$R438),"n/a")</f>
        <v>1.31210512332854</v>
      </c>
      <c r="AJ438" s="29" t="n">
        <f aca="false">MIN(Params!$B$9,AD438*Params!$B$8/Params!$B$4)</f>
        <v>0.0228640216905</v>
      </c>
      <c r="AK438" s="28" t="n">
        <f aca="false">IF($R438&gt;0,Params!$B$9*Params!$B$4/(Params!$B$6*$R438*Params!$B$8),"n/a")</f>
        <v>7.87263073997126</v>
      </c>
      <c r="AL438" s="27" t="str">
        <f aca="false">IFERROR(ciq($D438,"IQ_PE_EXCL"),"")</f>
        <v/>
      </c>
      <c r="AM438" s="27" t="str">
        <f aca="false">IFERROR(ciq($D438,"IQ_PE_EXCL_FWD_CIQ"),"")</f>
        <v/>
      </c>
      <c r="AN438" s="27" t="str">
        <f aca="false">IFERROR(ciq($D438,"IQ_PBV"),"")</f>
        <v/>
      </c>
      <c r="AO438" s="27" t="str">
        <f aca="false">IFERROR(ciq($D438,"IQ_TEV_EBITDA"),"")</f>
        <v/>
      </c>
      <c r="AP438" s="24" t="str">
        <f aca="false">IFERROR(ciq($D438,"IQ_RETURN_EQUITY"),"")</f>
        <v/>
      </c>
      <c r="AQ438" s="24" t="str">
        <f aca="false">IFERROR(ciq($D438,"IQ_RETURN_CAPITAL"),"")</f>
        <v/>
      </c>
      <c r="AR438" s="24" t="str">
        <f aca="false">IFERROR(ciq($D438,"IQ_TOTAL_REV_1YR_ANN_GROWTH"),"")</f>
        <v/>
      </c>
      <c r="AS438" s="24" t="str">
        <f aca="false">IFERROR(ciq($D438,"IQ_EPS_1YR_ANN_GROWTH"),"")</f>
        <v/>
      </c>
      <c r="AT438" s="24" t="str">
        <f aca="false">IFERROR(ciq($D438,"IQ_DIVIDEND_YIELD"),"")</f>
        <v/>
      </c>
      <c r="AU438" s="24" t="str">
        <f aca="false">IFERROR(ciq($D438,"IQ_NET_DEBT"),"")</f>
        <v/>
      </c>
    </row>
    <row r="439" customFormat="false" ht="15" hidden="false" customHeight="false" outlineLevel="0" collapsed="false">
      <c r="A439" s="8" t="s">
        <v>2127</v>
      </c>
      <c r="B439" s="6" t="s">
        <v>2128</v>
      </c>
      <c r="C439" s="8" t="s">
        <v>72</v>
      </c>
      <c r="D439" s="8" t="s">
        <v>2129</v>
      </c>
      <c r="E439" s="8" t="s">
        <v>2130</v>
      </c>
      <c r="F439" s="6" t="s">
        <v>650</v>
      </c>
      <c r="G439" s="8" t="s">
        <v>58</v>
      </c>
      <c r="H439" s="8" t="s">
        <v>67</v>
      </c>
      <c r="I439" s="8"/>
      <c r="J439" s="8"/>
      <c r="K439" s="8"/>
      <c r="L439" s="8"/>
      <c r="M439" s="23" t="n">
        <v>4320</v>
      </c>
      <c r="N439" s="23" t="n">
        <v>4184.6292576</v>
      </c>
      <c r="O439" s="23" t="n">
        <v>4217.321673675</v>
      </c>
      <c r="P439" s="24" t="n">
        <v>17.661384569</v>
      </c>
      <c r="Q439" s="24" t="n">
        <v>23.0535968823333</v>
      </c>
      <c r="R439" s="24" t="n">
        <v>17.661384569</v>
      </c>
      <c r="S439" s="25" t="n">
        <v>0.00422053746742891</v>
      </c>
      <c r="T439" s="26" t="n">
        <v>0.58501233954826</v>
      </c>
      <c r="U439" s="23" t="n">
        <v>0</v>
      </c>
      <c r="V439" s="26" t="n">
        <v>-0.06</v>
      </c>
      <c r="W439" s="26" t="n">
        <v>9.49050562757403E-005</v>
      </c>
      <c r="X439" s="26" t="n">
        <v>-0.0421476311364621</v>
      </c>
      <c r="Y439" s="26" t="n">
        <v>-0.11588934176554</v>
      </c>
      <c r="Z439" s="26" t="n">
        <v>0.255936362519821</v>
      </c>
      <c r="AA439" s="26" t="n">
        <v>0.252150311802711</v>
      </c>
      <c r="AB439" s="26" t="n">
        <v>-0.325163241884074</v>
      </c>
      <c r="AC439" s="27" t="n">
        <v>0.238010264354514</v>
      </c>
      <c r="AD439" s="28" t="n">
        <f aca="false">Params!$B$6*Params!$B$7*$R439</f>
        <v>10.5968307414</v>
      </c>
      <c r="AE439" s="29" t="n">
        <f aca="false">MIN(Params!$B$9,AD439/Params!$B$4)</f>
        <v>0.0211936614828</v>
      </c>
      <c r="AF439" s="29" t="n">
        <f aca="false">MIN(Params!$B$9,AD439/Params!$B$5)</f>
        <v>0.0105968307414</v>
      </c>
      <c r="AG439" s="28" t="n">
        <f aca="false">IF($R439&gt;0,Params!$B$9*Params!$B$4/(Params!$B$6*$R439),"n/a")</f>
        <v>8.49310536294455</v>
      </c>
      <c r="AH439" s="28" t="n">
        <f aca="false">IF($R439&gt;0,Params!$B$9*Params!$B$5/(Params!$B$6*$R439),"n/a")</f>
        <v>16.9862107258891</v>
      </c>
      <c r="AI439" s="28" t="n">
        <f aca="false">IF($R439&gt;0,Params!$B$15*Params!$B$4/(Params!$B$6*$R439),"n/a")</f>
        <v>2.83103512098152</v>
      </c>
      <c r="AJ439" s="29" t="n">
        <f aca="false">MIN(Params!$B$9,AD439*Params!$B$8/Params!$B$4)</f>
        <v>0.0105968307414</v>
      </c>
      <c r="AK439" s="28" t="n">
        <f aca="false">IF($R439&gt;0,Params!$B$9*Params!$B$4/(Params!$B$6*$R439*Params!$B$8),"n/a")</f>
        <v>16.9862107258891</v>
      </c>
      <c r="AL439" s="27" t="str">
        <f aca="false">IFERROR(ciq($D439,"IQ_PE_EXCL"),"")</f>
        <v/>
      </c>
      <c r="AM439" s="27" t="str">
        <f aca="false">IFERROR(ciq($D439,"IQ_PE_EXCL_FWD_CIQ"),"")</f>
        <v/>
      </c>
      <c r="AN439" s="27" t="str">
        <f aca="false">IFERROR(ciq($D439,"IQ_PBV"),"")</f>
        <v/>
      </c>
      <c r="AO439" s="27" t="str">
        <f aca="false">IFERROR(ciq($D439,"IQ_TEV_EBITDA"),"")</f>
        <v/>
      </c>
      <c r="AP439" s="24" t="str">
        <f aca="false">IFERROR(ciq($D439,"IQ_RETURN_EQUITY"),"")</f>
        <v/>
      </c>
      <c r="AQ439" s="24" t="str">
        <f aca="false">IFERROR(ciq($D439,"IQ_RETURN_CAPITAL"),"")</f>
        <v/>
      </c>
      <c r="AR439" s="24" t="str">
        <f aca="false">IFERROR(ciq($D439,"IQ_TOTAL_REV_1YR_ANN_GROWTH"),"")</f>
        <v/>
      </c>
      <c r="AS439" s="24" t="str">
        <f aca="false">IFERROR(ciq($D439,"IQ_EPS_1YR_ANN_GROWTH"),"")</f>
        <v/>
      </c>
      <c r="AT439" s="24" t="str">
        <f aca="false">IFERROR(ciq($D439,"IQ_DIVIDEND_YIELD"),"")</f>
        <v/>
      </c>
      <c r="AU439" s="24" t="str">
        <f aca="false">IFERROR(ciq($D439,"IQ_NET_DEBT"),"")</f>
        <v/>
      </c>
    </row>
    <row r="440" customFormat="false" ht="15" hidden="false" customHeight="false" outlineLevel="0" collapsed="false">
      <c r="A440" s="8" t="s">
        <v>2131</v>
      </c>
      <c r="B440" s="6" t="s">
        <v>2132</v>
      </c>
      <c r="C440" s="8" t="s">
        <v>72</v>
      </c>
      <c r="D440" s="8" t="s">
        <v>2133</v>
      </c>
      <c r="E440" s="8" t="s">
        <v>2134</v>
      </c>
      <c r="F440" s="8"/>
      <c r="G440" s="8" t="s">
        <v>58</v>
      </c>
      <c r="H440" s="8" t="s">
        <v>67</v>
      </c>
      <c r="I440" s="8"/>
      <c r="J440" s="8"/>
      <c r="K440" s="8"/>
      <c r="L440" s="8"/>
      <c r="M440" s="23" t="n">
        <v>2155</v>
      </c>
      <c r="N440" s="23" t="n">
        <v>4177.6745955</v>
      </c>
      <c r="O440" s="23" t="n">
        <v>3973.055777145</v>
      </c>
      <c r="P440" s="24" t="n">
        <v>22.6807197105</v>
      </c>
      <c r="Q440" s="24" t="n">
        <v>30.1773427621667</v>
      </c>
      <c r="R440" s="24" t="n">
        <v>22.6807197105</v>
      </c>
      <c r="S440" s="25" t="n">
        <v>0.0054290297609418</v>
      </c>
      <c r="T440" s="26" t="n">
        <v>0.63323356097554</v>
      </c>
      <c r="U440" s="23" t="n">
        <v>0</v>
      </c>
      <c r="V440" s="26" t="n">
        <v>-0.06</v>
      </c>
      <c r="W440" s="26" t="n">
        <v>0.0564198223966825</v>
      </c>
      <c r="X440" s="26" t="n">
        <v>-0.130885565886381</v>
      </c>
      <c r="Y440" s="26" t="n">
        <v>-0.243714863079842</v>
      </c>
      <c r="Z440" s="26" t="n">
        <v>0.575768347381049</v>
      </c>
      <c r="AA440" s="26" t="n">
        <v>0.900352259515737</v>
      </c>
      <c r="AB440" s="26" t="n">
        <v>-0.40775979134205</v>
      </c>
      <c r="AC440" s="27" t="n">
        <v>0.163854560721363</v>
      </c>
      <c r="AD440" s="28" t="n">
        <f aca="false">Params!$B$6*Params!$B$7*$R440</f>
        <v>13.6084318263</v>
      </c>
      <c r="AE440" s="29" t="n">
        <f aca="false">MIN(Params!$B$9,AD440/Params!$B$4)</f>
        <v>0.0272168636526</v>
      </c>
      <c r="AF440" s="29" t="n">
        <f aca="false">MIN(Params!$B$9,AD440/Params!$B$5)</f>
        <v>0.0136084318263</v>
      </c>
      <c r="AG440" s="28" t="n">
        <f aca="false">IF($R440&gt;0,Params!$B$9*Params!$B$4/(Params!$B$6*$R440),"n/a")</f>
        <v>6.61354674431067</v>
      </c>
      <c r="AH440" s="28" t="n">
        <f aca="false">IF($R440&gt;0,Params!$B$9*Params!$B$5/(Params!$B$6*$R440),"n/a")</f>
        <v>13.2270934886213</v>
      </c>
      <c r="AI440" s="28" t="n">
        <f aca="false">IF($R440&gt;0,Params!$B$15*Params!$B$4/(Params!$B$6*$R440),"n/a")</f>
        <v>2.20451558143689</v>
      </c>
      <c r="AJ440" s="29" t="n">
        <f aca="false">MIN(Params!$B$9,AD440*Params!$B$8/Params!$B$4)</f>
        <v>0.0136084318263</v>
      </c>
      <c r="AK440" s="28" t="n">
        <f aca="false">IF($R440&gt;0,Params!$B$9*Params!$B$4/(Params!$B$6*$R440*Params!$B$8),"n/a")</f>
        <v>13.2270934886213</v>
      </c>
      <c r="AL440" s="27" t="str">
        <f aca="false">IFERROR(ciq($D440,"IQ_PE_EXCL"),"")</f>
        <v/>
      </c>
      <c r="AM440" s="27" t="str">
        <f aca="false">IFERROR(ciq($D440,"IQ_PE_EXCL_FWD_CIQ"),"")</f>
        <v/>
      </c>
      <c r="AN440" s="27" t="str">
        <f aca="false">IFERROR(ciq($D440,"IQ_PBV"),"")</f>
        <v/>
      </c>
      <c r="AO440" s="27" t="str">
        <f aca="false">IFERROR(ciq($D440,"IQ_TEV_EBITDA"),"")</f>
        <v/>
      </c>
      <c r="AP440" s="24" t="str">
        <f aca="false">IFERROR(ciq($D440,"IQ_RETURN_EQUITY"),"")</f>
        <v/>
      </c>
      <c r="AQ440" s="24" t="str">
        <f aca="false">IFERROR(ciq($D440,"IQ_RETURN_CAPITAL"),"")</f>
        <v/>
      </c>
      <c r="AR440" s="24" t="str">
        <f aca="false">IFERROR(ciq($D440,"IQ_TOTAL_REV_1YR_ANN_GROWTH"),"")</f>
        <v/>
      </c>
      <c r="AS440" s="24" t="str">
        <f aca="false">IFERROR(ciq($D440,"IQ_EPS_1YR_ANN_GROWTH"),"")</f>
        <v/>
      </c>
      <c r="AT440" s="24" t="str">
        <f aca="false">IFERROR(ciq($D440,"IQ_DIVIDEND_YIELD"),"")</f>
        <v/>
      </c>
      <c r="AU440" s="24" t="str">
        <f aca="false">IFERROR(ciq($D440,"IQ_NET_DEBT"),"")</f>
        <v/>
      </c>
    </row>
    <row r="441" customFormat="false" ht="15" hidden="false" customHeight="false" outlineLevel="0" collapsed="false">
      <c r="A441" s="8" t="s">
        <v>2135</v>
      </c>
      <c r="B441" s="6" t="s">
        <v>2136</v>
      </c>
      <c r="C441" s="8" t="s">
        <v>73</v>
      </c>
      <c r="D441" s="8" t="s">
        <v>2137</v>
      </c>
      <c r="E441" s="8" t="s">
        <v>2138</v>
      </c>
      <c r="F441" s="6" t="s">
        <v>900</v>
      </c>
      <c r="G441" s="8" t="s">
        <v>58</v>
      </c>
      <c r="H441" s="8" t="s">
        <v>67</v>
      </c>
      <c r="I441" s="8"/>
      <c r="J441" s="8"/>
      <c r="K441" s="8"/>
      <c r="L441" s="8"/>
      <c r="M441" s="23" t="n">
        <v>17240</v>
      </c>
      <c r="N441" s="23" t="n">
        <v>4168.5878656</v>
      </c>
      <c r="O441" s="23" t="n">
        <v>4340.98944032</v>
      </c>
      <c r="P441" s="24" t="n">
        <v>20.1277323525</v>
      </c>
      <c r="Q441" s="24" t="n">
        <v>22.92524444</v>
      </c>
      <c r="R441" s="24" t="n">
        <v>20.1277323525</v>
      </c>
      <c r="S441" s="25" t="n">
        <v>0.00482842943496477</v>
      </c>
      <c r="T441" s="26" t="n">
        <v>0.550653168272747</v>
      </c>
      <c r="U441" s="23" t="n">
        <v>0</v>
      </c>
      <c r="V441" s="26" t="n">
        <v>-0.06</v>
      </c>
      <c r="W441" s="26" t="n">
        <v>-0.0736317399779313</v>
      </c>
      <c r="X441" s="26" t="n">
        <v>-0.0882990191158527</v>
      </c>
      <c r="Y441" s="26" t="n">
        <v>-0.144808081998987</v>
      </c>
      <c r="Z441" s="26" t="n">
        <v>-0.249081914150354</v>
      </c>
      <c r="AA441" s="26" t="n">
        <v>-0.313266553702287</v>
      </c>
      <c r="AB441" s="26" t="n">
        <v>-0.367469878878199</v>
      </c>
      <c r="AC441" s="27" t="n">
        <v>0.752537766415902</v>
      </c>
      <c r="AD441" s="28" t="n">
        <f aca="false">Params!$B$6*Params!$B$7*$R441</f>
        <v>12.0766394115</v>
      </c>
      <c r="AE441" s="29" t="n">
        <f aca="false">MIN(Params!$B$9,AD441/Params!$B$4)</f>
        <v>0.024153278823</v>
      </c>
      <c r="AF441" s="29" t="n">
        <f aca="false">MIN(Params!$B$9,AD441/Params!$B$5)</f>
        <v>0.0120766394115</v>
      </c>
      <c r="AG441" s="28" t="n">
        <f aca="false">IF($R441&gt;0,Params!$B$9*Params!$B$4/(Params!$B$6*$R441),"n/a")</f>
        <v>7.4524043430739</v>
      </c>
      <c r="AH441" s="28" t="n">
        <f aca="false">IF($R441&gt;0,Params!$B$9*Params!$B$5/(Params!$B$6*$R441),"n/a")</f>
        <v>14.9048086861478</v>
      </c>
      <c r="AI441" s="28" t="n">
        <f aca="false">IF($R441&gt;0,Params!$B$15*Params!$B$4/(Params!$B$6*$R441),"n/a")</f>
        <v>2.48413478102463</v>
      </c>
      <c r="AJ441" s="29" t="n">
        <f aca="false">MIN(Params!$B$9,AD441*Params!$B$8/Params!$B$4)</f>
        <v>0.0120766394115</v>
      </c>
      <c r="AK441" s="28" t="n">
        <f aca="false">IF($R441&gt;0,Params!$B$9*Params!$B$4/(Params!$B$6*$R441*Params!$B$8),"n/a")</f>
        <v>14.9048086861478</v>
      </c>
      <c r="AL441" s="27" t="str">
        <f aca="false">IFERROR(ciq($D441,"IQ_PE_EXCL"),"")</f>
        <v/>
      </c>
      <c r="AM441" s="27" t="str">
        <f aca="false">IFERROR(ciq($D441,"IQ_PE_EXCL_FWD_CIQ"),"")</f>
        <v/>
      </c>
      <c r="AN441" s="27" t="str">
        <f aca="false">IFERROR(ciq($D441,"IQ_PBV"),"")</f>
        <v/>
      </c>
      <c r="AO441" s="27" t="str">
        <f aca="false">IFERROR(ciq($D441,"IQ_TEV_EBITDA"),"")</f>
        <v/>
      </c>
      <c r="AP441" s="24" t="str">
        <f aca="false">IFERROR(ciq($D441,"IQ_RETURN_EQUITY"),"")</f>
        <v/>
      </c>
      <c r="AQ441" s="24" t="str">
        <f aca="false">IFERROR(ciq($D441,"IQ_RETURN_CAPITAL"),"")</f>
        <v/>
      </c>
      <c r="AR441" s="24" t="str">
        <f aca="false">IFERROR(ciq($D441,"IQ_TOTAL_REV_1YR_ANN_GROWTH"),"")</f>
        <v/>
      </c>
      <c r="AS441" s="24" t="str">
        <f aca="false">IFERROR(ciq($D441,"IQ_EPS_1YR_ANN_GROWTH"),"")</f>
        <v/>
      </c>
      <c r="AT441" s="24" t="str">
        <f aca="false">IFERROR(ciq($D441,"IQ_DIVIDEND_YIELD"),"")</f>
        <v/>
      </c>
      <c r="AU441" s="24" t="str">
        <f aca="false">IFERROR(ciq($D441,"IQ_NET_DEBT"),"")</f>
        <v/>
      </c>
    </row>
    <row r="442" customFormat="false" ht="15" hidden="false" customHeight="false" outlineLevel="0" collapsed="false">
      <c r="A442" s="8" t="s">
        <v>2139</v>
      </c>
      <c r="B442" s="6" t="s">
        <v>2140</v>
      </c>
      <c r="C442" s="8" t="s">
        <v>72</v>
      </c>
      <c r="D442" s="8" t="s">
        <v>2141</v>
      </c>
      <c r="E442" s="8" t="s">
        <v>2142</v>
      </c>
      <c r="F442" s="6" t="s">
        <v>622</v>
      </c>
      <c r="G442" s="8" t="s">
        <v>58</v>
      </c>
      <c r="H442" s="8" t="s">
        <v>67</v>
      </c>
      <c r="I442" s="8"/>
      <c r="J442" s="8"/>
      <c r="K442" s="8"/>
      <c r="L442" s="8" t="s">
        <v>241</v>
      </c>
      <c r="M442" s="23" t="n">
        <v>1699</v>
      </c>
      <c r="N442" s="23" t="n">
        <v>4084.81903401</v>
      </c>
      <c r="O442" s="23" t="n">
        <v>4169.8092358065</v>
      </c>
      <c r="P442" s="24" t="n">
        <v>149.783944988</v>
      </c>
      <c r="Q442" s="24" t="n">
        <v>221.7699591935</v>
      </c>
      <c r="R442" s="24" t="n">
        <v>149.783944988</v>
      </c>
      <c r="S442" s="25" t="n">
        <v>0.0366684408148577</v>
      </c>
      <c r="T442" s="26" t="n">
        <v>0.60107119361737</v>
      </c>
      <c r="U442" s="23" t="n">
        <v>0</v>
      </c>
      <c r="V442" s="26" t="n">
        <v>-0.06</v>
      </c>
      <c r="W442" s="26" t="n">
        <v>0.0091020164882234</v>
      </c>
      <c r="X442" s="26" t="n">
        <v>-0.0958273212279088</v>
      </c>
      <c r="Y442" s="26" t="n">
        <v>-0.221979283032765</v>
      </c>
      <c r="Z442" s="26" t="n">
        <v>0.0731449234783539</v>
      </c>
      <c r="AA442" s="26" t="n">
        <v>0.00407143125937926</v>
      </c>
      <c r="AB442" s="26" t="n">
        <v>-0.61972935010132</v>
      </c>
      <c r="AC442" s="27" t="n">
        <v>0.129948694820266</v>
      </c>
      <c r="AD442" s="28" t="n">
        <f aca="false">Params!$B$6*Params!$B$7*$R442</f>
        <v>89.8703669928</v>
      </c>
      <c r="AE442" s="29" t="n">
        <f aca="false">MIN(Params!$B$9,AD442/Params!$B$4)</f>
        <v>0.06</v>
      </c>
      <c r="AF442" s="29" t="n">
        <f aca="false">MIN(Params!$B$9,AD442/Params!$B$5)</f>
        <v>0.06</v>
      </c>
      <c r="AG442" s="28" t="n">
        <f aca="false">IF($R442&gt;0,Params!$B$9*Params!$B$4/(Params!$B$6*$R442),"n/a")</f>
        <v>1.00144244439561</v>
      </c>
      <c r="AH442" s="28" t="n">
        <f aca="false">IF($R442&gt;0,Params!$B$9*Params!$B$5/(Params!$B$6*$R442),"n/a")</f>
        <v>2.00288488879122</v>
      </c>
      <c r="AI442" s="28" t="n">
        <f aca="false">IF($R442&gt;0,Params!$B$15*Params!$B$4/(Params!$B$6*$R442),"n/a")</f>
        <v>0.333814148131869</v>
      </c>
      <c r="AJ442" s="29" t="n">
        <f aca="false">MIN(Params!$B$9,AD442*Params!$B$8/Params!$B$4)</f>
        <v>0.06</v>
      </c>
      <c r="AK442" s="28" t="n">
        <f aca="false">IF($R442&gt;0,Params!$B$9*Params!$B$4/(Params!$B$6*$R442*Params!$B$8),"n/a")</f>
        <v>2.00288488879122</v>
      </c>
      <c r="AL442" s="27" t="str">
        <f aca="false">IFERROR(ciq($D442,"IQ_PE_EXCL"),"")</f>
        <v/>
      </c>
      <c r="AM442" s="27" t="str">
        <f aca="false">IFERROR(ciq($D442,"IQ_PE_EXCL_FWD_CIQ"),"")</f>
        <v/>
      </c>
      <c r="AN442" s="27" t="str">
        <f aca="false">IFERROR(ciq($D442,"IQ_PBV"),"")</f>
        <v/>
      </c>
      <c r="AO442" s="27" t="str">
        <f aca="false">IFERROR(ciq($D442,"IQ_TEV_EBITDA"),"")</f>
        <v/>
      </c>
      <c r="AP442" s="24" t="str">
        <f aca="false">IFERROR(ciq($D442,"IQ_RETURN_EQUITY"),"")</f>
        <v/>
      </c>
      <c r="AQ442" s="24" t="str">
        <f aca="false">IFERROR(ciq($D442,"IQ_RETURN_CAPITAL"),"")</f>
        <v/>
      </c>
      <c r="AR442" s="24" t="str">
        <f aca="false">IFERROR(ciq($D442,"IQ_TOTAL_REV_1YR_ANN_GROWTH"),"")</f>
        <v/>
      </c>
      <c r="AS442" s="24" t="str">
        <f aca="false">IFERROR(ciq($D442,"IQ_EPS_1YR_ANN_GROWTH"),"")</f>
        <v/>
      </c>
      <c r="AT442" s="24" t="str">
        <f aca="false">IFERROR(ciq($D442,"IQ_DIVIDEND_YIELD"),"")</f>
        <v/>
      </c>
      <c r="AU442" s="24" t="str">
        <f aca="false">IFERROR(ciq($D442,"IQ_NET_DEBT"),"")</f>
        <v/>
      </c>
    </row>
    <row r="443" customFormat="false" ht="15" hidden="false" customHeight="false" outlineLevel="0" collapsed="false">
      <c r="A443" s="8" t="s">
        <v>424</v>
      </c>
      <c r="B443" s="6" t="s">
        <v>425</v>
      </c>
      <c r="C443" s="8" t="s">
        <v>73</v>
      </c>
      <c r="D443" s="8" t="s">
        <v>2143</v>
      </c>
      <c r="E443" s="8" t="s">
        <v>2144</v>
      </c>
      <c r="F443" s="8"/>
      <c r="G443" s="8" t="s">
        <v>58</v>
      </c>
      <c r="H443" s="8" t="s">
        <v>67</v>
      </c>
      <c r="I443" s="8" t="s">
        <v>508</v>
      </c>
      <c r="J443" s="8"/>
      <c r="K443" s="8"/>
      <c r="L443" s="6" t="s">
        <v>426</v>
      </c>
      <c r="M443" s="23" t="n">
        <v>22950</v>
      </c>
      <c r="N443" s="23" t="n">
        <v>4074.711912</v>
      </c>
      <c r="O443" s="23" t="n">
        <v>4810.2018508</v>
      </c>
      <c r="P443" s="24" t="n">
        <v>537.9455125125</v>
      </c>
      <c r="Q443" s="24" t="n">
        <v>594.136081866167</v>
      </c>
      <c r="R443" s="24" t="n">
        <v>537.9455125125</v>
      </c>
      <c r="S443" s="25" t="n">
        <v>0.132020502094456</v>
      </c>
      <c r="T443" s="26" t="n">
        <v>1.78620183986742</v>
      </c>
      <c r="U443" s="23" t="n">
        <v>4</v>
      </c>
      <c r="V443" s="26" t="n">
        <v>-0.04</v>
      </c>
      <c r="W443" s="26" t="n">
        <v>-0.229904445743866</v>
      </c>
      <c r="X443" s="26" t="n">
        <v>0.0480315572402104</v>
      </c>
      <c r="Y443" s="26"/>
      <c r="Z443" s="26"/>
      <c r="AA443" s="26"/>
      <c r="AB443" s="26" t="n">
        <v>-0.705753573496228</v>
      </c>
      <c r="AC443" s="27" t="n">
        <v>0.750751412426665</v>
      </c>
      <c r="AD443" s="28" t="n">
        <f aca="false">Params!$B$6*Params!$B$7*$R443</f>
        <v>322.7673075075</v>
      </c>
      <c r="AE443" s="29" t="n">
        <f aca="false">MIN(Params!$B$9,AD443/Params!$B$4)</f>
        <v>0.06</v>
      </c>
      <c r="AF443" s="29" t="n">
        <f aca="false">MIN(Params!$B$9,AD443/Params!$B$5)</f>
        <v>0.06</v>
      </c>
      <c r="AG443" s="28" t="n">
        <f aca="false">IF($R443&gt;0,Params!$B$9*Params!$B$4/(Params!$B$6*$R443),"n/a")</f>
        <v>0.278838649102988</v>
      </c>
      <c r="AH443" s="28" t="n">
        <f aca="false">IF($R443&gt;0,Params!$B$9*Params!$B$5/(Params!$B$6*$R443),"n/a")</f>
        <v>0.557677298205976</v>
      </c>
      <c r="AI443" s="28" t="n">
        <f aca="false">IF($R443&gt;0,Params!$B$15*Params!$B$4/(Params!$B$6*$R443),"n/a")</f>
        <v>0.0929462163676626</v>
      </c>
      <c r="AJ443" s="29" t="n">
        <f aca="false">MIN(Params!$B$9,AD443*Params!$B$8/Params!$B$4)</f>
        <v>0.06</v>
      </c>
      <c r="AK443" s="28" t="n">
        <f aca="false">IF($R443&gt;0,Params!$B$9*Params!$B$4/(Params!$B$6*$R443*Params!$B$8),"n/a")</f>
        <v>0.557677298205976</v>
      </c>
      <c r="AL443" s="27" t="str">
        <f aca="false">IFERROR(ciq($D443,"IQ_PE_EXCL"),"")</f>
        <v/>
      </c>
      <c r="AM443" s="27" t="str">
        <f aca="false">IFERROR(ciq($D443,"IQ_PE_EXCL_FWD_CIQ"),"")</f>
        <v/>
      </c>
      <c r="AN443" s="27" t="str">
        <f aca="false">IFERROR(ciq($D443,"IQ_PBV"),"")</f>
        <v/>
      </c>
      <c r="AO443" s="27" t="str">
        <f aca="false">IFERROR(ciq($D443,"IQ_TEV_EBITDA"),"")</f>
        <v/>
      </c>
      <c r="AP443" s="24" t="str">
        <f aca="false">IFERROR(ciq($D443,"IQ_RETURN_EQUITY"),"")</f>
        <v/>
      </c>
      <c r="AQ443" s="24" t="str">
        <f aca="false">IFERROR(ciq($D443,"IQ_RETURN_CAPITAL"),"")</f>
        <v/>
      </c>
      <c r="AR443" s="24" t="str">
        <f aca="false">IFERROR(ciq($D443,"IQ_TOTAL_REV_1YR_ANN_GROWTH"),"")</f>
        <v/>
      </c>
      <c r="AS443" s="24" t="str">
        <f aca="false">IFERROR(ciq($D443,"IQ_EPS_1YR_ANN_GROWTH"),"")</f>
        <v/>
      </c>
      <c r="AT443" s="24" t="str">
        <f aca="false">IFERROR(ciq($D443,"IQ_DIVIDEND_YIELD"),"")</f>
        <v/>
      </c>
      <c r="AU443" s="24" t="str">
        <f aca="false">IFERROR(ciq($D443,"IQ_NET_DEBT"),"")</f>
        <v/>
      </c>
    </row>
    <row r="444" customFormat="false" ht="15" hidden="false" customHeight="false" outlineLevel="0" collapsed="false">
      <c r="A444" s="8" t="s">
        <v>2145</v>
      </c>
      <c r="B444" s="6" t="s">
        <v>2146</v>
      </c>
      <c r="C444" s="8" t="s">
        <v>73</v>
      </c>
      <c r="D444" s="8" t="s">
        <v>2147</v>
      </c>
      <c r="E444" s="8" t="s">
        <v>2148</v>
      </c>
      <c r="F444" s="6" t="s">
        <v>523</v>
      </c>
      <c r="G444" s="8" t="s">
        <v>58</v>
      </c>
      <c r="H444" s="8" t="s">
        <v>67</v>
      </c>
      <c r="I444" s="8"/>
      <c r="J444" s="8"/>
      <c r="K444" s="8"/>
      <c r="L444" s="8" t="s">
        <v>241</v>
      </c>
      <c r="M444" s="23" t="n">
        <v>56700</v>
      </c>
      <c r="N444" s="23" t="n">
        <v>4071.294738</v>
      </c>
      <c r="O444" s="23" t="n">
        <v>4733.3289088</v>
      </c>
      <c r="P444" s="24" t="n">
        <v>52.4576841</v>
      </c>
      <c r="Q444" s="24" t="n">
        <v>94.0644513916667</v>
      </c>
      <c r="R444" s="24" t="n">
        <v>52.4576841</v>
      </c>
      <c r="S444" s="25" t="n">
        <v>0.0128847670030811</v>
      </c>
      <c r="T444" s="26" t="n">
        <v>1.46066803986326</v>
      </c>
      <c r="U444" s="23" t="n">
        <v>1</v>
      </c>
      <c r="V444" s="26" t="n">
        <v>-0.06</v>
      </c>
      <c r="W444" s="26" t="n">
        <v>-0.201525963051228</v>
      </c>
      <c r="X444" s="26" t="n">
        <v>-0.459123972358806</v>
      </c>
      <c r="Y444" s="26" t="n">
        <v>-0.615695972784454</v>
      </c>
      <c r="Z444" s="26" t="n">
        <v>-0.21140411384074</v>
      </c>
      <c r="AA444" s="26" t="n">
        <v>0.582932666351714</v>
      </c>
      <c r="AB444" s="26" t="n">
        <v>-0.707193796832393</v>
      </c>
      <c r="AC444" s="27" t="n">
        <v>0.320831408923206</v>
      </c>
      <c r="AD444" s="28" t="n">
        <f aca="false">Params!$B$6*Params!$B$7*$R444</f>
        <v>31.47461046</v>
      </c>
      <c r="AE444" s="29" t="n">
        <f aca="false">MIN(Params!$B$9,AD444/Params!$B$4)</f>
        <v>0.06</v>
      </c>
      <c r="AF444" s="29" t="n">
        <f aca="false">MIN(Params!$B$9,AD444/Params!$B$5)</f>
        <v>0.03147461046</v>
      </c>
      <c r="AG444" s="28" t="n">
        <f aca="false">IF($R444&gt;0,Params!$B$9*Params!$B$4/(Params!$B$6*$R444),"n/a")</f>
        <v>2.85944762094444</v>
      </c>
      <c r="AH444" s="28" t="n">
        <f aca="false">IF($R444&gt;0,Params!$B$9*Params!$B$5/(Params!$B$6*$R444),"n/a")</f>
        <v>5.71889524188888</v>
      </c>
      <c r="AI444" s="28" t="n">
        <f aca="false">IF($R444&gt;0,Params!$B$15*Params!$B$4/(Params!$B$6*$R444),"n/a")</f>
        <v>0.95314920698148</v>
      </c>
      <c r="AJ444" s="29" t="n">
        <f aca="false">MIN(Params!$B$9,AD444*Params!$B$8/Params!$B$4)</f>
        <v>0.03147461046</v>
      </c>
      <c r="AK444" s="28" t="n">
        <f aca="false">IF($R444&gt;0,Params!$B$9*Params!$B$4/(Params!$B$6*$R444*Params!$B$8),"n/a")</f>
        <v>5.71889524188888</v>
      </c>
      <c r="AL444" s="27" t="str">
        <f aca="false">IFERROR(ciq($D444,"IQ_PE_EXCL"),"")</f>
        <v/>
      </c>
      <c r="AM444" s="27" t="str">
        <f aca="false">IFERROR(ciq($D444,"IQ_PE_EXCL_FWD_CIQ"),"")</f>
        <v/>
      </c>
      <c r="AN444" s="27" t="str">
        <f aca="false">IFERROR(ciq($D444,"IQ_PBV"),"")</f>
        <v/>
      </c>
      <c r="AO444" s="27" t="str">
        <f aca="false">IFERROR(ciq($D444,"IQ_TEV_EBITDA"),"")</f>
        <v/>
      </c>
      <c r="AP444" s="24" t="str">
        <f aca="false">IFERROR(ciq($D444,"IQ_RETURN_EQUITY"),"")</f>
        <v/>
      </c>
      <c r="AQ444" s="24" t="str">
        <f aca="false">IFERROR(ciq($D444,"IQ_RETURN_CAPITAL"),"")</f>
        <v/>
      </c>
      <c r="AR444" s="24" t="str">
        <f aca="false">IFERROR(ciq($D444,"IQ_TOTAL_REV_1YR_ANN_GROWTH"),"")</f>
        <v/>
      </c>
      <c r="AS444" s="24" t="str">
        <f aca="false">IFERROR(ciq($D444,"IQ_EPS_1YR_ANN_GROWTH"),"")</f>
        <v/>
      </c>
      <c r="AT444" s="24" t="str">
        <f aca="false">IFERROR(ciq($D444,"IQ_DIVIDEND_YIELD"),"")</f>
        <v/>
      </c>
      <c r="AU444" s="24" t="str">
        <f aca="false">IFERROR(ciq($D444,"IQ_NET_DEBT"),"")</f>
        <v/>
      </c>
    </row>
    <row r="445" customFormat="false" ht="15" hidden="false" customHeight="false" outlineLevel="0" collapsed="false">
      <c r="A445" s="8" t="s">
        <v>2149</v>
      </c>
      <c r="B445" s="6" t="s">
        <v>2150</v>
      </c>
      <c r="C445" s="8" t="s">
        <v>73</v>
      </c>
      <c r="D445" s="8" t="s">
        <v>2151</v>
      </c>
      <c r="E445" s="8" t="s">
        <v>2152</v>
      </c>
      <c r="F445" s="6" t="s">
        <v>1402</v>
      </c>
      <c r="G445" s="8" t="s">
        <v>58</v>
      </c>
      <c r="H445" s="8" t="s">
        <v>67</v>
      </c>
      <c r="I445" s="8"/>
      <c r="J445" s="8"/>
      <c r="K445" s="8"/>
      <c r="L445" s="8" t="s">
        <v>115</v>
      </c>
      <c r="M445" s="23" t="n">
        <v>20400</v>
      </c>
      <c r="N445" s="23" t="n">
        <v>4070.234316</v>
      </c>
      <c r="O445" s="23" t="n">
        <v>5651.44053925</v>
      </c>
      <c r="P445" s="24" t="n">
        <v>69.314181175</v>
      </c>
      <c r="Q445" s="24" t="n">
        <v>49.6266776541667</v>
      </c>
      <c r="R445" s="24" t="n">
        <v>49.6266776541667</v>
      </c>
      <c r="S445" s="25" t="n">
        <v>0.0170295309295899</v>
      </c>
      <c r="T445" s="26" t="n">
        <v>1.18695746843112</v>
      </c>
      <c r="U445" s="23" t="n">
        <v>2</v>
      </c>
      <c r="V445" s="26" t="n">
        <v>-0.04</v>
      </c>
      <c r="W445" s="26" t="n">
        <v>-0.221513000254228</v>
      </c>
      <c r="X445" s="26" t="n">
        <v>-0.336920620447311</v>
      </c>
      <c r="Y445" s="26" t="n">
        <v>-0.72068933620515</v>
      </c>
      <c r="Z445" s="26" t="n">
        <v>-0.520236841330896</v>
      </c>
      <c r="AA445" s="26" t="n">
        <v>1.03988247622682</v>
      </c>
      <c r="AB445" s="26" t="n">
        <v>-0.771147758576732</v>
      </c>
      <c r="AC445" s="27" t="n">
        <v>0.478650826166882</v>
      </c>
      <c r="AD445" s="28" t="n">
        <f aca="false">Params!$B$6*Params!$B$7*$R445</f>
        <v>29.7760065925</v>
      </c>
      <c r="AE445" s="29" t="n">
        <f aca="false">MIN(Params!$B$9,AD445/Params!$B$4)</f>
        <v>0.059552013185</v>
      </c>
      <c r="AF445" s="29" t="n">
        <f aca="false">MIN(Params!$B$9,AD445/Params!$B$5)</f>
        <v>0.0297760065925</v>
      </c>
      <c r="AG445" s="28" t="n">
        <f aca="false">IF($R445&gt;0,Params!$B$9*Params!$B$4/(Params!$B$6*$R445),"n/a")</f>
        <v>3.02256784234691</v>
      </c>
      <c r="AH445" s="28" t="n">
        <f aca="false">IF($R445&gt;0,Params!$B$9*Params!$B$5/(Params!$B$6*$R445),"n/a")</f>
        <v>6.04513568469381</v>
      </c>
      <c r="AI445" s="28" t="n">
        <f aca="false">IF($R445&gt;0,Params!$B$15*Params!$B$4/(Params!$B$6*$R445),"n/a")</f>
        <v>1.00752261411564</v>
      </c>
      <c r="AJ445" s="29" t="n">
        <f aca="false">MIN(Params!$B$9,AD445*Params!$B$8/Params!$B$4)</f>
        <v>0.0297760065925</v>
      </c>
      <c r="AK445" s="28" t="n">
        <f aca="false">IF($R445&gt;0,Params!$B$9*Params!$B$4/(Params!$B$6*$R445*Params!$B$8),"n/a")</f>
        <v>6.04513568469381</v>
      </c>
      <c r="AL445" s="27" t="str">
        <f aca="false">IFERROR(ciq($D445,"IQ_PE_EXCL"),"")</f>
        <v/>
      </c>
      <c r="AM445" s="27" t="str">
        <f aca="false">IFERROR(ciq($D445,"IQ_PE_EXCL_FWD_CIQ"),"")</f>
        <v/>
      </c>
      <c r="AN445" s="27" t="str">
        <f aca="false">IFERROR(ciq($D445,"IQ_PBV"),"")</f>
        <v/>
      </c>
      <c r="AO445" s="27" t="str">
        <f aca="false">IFERROR(ciq($D445,"IQ_TEV_EBITDA"),"")</f>
        <v/>
      </c>
      <c r="AP445" s="24" t="str">
        <f aca="false">IFERROR(ciq($D445,"IQ_RETURN_EQUITY"),"")</f>
        <v/>
      </c>
      <c r="AQ445" s="24" t="str">
        <f aca="false">IFERROR(ciq($D445,"IQ_RETURN_CAPITAL"),"")</f>
        <v/>
      </c>
      <c r="AR445" s="24" t="str">
        <f aca="false">IFERROR(ciq($D445,"IQ_TOTAL_REV_1YR_ANN_GROWTH"),"")</f>
        <v/>
      </c>
      <c r="AS445" s="24" t="str">
        <f aca="false">IFERROR(ciq($D445,"IQ_EPS_1YR_ANN_GROWTH"),"")</f>
        <v/>
      </c>
      <c r="AT445" s="24" t="str">
        <f aca="false">IFERROR(ciq($D445,"IQ_DIVIDEND_YIELD"),"")</f>
        <v/>
      </c>
      <c r="AU445" s="24" t="str">
        <f aca="false">IFERROR(ciq($D445,"IQ_NET_DEBT"),"")</f>
        <v/>
      </c>
    </row>
    <row r="446" customFormat="false" ht="15" hidden="false" customHeight="false" outlineLevel="0" collapsed="false">
      <c r="A446" s="8" t="s">
        <v>2153</v>
      </c>
      <c r="B446" s="6" t="s">
        <v>2154</v>
      </c>
      <c r="C446" s="8" t="s">
        <v>73</v>
      </c>
      <c r="D446" s="8" t="s">
        <v>2155</v>
      </c>
      <c r="E446" s="8" t="s">
        <v>2156</v>
      </c>
      <c r="F446" s="6" t="s">
        <v>523</v>
      </c>
      <c r="G446" s="8" t="s">
        <v>58</v>
      </c>
      <c r="H446" s="8" t="s">
        <v>67</v>
      </c>
      <c r="I446" s="8"/>
      <c r="J446" s="8"/>
      <c r="K446" s="8"/>
      <c r="L446" s="8" t="s">
        <v>514</v>
      </c>
      <c r="M446" s="23" t="n">
        <v>19270</v>
      </c>
      <c r="N446" s="23" t="n">
        <v>4064.2270285</v>
      </c>
      <c r="O446" s="23" t="n">
        <v>3650.949765275</v>
      </c>
      <c r="P446" s="24" t="n">
        <v>76.1563006125</v>
      </c>
      <c r="Q446" s="24" t="n">
        <v>49.4112444716667</v>
      </c>
      <c r="R446" s="24" t="n">
        <v>49.4112444716667</v>
      </c>
      <c r="S446" s="25" t="n">
        <v>0.0187382004200212</v>
      </c>
      <c r="T446" s="26" t="n">
        <v>1.23299471948228</v>
      </c>
      <c r="U446" s="23" t="n">
        <v>3</v>
      </c>
      <c r="V446" s="26" t="n">
        <v>-0.04</v>
      </c>
      <c r="W446" s="26" t="n">
        <v>0.449129167872251</v>
      </c>
      <c r="X446" s="26" t="n">
        <v>0.0717195334730283</v>
      </c>
      <c r="Y446" s="26" t="n">
        <v>-0.00315611898704038</v>
      </c>
      <c r="Z446" s="26" t="n">
        <v>0.87026919487098</v>
      </c>
      <c r="AA446" s="26" t="n">
        <v>2.10591677328577</v>
      </c>
      <c r="AB446" s="26" t="n">
        <v>-0.283684100690936</v>
      </c>
      <c r="AC446" s="27" t="n">
        <v>0.742886591682976</v>
      </c>
      <c r="AD446" s="28" t="n">
        <f aca="false">Params!$B$6*Params!$B$7*$R446</f>
        <v>29.646746683</v>
      </c>
      <c r="AE446" s="29" t="n">
        <f aca="false">MIN(Params!$B$9,AD446/Params!$B$4)</f>
        <v>0.059293493366</v>
      </c>
      <c r="AF446" s="29" t="n">
        <f aca="false">MIN(Params!$B$9,AD446/Params!$B$5)</f>
        <v>0.029646746683</v>
      </c>
      <c r="AG446" s="28" t="n">
        <f aca="false">IF($R446&gt;0,Params!$B$9*Params!$B$4/(Params!$B$6*$R446),"n/a")</f>
        <v>3.03574624771924</v>
      </c>
      <c r="AH446" s="28" t="n">
        <f aca="false">IF($R446&gt;0,Params!$B$9*Params!$B$5/(Params!$B$6*$R446),"n/a")</f>
        <v>6.07149249543847</v>
      </c>
      <c r="AI446" s="28" t="n">
        <f aca="false">IF($R446&gt;0,Params!$B$15*Params!$B$4/(Params!$B$6*$R446),"n/a")</f>
        <v>1.01191541590641</v>
      </c>
      <c r="AJ446" s="29" t="n">
        <f aca="false">MIN(Params!$B$9,AD446*Params!$B$8/Params!$B$4)</f>
        <v>0.029646746683</v>
      </c>
      <c r="AK446" s="28" t="n">
        <f aca="false">IF($R446&gt;0,Params!$B$9*Params!$B$4/(Params!$B$6*$R446*Params!$B$8),"n/a")</f>
        <v>6.07149249543847</v>
      </c>
      <c r="AL446" s="27" t="str">
        <f aca="false">IFERROR(ciq($D446,"IQ_PE_EXCL"),"")</f>
        <v/>
      </c>
      <c r="AM446" s="27" t="str">
        <f aca="false">IFERROR(ciq($D446,"IQ_PE_EXCL_FWD_CIQ"),"")</f>
        <v/>
      </c>
      <c r="AN446" s="27" t="str">
        <f aca="false">IFERROR(ciq($D446,"IQ_PBV"),"")</f>
        <v/>
      </c>
      <c r="AO446" s="27" t="str">
        <f aca="false">IFERROR(ciq($D446,"IQ_TEV_EBITDA"),"")</f>
        <v/>
      </c>
      <c r="AP446" s="24" t="str">
        <f aca="false">IFERROR(ciq($D446,"IQ_RETURN_EQUITY"),"")</f>
        <v/>
      </c>
      <c r="AQ446" s="24" t="str">
        <f aca="false">IFERROR(ciq($D446,"IQ_RETURN_CAPITAL"),"")</f>
        <v/>
      </c>
      <c r="AR446" s="24" t="str">
        <f aca="false">IFERROR(ciq($D446,"IQ_TOTAL_REV_1YR_ANN_GROWTH"),"")</f>
        <v/>
      </c>
      <c r="AS446" s="24" t="str">
        <f aca="false">IFERROR(ciq($D446,"IQ_EPS_1YR_ANN_GROWTH"),"")</f>
        <v/>
      </c>
      <c r="AT446" s="24" t="str">
        <f aca="false">IFERROR(ciq($D446,"IQ_DIVIDEND_YIELD"),"")</f>
        <v/>
      </c>
      <c r="AU446" s="24" t="str">
        <f aca="false">IFERROR(ciq($D446,"IQ_NET_DEBT"),"")</f>
        <v/>
      </c>
    </row>
    <row r="447" customFormat="false" ht="15" hidden="false" customHeight="false" outlineLevel="0" collapsed="false">
      <c r="A447" s="8" t="s">
        <v>2157</v>
      </c>
      <c r="B447" s="6" t="s">
        <v>2158</v>
      </c>
      <c r="C447" s="8" t="s">
        <v>74</v>
      </c>
      <c r="D447" s="8" t="s">
        <v>2159</v>
      </c>
      <c r="E447" s="8" t="s">
        <v>2160</v>
      </c>
      <c r="F447" s="6" t="s">
        <v>523</v>
      </c>
      <c r="G447" s="8" t="s">
        <v>58</v>
      </c>
      <c r="H447" s="8" t="s">
        <v>67</v>
      </c>
      <c r="I447" s="8"/>
      <c r="J447" s="8"/>
      <c r="K447" s="8"/>
      <c r="L447" s="8" t="s">
        <v>241</v>
      </c>
      <c r="M447" s="23" t="n">
        <v>20300</v>
      </c>
      <c r="N447" s="23" t="n">
        <v>4047.314327</v>
      </c>
      <c r="O447" s="23" t="n">
        <v>4242.004102385</v>
      </c>
      <c r="P447" s="24" t="n">
        <v>19.39067442</v>
      </c>
      <c r="Q447" s="24" t="n">
        <v>28.2506293141667</v>
      </c>
      <c r="R447" s="24" t="n">
        <v>19.39067442</v>
      </c>
      <c r="S447" s="25" t="n">
        <v>0.00479099789473801</v>
      </c>
      <c r="T447" s="26" t="n">
        <v>0.74105437424876</v>
      </c>
      <c r="U447" s="23" t="n">
        <v>0</v>
      </c>
      <c r="V447" s="26" t="n">
        <v>-0.06</v>
      </c>
      <c r="W447" s="26" t="n">
        <v>-0.0238240204306047</v>
      </c>
      <c r="X447" s="26" t="n">
        <v>-0.257610425650551</v>
      </c>
      <c r="Y447" s="26" t="n">
        <v>-0.405542290201781</v>
      </c>
      <c r="Z447" s="26" t="n">
        <v>-0.107245444211787</v>
      </c>
      <c r="AA447" s="26" t="n">
        <v>-0.157360456950107</v>
      </c>
      <c r="AB447" s="26" t="n">
        <v>-0.51722821825137</v>
      </c>
      <c r="AC447" s="27" t="n">
        <v>0.306748467278892</v>
      </c>
      <c r="AD447" s="28" t="n">
        <f aca="false">Params!$B$6*Params!$B$7*$R447</f>
        <v>11.634404652</v>
      </c>
      <c r="AE447" s="29" t="n">
        <f aca="false">MIN(Params!$B$9,AD447/Params!$B$4)</f>
        <v>0.023268809304</v>
      </c>
      <c r="AF447" s="29" t="n">
        <f aca="false">MIN(Params!$B$9,AD447/Params!$B$5)</f>
        <v>0.011634404652</v>
      </c>
      <c r="AG447" s="28" t="n">
        <f aca="false">IF($R447&gt;0,Params!$B$9*Params!$B$4/(Params!$B$6*$R447),"n/a")</f>
        <v>7.73567730296613</v>
      </c>
      <c r="AH447" s="28" t="n">
        <f aca="false">IF($R447&gt;0,Params!$B$9*Params!$B$5/(Params!$B$6*$R447),"n/a")</f>
        <v>15.4713546059323</v>
      </c>
      <c r="AI447" s="28" t="n">
        <f aca="false">IF($R447&gt;0,Params!$B$15*Params!$B$4/(Params!$B$6*$R447),"n/a")</f>
        <v>2.57855910098871</v>
      </c>
      <c r="AJ447" s="29" t="n">
        <f aca="false">MIN(Params!$B$9,AD447*Params!$B$8/Params!$B$4)</f>
        <v>0.011634404652</v>
      </c>
      <c r="AK447" s="28" t="n">
        <f aca="false">IF($R447&gt;0,Params!$B$9*Params!$B$4/(Params!$B$6*$R447*Params!$B$8),"n/a")</f>
        <v>15.4713546059323</v>
      </c>
      <c r="AL447" s="27" t="str">
        <f aca="false">IFERROR(ciq($D447,"IQ_PE_EXCL"),"")</f>
        <v/>
      </c>
      <c r="AM447" s="27" t="str">
        <f aca="false">IFERROR(ciq($D447,"IQ_PE_EXCL_FWD_CIQ"),"")</f>
        <v/>
      </c>
      <c r="AN447" s="27" t="str">
        <f aca="false">IFERROR(ciq($D447,"IQ_PBV"),"")</f>
        <v/>
      </c>
      <c r="AO447" s="27" t="str">
        <f aca="false">IFERROR(ciq($D447,"IQ_TEV_EBITDA"),"")</f>
        <v/>
      </c>
      <c r="AP447" s="24" t="str">
        <f aca="false">IFERROR(ciq($D447,"IQ_RETURN_EQUITY"),"")</f>
        <v/>
      </c>
      <c r="AQ447" s="24" t="str">
        <f aca="false">IFERROR(ciq($D447,"IQ_RETURN_CAPITAL"),"")</f>
        <v/>
      </c>
      <c r="AR447" s="24" t="str">
        <f aca="false">IFERROR(ciq($D447,"IQ_TOTAL_REV_1YR_ANN_GROWTH"),"")</f>
        <v/>
      </c>
      <c r="AS447" s="24" t="str">
        <f aca="false">IFERROR(ciq($D447,"IQ_EPS_1YR_ANN_GROWTH"),"")</f>
        <v/>
      </c>
      <c r="AT447" s="24" t="str">
        <f aca="false">IFERROR(ciq($D447,"IQ_DIVIDEND_YIELD"),"")</f>
        <v/>
      </c>
      <c r="AU447" s="24" t="str">
        <f aca="false">IFERROR(ciq($D447,"IQ_NET_DEBT"),"")</f>
        <v/>
      </c>
    </row>
    <row r="448" customFormat="false" ht="15" hidden="false" customHeight="false" outlineLevel="0" collapsed="false">
      <c r="A448" s="8" t="s">
        <v>2161</v>
      </c>
      <c r="B448" s="6" t="s">
        <v>2162</v>
      </c>
      <c r="C448" s="8" t="s">
        <v>72</v>
      </c>
      <c r="D448" s="8" t="s">
        <v>2163</v>
      </c>
      <c r="E448" s="8" t="s">
        <v>2164</v>
      </c>
      <c r="F448" s="8"/>
      <c r="G448" s="8" t="s">
        <v>58</v>
      </c>
      <c r="H448" s="8" t="s">
        <v>67</v>
      </c>
      <c r="I448" s="8"/>
      <c r="J448" s="8"/>
      <c r="K448" s="8"/>
      <c r="L448" s="8"/>
      <c r="M448" s="23" t="n">
        <v>6120</v>
      </c>
      <c r="N448" s="23" t="n">
        <v>4032.2739348</v>
      </c>
      <c r="O448" s="23" t="n">
        <v>3461.1998444425</v>
      </c>
      <c r="P448" s="24" t="n">
        <v>32.764200656</v>
      </c>
      <c r="Q448" s="24" t="n">
        <v>30.9645482041667</v>
      </c>
      <c r="R448" s="24" t="n">
        <v>30.9645482041667</v>
      </c>
      <c r="S448" s="25" t="n">
        <v>0.0081254897821383</v>
      </c>
      <c r="T448" s="26" t="n">
        <v>1.05224519820836</v>
      </c>
      <c r="U448" s="23" t="n">
        <v>0</v>
      </c>
      <c r="V448" s="26" t="n">
        <v>-0.06</v>
      </c>
      <c r="W448" s="26" t="n">
        <v>0.337584855157767</v>
      </c>
      <c r="X448" s="26" t="n">
        <v>0.277639028296387</v>
      </c>
      <c r="Y448" s="26" t="n">
        <v>-0.11951963252909</v>
      </c>
      <c r="Z448" s="26" t="n">
        <v>-0.133221597979673</v>
      </c>
      <c r="AA448" s="26" t="n">
        <v>-0.010117129231687</v>
      </c>
      <c r="AB448" s="26" t="n">
        <v>-0.294208614517356</v>
      </c>
      <c r="AC448" s="27" t="n">
        <v>1.25631579871364</v>
      </c>
      <c r="AD448" s="28" t="n">
        <f aca="false">Params!$B$6*Params!$B$7*$R448</f>
        <v>18.5787289225</v>
      </c>
      <c r="AE448" s="29" t="n">
        <f aca="false">MIN(Params!$B$9,AD448/Params!$B$4)</f>
        <v>0.037157457845</v>
      </c>
      <c r="AF448" s="29" t="n">
        <f aca="false">MIN(Params!$B$9,AD448/Params!$B$5)</f>
        <v>0.0185787289225</v>
      </c>
      <c r="AG448" s="28" t="n">
        <f aca="false">IF($R448&gt;0,Params!$B$9*Params!$B$4/(Params!$B$6*$R448),"n/a")</f>
        <v>4.84424959185472</v>
      </c>
      <c r="AH448" s="28" t="n">
        <f aca="false">IF($R448&gt;0,Params!$B$9*Params!$B$5/(Params!$B$6*$R448),"n/a")</f>
        <v>9.68849918370943</v>
      </c>
      <c r="AI448" s="28" t="n">
        <f aca="false">IF($R448&gt;0,Params!$B$15*Params!$B$4/(Params!$B$6*$R448),"n/a")</f>
        <v>1.61474986395157</v>
      </c>
      <c r="AJ448" s="29" t="n">
        <f aca="false">MIN(Params!$B$9,AD448*Params!$B$8/Params!$B$4)</f>
        <v>0.0185787289225</v>
      </c>
      <c r="AK448" s="28" t="n">
        <f aca="false">IF($R448&gt;0,Params!$B$9*Params!$B$4/(Params!$B$6*$R448*Params!$B$8),"n/a")</f>
        <v>9.68849918370943</v>
      </c>
      <c r="AL448" s="27" t="str">
        <f aca="false">IFERROR(ciq($D448,"IQ_PE_EXCL"),"")</f>
        <v/>
      </c>
      <c r="AM448" s="27" t="str">
        <f aca="false">IFERROR(ciq($D448,"IQ_PE_EXCL_FWD_CIQ"),"")</f>
        <v/>
      </c>
      <c r="AN448" s="27" t="str">
        <f aca="false">IFERROR(ciq($D448,"IQ_PBV"),"")</f>
        <v/>
      </c>
      <c r="AO448" s="27" t="str">
        <f aca="false">IFERROR(ciq($D448,"IQ_TEV_EBITDA"),"")</f>
        <v/>
      </c>
      <c r="AP448" s="24" t="str">
        <f aca="false">IFERROR(ciq($D448,"IQ_RETURN_EQUITY"),"")</f>
        <v/>
      </c>
      <c r="AQ448" s="24" t="str">
        <f aca="false">IFERROR(ciq($D448,"IQ_RETURN_CAPITAL"),"")</f>
        <v/>
      </c>
      <c r="AR448" s="24" t="str">
        <f aca="false">IFERROR(ciq($D448,"IQ_TOTAL_REV_1YR_ANN_GROWTH"),"")</f>
        <v/>
      </c>
      <c r="AS448" s="24" t="str">
        <f aca="false">IFERROR(ciq($D448,"IQ_EPS_1YR_ANN_GROWTH"),"")</f>
        <v/>
      </c>
      <c r="AT448" s="24" t="str">
        <f aca="false">IFERROR(ciq($D448,"IQ_DIVIDEND_YIELD"),"")</f>
        <v/>
      </c>
      <c r="AU448" s="24" t="str">
        <f aca="false">IFERROR(ciq($D448,"IQ_NET_DEBT"),"")</f>
        <v/>
      </c>
    </row>
    <row r="449" customFormat="false" ht="15" hidden="false" customHeight="false" outlineLevel="0" collapsed="false">
      <c r="A449" s="8" t="s">
        <v>2165</v>
      </c>
      <c r="B449" s="6" t="s">
        <v>2166</v>
      </c>
      <c r="C449" s="8" t="s">
        <v>72</v>
      </c>
      <c r="D449" s="8" t="s">
        <v>2167</v>
      </c>
      <c r="E449" s="8" t="s">
        <v>2168</v>
      </c>
      <c r="F449" s="6" t="s">
        <v>513</v>
      </c>
      <c r="G449" s="8" t="s">
        <v>58</v>
      </c>
      <c r="H449" s="8" t="s">
        <v>67</v>
      </c>
      <c r="I449" s="8"/>
      <c r="J449" s="8"/>
      <c r="K449" s="8"/>
      <c r="L449" s="8" t="s">
        <v>115</v>
      </c>
      <c r="M449" s="23" t="n">
        <v>6880</v>
      </c>
      <c r="N449" s="23" t="n">
        <v>3986.5308944</v>
      </c>
      <c r="O449" s="23" t="n">
        <v>4573.790932405</v>
      </c>
      <c r="P449" s="24" t="n">
        <v>325.036831555</v>
      </c>
      <c r="Q449" s="24" t="n">
        <v>252.263514015333</v>
      </c>
      <c r="R449" s="24" t="n">
        <v>252.263514015333</v>
      </c>
      <c r="S449" s="25" t="n">
        <v>0.0815337545763383</v>
      </c>
      <c r="T449" s="26" t="n">
        <v>1.25807237182356</v>
      </c>
      <c r="U449" s="23" t="n">
        <v>4</v>
      </c>
      <c r="V449" s="26" t="n">
        <v>-0.04</v>
      </c>
      <c r="W449" s="26" t="n">
        <v>-0.0254055892596427</v>
      </c>
      <c r="X449" s="26" t="n">
        <v>-0.251342329658746</v>
      </c>
      <c r="Y449" s="26" t="n">
        <v>2.33852330440015</v>
      </c>
      <c r="Z449" s="26" t="n">
        <v>2.8162811862561</v>
      </c>
      <c r="AA449" s="26" t="n">
        <v>2.64273357662462</v>
      </c>
      <c r="AB449" s="26" t="n">
        <v>-0.613162572803756</v>
      </c>
      <c r="AC449" s="27" t="n">
        <v>0.48990730030351</v>
      </c>
      <c r="AD449" s="28" t="n">
        <f aca="false">Params!$B$6*Params!$B$7*$R449</f>
        <v>151.3581084092</v>
      </c>
      <c r="AE449" s="29" t="n">
        <f aca="false">MIN(Params!$B$9,AD449/Params!$B$4)</f>
        <v>0.06</v>
      </c>
      <c r="AF449" s="29" t="n">
        <f aca="false">MIN(Params!$B$9,AD449/Params!$B$5)</f>
        <v>0.06</v>
      </c>
      <c r="AG449" s="28" t="n">
        <f aca="false">IF($R449&gt;0,Params!$B$9*Params!$B$4/(Params!$B$6*$R449),"n/a")</f>
        <v>0.594616310588945</v>
      </c>
      <c r="AH449" s="28" t="n">
        <f aca="false">IF($R449&gt;0,Params!$B$9*Params!$B$5/(Params!$B$6*$R449),"n/a")</f>
        <v>1.18923262117789</v>
      </c>
      <c r="AI449" s="28" t="n">
        <f aca="false">IF($R449&gt;0,Params!$B$15*Params!$B$4/(Params!$B$6*$R449),"n/a")</f>
        <v>0.198205436862982</v>
      </c>
      <c r="AJ449" s="29" t="n">
        <f aca="false">MIN(Params!$B$9,AD449*Params!$B$8/Params!$B$4)</f>
        <v>0.06</v>
      </c>
      <c r="AK449" s="28" t="n">
        <f aca="false">IF($R449&gt;0,Params!$B$9*Params!$B$4/(Params!$B$6*$R449*Params!$B$8),"n/a")</f>
        <v>1.18923262117789</v>
      </c>
      <c r="AL449" s="27" t="str">
        <f aca="false">IFERROR(ciq($D449,"IQ_PE_EXCL"),"")</f>
        <v/>
      </c>
      <c r="AM449" s="27" t="str">
        <f aca="false">IFERROR(ciq($D449,"IQ_PE_EXCL_FWD_CIQ"),"")</f>
        <v/>
      </c>
      <c r="AN449" s="27" t="str">
        <f aca="false">IFERROR(ciq($D449,"IQ_PBV"),"")</f>
        <v/>
      </c>
      <c r="AO449" s="27" t="str">
        <f aca="false">IFERROR(ciq($D449,"IQ_TEV_EBITDA"),"")</f>
        <v/>
      </c>
      <c r="AP449" s="24" t="str">
        <f aca="false">IFERROR(ciq($D449,"IQ_RETURN_EQUITY"),"")</f>
        <v/>
      </c>
      <c r="AQ449" s="24" t="str">
        <f aca="false">IFERROR(ciq($D449,"IQ_RETURN_CAPITAL"),"")</f>
        <v/>
      </c>
      <c r="AR449" s="24" t="str">
        <f aca="false">IFERROR(ciq($D449,"IQ_TOTAL_REV_1YR_ANN_GROWTH"),"")</f>
        <v/>
      </c>
      <c r="AS449" s="24" t="str">
        <f aca="false">IFERROR(ciq($D449,"IQ_EPS_1YR_ANN_GROWTH"),"")</f>
        <v/>
      </c>
      <c r="AT449" s="24" t="str">
        <f aca="false">IFERROR(ciq($D449,"IQ_DIVIDEND_YIELD"),"")</f>
        <v/>
      </c>
      <c r="AU449" s="24" t="str">
        <f aca="false">IFERROR(ciq($D449,"IQ_NET_DEBT"),"")</f>
        <v/>
      </c>
    </row>
    <row r="450" customFormat="false" ht="15" hidden="false" customHeight="false" outlineLevel="0" collapsed="false">
      <c r="A450" s="8" t="s">
        <v>2169</v>
      </c>
      <c r="B450" s="6" t="s">
        <v>2170</v>
      </c>
      <c r="C450" s="8" t="s">
        <v>72</v>
      </c>
      <c r="D450" s="8" t="s">
        <v>2171</v>
      </c>
      <c r="E450" s="8" t="s">
        <v>2172</v>
      </c>
      <c r="F450" s="6" t="s">
        <v>852</v>
      </c>
      <c r="G450" s="8" t="s">
        <v>58</v>
      </c>
      <c r="H450" s="8" t="s">
        <v>67</v>
      </c>
      <c r="I450" s="8"/>
      <c r="J450" s="8"/>
      <c r="K450" s="8"/>
      <c r="L450" s="8" t="s">
        <v>241</v>
      </c>
      <c r="M450" s="23" t="n">
        <v>4040</v>
      </c>
      <c r="N450" s="23" t="n">
        <v>3986.0527084</v>
      </c>
      <c r="O450" s="23" t="n">
        <v>4215.448068475</v>
      </c>
      <c r="P450" s="24" t="n">
        <v>24.0596897725</v>
      </c>
      <c r="Q450" s="24" t="n">
        <v>19.4902464301667</v>
      </c>
      <c r="R450" s="24" t="n">
        <v>19.4902464301667</v>
      </c>
      <c r="S450" s="25" t="n">
        <v>0.00603596879735129</v>
      </c>
      <c r="T450" s="26" t="n">
        <v>0.620053148624087</v>
      </c>
      <c r="U450" s="23" t="n">
        <v>0</v>
      </c>
      <c r="V450" s="26" t="n">
        <v>-0.06</v>
      </c>
      <c r="W450" s="26" t="n">
        <v>-0.0516634304113185</v>
      </c>
      <c r="X450" s="26" t="n">
        <v>-0.0438948800321997</v>
      </c>
      <c r="Y450" s="26" t="n">
        <v>-0.246372887920803</v>
      </c>
      <c r="Z450" s="26" t="n">
        <v>0.0672936599012033</v>
      </c>
      <c r="AA450" s="26" t="n">
        <v>0.209319317327283</v>
      </c>
      <c r="AB450" s="26" t="n">
        <v>-0.579234140448895</v>
      </c>
      <c r="AC450" s="27" t="n">
        <v>0.223142391783273</v>
      </c>
      <c r="AD450" s="28" t="n">
        <f aca="false">Params!$B$6*Params!$B$7*$R450</f>
        <v>11.6941478581</v>
      </c>
      <c r="AE450" s="29" t="n">
        <f aca="false">MIN(Params!$B$9,AD450/Params!$B$4)</f>
        <v>0.0233882957162</v>
      </c>
      <c r="AF450" s="29" t="n">
        <f aca="false">MIN(Params!$B$9,AD450/Params!$B$5)</f>
        <v>0.0116941478581</v>
      </c>
      <c r="AG450" s="28" t="n">
        <f aca="false">IF($R450&gt;0,Params!$B$9*Params!$B$4/(Params!$B$6*$R450),"n/a")</f>
        <v>7.6961571798206</v>
      </c>
      <c r="AH450" s="28" t="n">
        <f aca="false">IF($R450&gt;0,Params!$B$9*Params!$B$5/(Params!$B$6*$R450),"n/a")</f>
        <v>15.3923143596412</v>
      </c>
      <c r="AI450" s="28" t="n">
        <f aca="false">IF($R450&gt;0,Params!$B$15*Params!$B$4/(Params!$B$6*$R450),"n/a")</f>
        <v>2.56538572660687</v>
      </c>
      <c r="AJ450" s="29" t="n">
        <f aca="false">MIN(Params!$B$9,AD450*Params!$B$8/Params!$B$4)</f>
        <v>0.0116941478581</v>
      </c>
      <c r="AK450" s="28" t="n">
        <f aca="false">IF($R450&gt;0,Params!$B$9*Params!$B$4/(Params!$B$6*$R450*Params!$B$8),"n/a")</f>
        <v>15.3923143596412</v>
      </c>
      <c r="AL450" s="27" t="str">
        <f aca="false">IFERROR(ciq($D450,"IQ_PE_EXCL"),"")</f>
        <v/>
      </c>
      <c r="AM450" s="27" t="str">
        <f aca="false">IFERROR(ciq($D450,"IQ_PE_EXCL_FWD_CIQ"),"")</f>
        <v/>
      </c>
      <c r="AN450" s="27" t="str">
        <f aca="false">IFERROR(ciq($D450,"IQ_PBV"),"")</f>
        <v/>
      </c>
      <c r="AO450" s="27" t="str">
        <f aca="false">IFERROR(ciq($D450,"IQ_TEV_EBITDA"),"")</f>
        <v/>
      </c>
      <c r="AP450" s="24" t="str">
        <f aca="false">IFERROR(ciq($D450,"IQ_RETURN_EQUITY"),"")</f>
        <v/>
      </c>
      <c r="AQ450" s="24" t="str">
        <f aca="false">IFERROR(ciq($D450,"IQ_RETURN_CAPITAL"),"")</f>
        <v/>
      </c>
      <c r="AR450" s="24" t="str">
        <f aca="false">IFERROR(ciq($D450,"IQ_TOTAL_REV_1YR_ANN_GROWTH"),"")</f>
        <v/>
      </c>
      <c r="AS450" s="24" t="str">
        <f aca="false">IFERROR(ciq($D450,"IQ_EPS_1YR_ANN_GROWTH"),"")</f>
        <v/>
      </c>
      <c r="AT450" s="24" t="str">
        <f aca="false">IFERROR(ciq($D450,"IQ_DIVIDEND_YIELD"),"")</f>
        <v/>
      </c>
      <c r="AU450" s="24" t="str">
        <f aca="false">IFERROR(ciq($D450,"IQ_NET_DEBT"),"")</f>
        <v/>
      </c>
    </row>
    <row r="451" customFormat="false" ht="15" hidden="false" customHeight="false" outlineLevel="0" collapsed="false">
      <c r="A451" s="8" t="s">
        <v>427</v>
      </c>
      <c r="B451" s="6" t="s">
        <v>428</v>
      </c>
      <c r="C451" s="8" t="s">
        <v>73</v>
      </c>
      <c r="D451" s="8" t="s">
        <v>2173</v>
      </c>
      <c r="E451" s="8" t="s">
        <v>2174</v>
      </c>
      <c r="F451" s="8"/>
      <c r="G451" s="8" t="s">
        <v>58</v>
      </c>
      <c r="H451" s="8" t="s">
        <v>67</v>
      </c>
      <c r="I451" s="8" t="s">
        <v>508</v>
      </c>
      <c r="J451" s="8"/>
      <c r="K451" s="8"/>
      <c r="L451" s="6" t="s">
        <v>429</v>
      </c>
      <c r="M451" s="23" t="n">
        <v>12250</v>
      </c>
      <c r="N451" s="23" t="n">
        <v>3975.201685</v>
      </c>
      <c r="O451" s="23" t="n">
        <v>4761.48035298</v>
      </c>
      <c r="P451" s="24" t="n">
        <v>319.999438685</v>
      </c>
      <c r="Q451" s="24" t="n">
        <v>529.771520953333</v>
      </c>
      <c r="R451" s="24" t="n">
        <v>319.999438685</v>
      </c>
      <c r="S451" s="25" t="n">
        <v>0.0804989190592477</v>
      </c>
      <c r="T451" s="26" t="n">
        <v>1.54000002003082</v>
      </c>
      <c r="U451" s="23" t="n">
        <v>4</v>
      </c>
      <c r="V451" s="26" t="n">
        <v>-0.04</v>
      </c>
      <c r="W451" s="26" t="n">
        <v>-0.355202797021727</v>
      </c>
      <c r="X451" s="26" t="n">
        <v>-0.534159366225898</v>
      </c>
      <c r="Y451" s="26"/>
      <c r="Z451" s="26"/>
      <c r="AA451" s="26"/>
      <c r="AB451" s="26" t="n">
        <v>-0.781988900799453</v>
      </c>
      <c r="AC451" s="27" t="n">
        <v>0.189999424156246</v>
      </c>
      <c r="AD451" s="28" t="n">
        <f aca="false">Params!$B$6*Params!$B$7*$R451</f>
        <v>191.999663211</v>
      </c>
      <c r="AE451" s="29" t="n">
        <f aca="false">MIN(Params!$B$9,AD451/Params!$B$4)</f>
        <v>0.06</v>
      </c>
      <c r="AF451" s="29" t="n">
        <f aca="false">MIN(Params!$B$9,AD451/Params!$B$5)</f>
        <v>0.06</v>
      </c>
      <c r="AG451" s="28" t="n">
        <f aca="false">IF($R451&gt;0,Params!$B$9*Params!$B$4/(Params!$B$6*$R451),"n/a")</f>
        <v>0.468750822240212</v>
      </c>
      <c r="AH451" s="28" t="n">
        <f aca="false">IF($R451&gt;0,Params!$B$9*Params!$B$5/(Params!$B$6*$R451),"n/a")</f>
        <v>0.937501644480424</v>
      </c>
      <c r="AI451" s="28" t="n">
        <f aca="false">IF($R451&gt;0,Params!$B$15*Params!$B$4/(Params!$B$6*$R451),"n/a")</f>
        <v>0.156250274080071</v>
      </c>
      <c r="AJ451" s="29" t="n">
        <f aca="false">MIN(Params!$B$9,AD451*Params!$B$8/Params!$B$4)</f>
        <v>0.06</v>
      </c>
      <c r="AK451" s="28" t="n">
        <f aca="false">IF($R451&gt;0,Params!$B$9*Params!$B$4/(Params!$B$6*$R451*Params!$B$8),"n/a")</f>
        <v>0.937501644480424</v>
      </c>
      <c r="AL451" s="27" t="str">
        <f aca="false">IFERROR(ciq($D451,"IQ_PE_EXCL"),"")</f>
        <v/>
      </c>
      <c r="AM451" s="27" t="str">
        <f aca="false">IFERROR(ciq($D451,"IQ_PE_EXCL_FWD_CIQ"),"")</f>
        <v/>
      </c>
      <c r="AN451" s="27" t="str">
        <f aca="false">IFERROR(ciq($D451,"IQ_PBV"),"")</f>
        <v/>
      </c>
      <c r="AO451" s="27" t="str">
        <f aca="false">IFERROR(ciq($D451,"IQ_TEV_EBITDA"),"")</f>
        <v/>
      </c>
      <c r="AP451" s="24" t="str">
        <f aca="false">IFERROR(ciq($D451,"IQ_RETURN_EQUITY"),"")</f>
        <v/>
      </c>
      <c r="AQ451" s="24" t="str">
        <f aca="false">IFERROR(ciq($D451,"IQ_RETURN_CAPITAL"),"")</f>
        <v/>
      </c>
      <c r="AR451" s="24" t="str">
        <f aca="false">IFERROR(ciq($D451,"IQ_TOTAL_REV_1YR_ANN_GROWTH"),"")</f>
        <v/>
      </c>
      <c r="AS451" s="24" t="str">
        <f aca="false">IFERROR(ciq($D451,"IQ_EPS_1YR_ANN_GROWTH"),"")</f>
        <v/>
      </c>
      <c r="AT451" s="24" t="str">
        <f aca="false">IFERROR(ciq($D451,"IQ_DIVIDEND_YIELD"),"")</f>
        <v/>
      </c>
      <c r="AU451" s="24" t="str">
        <f aca="false">IFERROR(ciq($D451,"IQ_NET_DEBT"),"")</f>
        <v/>
      </c>
    </row>
    <row r="452" customFormat="false" ht="15" hidden="false" customHeight="false" outlineLevel="0" collapsed="false">
      <c r="A452" s="8" t="s">
        <v>430</v>
      </c>
      <c r="B452" s="6" t="s">
        <v>431</v>
      </c>
      <c r="C452" s="8" t="s">
        <v>74</v>
      </c>
      <c r="D452" s="8" t="s">
        <v>2175</v>
      </c>
      <c r="E452" s="8" t="s">
        <v>2176</v>
      </c>
      <c r="F452" s="6" t="s">
        <v>900</v>
      </c>
      <c r="G452" s="8" t="s">
        <v>58</v>
      </c>
      <c r="H452" s="8" t="s">
        <v>67</v>
      </c>
      <c r="I452" s="8" t="s">
        <v>508</v>
      </c>
      <c r="J452" s="8"/>
      <c r="K452" s="8"/>
      <c r="L452" s="6" t="s">
        <v>317</v>
      </c>
      <c r="M452" s="23" t="n">
        <v>32650</v>
      </c>
      <c r="N452" s="23" t="n">
        <v>3947.8136945</v>
      </c>
      <c r="O452" s="23" t="n">
        <v>3999.8063404</v>
      </c>
      <c r="P452" s="24" t="n">
        <v>60.6858233875</v>
      </c>
      <c r="Q452" s="24" t="n">
        <v>28.9527553458333</v>
      </c>
      <c r="R452" s="24" t="n">
        <v>28.9527553458333</v>
      </c>
      <c r="S452" s="25" t="n">
        <v>0.01537200792227</v>
      </c>
      <c r="T452" s="26" t="n">
        <v>0.581222634085151</v>
      </c>
      <c r="U452" s="23" t="n">
        <v>0</v>
      </c>
      <c r="V452" s="26" t="n">
        <v>-0.06</v>
      </c>
      <c r="W452" s="26" t="n">
        <v>0.0549320616043614</v>
      </c>
      <c r="X452" s="26" t="n">
        <v>0.290460616530283</v>
      </c>
      <c r="Y452" s="26" t="n">
        <v>0.0124582193169818</v>
      </c>
      <c r="Z452" s="26" t="n">
        <v>0.123735768810714</v>
      </c>
      <c r="AA452" s="26" t="n">
        <v>-0.158635082160635</v>
      </c>
      <c r="AB452" s="26" t="n">
        <v>-0.200932840094607</v>
      </c>
      <c r="AC452" s="27" t="n">
        <v>2.56342468974226</v>
      </c>
      <c r="AD452" s="28" t="n">
        <f aca="false">Params!$B$6*Params!$B$7*$R452</f>
        <v>17.3716532075</v>
      </c>
      <c r="AE452" s="29" t="n">
        <f aca="false">MIN(Params!$B$9,AD452/Params!$B$4)</f>
        <v>0.034743306415</v>
      </c>
      <c r="AF452" s="29" t="n">
        <f aca="false">MIN(Params!$B$9,AD452/Params!$B$5)</f>
        <v>0.0173716532075</v>
      </c>
      <c r="AG452" s="28" t="n">
        <f aca="false">IF($R452&gt;0,Params!$B$9*Params!$B$4/(Params!$B$6*$R452),"n/a")</f>
        <v>5.18085405717998</v>
      </c>
      <c r="AH452" s="28" t="n">
        <f aca="false">IF($R452&gt;0,Params!$B$9*Params!$B$5/(Params!$B$6*$R452),"n/a")</f>
        <v>10.36170811436</v>
      </c>
      <c r="AI452" s="28" t="n">
        <f aca="false">IF($R452&gt;0,Params!$B$15*Params!$B$4/(Params!$B$6*$R452),"n/a")</f>
        <v>1.72695135239333</v>
      </c>
      <c r="AJ452" s="29" t="n">
        <f aca="false">MIN(Params!$B$9,AD452*Params!$B$8/Params!$B$4)</f>
        <v>0.0173716532075</v>
      </c>
      <c r="AK452" s="28" t="n">
        <f aca="false">IF($R452&gt;0,Params!$B$9*Params!$B$4/(Params!$B$6*$R452*Params!$B$8),"n/a")</f>
        <v>10.36170811436</v>
      </c>
      <c r="AL452" s="27" t="str">
        <f aca="false">IFERROR(ciq($D452,"IQ_PE_EXCL"),"")</f>
        <v/>
      </c>
      <c r="AM452" s="27" t="str">
        <f aca="false">IFERROR(ciq($D452,"IQ_PE_EXCL_FWD_CIQ"),"")</f>
        <v/>
      </c>
      <c r="AN452" s="27" t="str">
        <f aca="false">IFERROR(ciq($D452,"IQ_PBV"),"")</f>
        <v/>
      </c>
      <c r="AO452" s="27" t="str">
        <f aca="false">IFERROR(ciq($D452,"IQ_TEV_EBITDA"),"")</f>
        <v/>
      </c>
      <c r="AP452" s="24" t="str">
        <f aca="false">IFERROR(ciq($D452,"IQ_RETURN_EQUITY"),"")</f>
        <v/>
      </c>
      <c r="AQ452" s="24" t="str">
        <f aca="false">IFERROR(ciq($D452,"IQ_RETURN_CAPITAL"),"")</f>
        <v/>
      </c>
      <c r="AR452" s="24" t="str">
        <f aca="false">IFERROR(ciq($D452,"IQ_TOTAL_REV_1YR_ANN_GROWTH"),"")</f>
        <v/>
      </c>
      <c r="AS452" s="24" t="str">
        <f aca="false">IFERROR(ciq($D452,"IQ_EPS_1YR_ANN_GROWTH"),"")</f>
        <v/>
      </c>
      <c r="AT452" s="24" t="str">
        <f aca="false">IFERROR(ciq($D452,"IQ_DIVIDEND_YIELD"),"")</f>
        <v/>
      </c>
      <c r="AU452" s="24" t="str">
        <f aca="false">IFERROR(ciq($D452,"IQ_NET_DEBT"),"")</f>
        <v/>
      </c>
    </row>
    <row r="453" customFormat="false" ht="15" hidden="false" customHeight="false" outlineLevel="0" collapsed="false">
      <c r="A453" s="8" t="s">
        <v>2177</v>
      </c>
      <c r="B453" s="6" t="s">
        <v>2178</v>
      </c>
      <c r="C453" s="8" t="s">
        <v>72</v>
      </c>
      <c r="D453" s="8" t="s">
        <v>2179</v>
      </c>
      <c r="E453" s="8" t="s">
        <v>2180</v>
      </c>
      <c r="F453" s="6" t="s">
        <v>775</v>
      </c>
      <c r="G453" s="8" t="s">
        <v>58</v>
      </c>
      <c r="H453" s="8" t="s">
        <v>67</v>
      </c>
      <c r="I453" s="8"/>
      <c r="J453" s="8"/>
      <c r="K453" s="8"/>
      <c r="L453" s="8" t="s">
        <v>241</v>
      </c>
      <c r="M453" s="23" t="n">
        <v>12050</v>
      </c>
      <c r="N453" s="23" t="n">
        <v>3928.3</v>
      </c>
      <c r="O453" s="23" t="n">
        <v>3861.796</v>
      </c>
      <c r="P453" s="24" t="n">
        <v>80.0021861</v>
      </c>
      <c r="Q453" s="24" t="n">
        <v>43.4661028</v>
      </c>
      <c r="R453" s="24" t="n">
        <v>43.4661028</v>
      </c>
      <c r="S453" s="25" t="n">
        <v>0.020365599903266</v>
      </c>
      <c r="T453" s="26" t="n">
        <v>0.745964775625885</v>
      </c>
      <c r="U453" s="23" t="n">
        <v>0</v>
      </c>
      <c r="V453" s="26" t="n">
        <v>-0.06</v>
      </c>
      <c r="W453" s="26" t="n">
        <v>0.048548617841268</v>
      </c>
      <c r="X453" s="26" t="n">
        <v>-0.0365019440740438</v>
      </c>
      <c r="Y453" s="26" t="n">
        <v>-0.435984003763812</v>
      </c>
      <c r="Z453" s="26" t="n">
        <v>0.155750283543978</v>
      </c>
      <c r="AA453" s="26" t="n">
        <v>-0.0999945774183326</v>
      </c>
      <c r="AB453" s="26" t="n">
        <v>-0.530475116555695</v>
      </c>
      <c r="AC453" s="27" t="n">
        <v>1.0132411552018</v>
      </c>
      <c r="AD453" s="28" t="n">
        <f aca="false">Params!$B$6*Params!$B$7*$R453</f>
        <v>26.07966168</v>
      </c>
      <c r="AE453" s="29" t="n">
        <f aca="false">MIN(Params!$B$9,AD453/Params!$B$4)</f>
        <v>0.05215932336</v>
      </c>
      <c r="AF453" s="29" t="n">
        <f aca="false">MIN(Params!$B$9,AD453/Params!$B$5)</f>
        <v>0.02607966168</v>
      </c>
      <c r="AG453" s="28" t="n">
        <f aca="false">IF($R453&gt;0,Params!$B$9*Params!$B$4/(Params!$B$6*$R453),"n/a")</f>
        <v>3.4509650126719</v>
      </c>
      <c r="AH453" s="28" t="n">
        <f aca="false">IF($R453&gt;0,Params!$B$9*Params!$B$5/(Params!$B$6*$R453),"n/a")</f>
        <v>6.9019300253438</v>
      </c>
      <c r="AI453" s="28" t="n">
        <f aca="false">IF($R453&gt;0,Params!$B$15*Params!$B$4/(Params!$B$6*$R453),"n/a")</f>
        <v>1.15032167089063</v>
      </c>
      <c r="AJ453" s="29" t="n">
        <f aca="false">MIN(Params!$B$9,AD453*Params!$B$8/Params!$B$4)</f>
        <v>0.02607966168</v>
      </c>
      <c r="AK453" s="28" t="n">
        <f aca="false">IF($R453&gt;0,Params!$B$9*Params!$B$4/(Params!$B$6*$R453*Params!$B$8),"n/a")</f>
        <v>6.9019300253438</v>
      </c>
      <c r="AL453" s="27" t="str">
        <f aca="false">IFERROR(ciq($D453,"IQ_PE_EXCL"),"")</f>
        <v/>
      </c>
      <c r="AM453" s="27" t="str">
        <f aca="false">IFERROR(ciq($D453,"IQ_PE_EXCL_FWD_CIQ"),"")</f>
        <v/>
      </c>
      <c r="AN453" s="27" t="str">
        <f aca="false">IFERROR(ciq($D453,"IQ_PBV"),"")</f>
        <v/>
      </c>
      <c r="AO453" s="27" t="str">
        <f aca="false">IFERROR(ciq($D453,"IQ_TEV_EBITDA"),"")</f>
        <v/>
      </c>
      <c r="AP453" s="24" t="str">
        <f aca="false">IFERROR(ciq($D453,"IQ_RETURN_EQUITY"),"")</f>
        <v/>
      </c>
      <c r="AQ453" s="24" t="str">
        <f aca="false">IFERROR(ciq($D453,"IQ_RETURN_CAPITAL"),"")</f>
        <v/>
      </c>
      <c r="AR453" s="24" t="str">
        <f aca="false">IFERROR(ciq($D453,"IQ_TOTAL_REV_1YR_ANN_GROWTH"),"")</f>
        <v/>
      </c>
      <c r="AS453" s="24" t="str">
        <f aca="false">IFERROR(ciq($D453,"IQ_EPS_1YR_ANN_GROWTH"),"")</f>
        <v/>
      </c>
      <c r="AT453" s="24" t="str">
        <f aca="false">IFERROR(ciq($D453,"IQ_DIVIDEND_YIELD"),"")</f>
        <v/>
      </c>
      <c r="AU453" s="24" t="str">
        <f aca="false">IFERROR(ciq($D453,"IQ_NET_DEBT"),"")</f>
        <v/>
      </c>
    </row>
    <row r="454" customFormat="false" ht="15" hidden="false" customHeight="false" outlineLevel="0" collapsed="false">
      <c r="A454" s="8" t="s">
        <v>2181</v>
      </c>
      <c r="B454" s="6" t="s">
        <v>2182</v>
      </c>
      <c r="C454" s="8" t="s">
        <v>73</v>
      </c>
      <c r="D454" s="8" t="s">
        <v>2183</v>
      </c>
      <c r="E454" s="8" t="s">
        <v>2184</v>
      </c>
      <c r="F454" s="6" t="s">
        <v>619</v>
      </c>
      <c r="G454" s="8" t="s">
        <v>58</v>
      </c>
      <c r="H454" s="8" t="s">
        <v>67</v>
      </c>
      <c r="I454" s="8"/>
      <c r="J454" s="8"/>
      <c r="K454" s="8"/>
      <c r="L454" s="8"/>
      <c r="M454" s="23" t="n">
        <v>31050</v>
      </c>
      <c r="N454" s="23" t="n">
        <v>3914.784</v>
      </c>
      <c r="O454" s="23" t="n">
        <v>4275.3728</v>
      </c>
      <c r="P454" s="24" t="n">
        <v>20.2608527</v>
      </c>
      <c r="Q454" s="24" t="n">
        <v>28.8783776458333</v>
      </c>
      <c r="R454" s="24" t="n">
        <v>20.2608527</v>
      </c>
      <c r="S454" s="25" t="n">
        <v>0.00517547141809101</v>
      </c>
      <c r="T454" s="26" t="n">
        <v>0.834828376130819</v>
      </c>
      <c r="U454" s="23" t="n">
        <v>1</v>
      </c>
      <c r="V454" s="26" t="n">
        <v>-0.06</v>
      </c>
      <c r="W454" s="26" t="n">
        <v>-0.0402003282269969</v>
      </c>
      <c r="X454" s="26" t="n">
        <v>-0.244686151243161</v>
      </c>
      <c r="Y454" s="26" t="n">
        <v>-0.30237713794716</v>
      </c>
      <c r="Z454" s="26" t="n">
        <v>0.00483504398806489</v>
      </c>
      <c r="AA454" s="26" t="n">
        <v>0.324786145344786</v>
      </c>
      <c r="AB454" s="26" t="n">
        <v>-0.434480996421888</v>
      </c>
      <c r="AC454" s="27" t="n">
        <v>0.590949125495936</v>
      </c>
      <c r="AD454" s="28" t="n">
        <f aca="false">Params!$B$6*Params!$B$7*$R454</f>
        <v>12.15651162</v>
      </c>
      <c r="AE454" s="29" t="n">
        <f aca="false">MIN(Params!$B$9,AD454/Params!$B$4)</f>
        <v>0.02431302324</v>
      </c>
      <c r="AF454" s="29" t="n">
        <f aca="false">MIN(Params!$B$9,AD454/Params!$B$5)</f>
        <v>0.01215651162</v>
      </c>
      <c r="AG454" s="28" t="n">
        <f aca="false">IF($R454&gt;0,Params!$B$9*Params!$B$4/(Params!$B$6*$R454),"n/a")</f>
        <v>7.40343963904342</v>
      </c>
      <c r="AH454" s="28" t="n">
        <f aca="false">IF($R454&gt;0,Params!$B$9*Params!$B$5/(Params!$B$6*$R454),"n/a")</f>
        <v>14.8068792780868</v>
      </c>
      <c r="AI454" s="28" t="n">
        <f aca="false">IF($R454&gt;0,Params!$B$15*Params!$B$4/(Params!$B$6*$R454),"n/a")</f>
        <v>2.46781321301447</v>
      </c>
      <c r="AJ454" s="29" t="n">
        <f aca="false">MIN(Params!$B$9,AD454*Params!$B$8/Params!$B$4)</f>
        <v>0.01215651162</v>
      </c>
      <c r="AK454" s="28" t="n">
        <f aca="false">IF($R454&gt;0,Params!$B$9*Params!$B$4/(Params!$B$6*$R454*Params!$B$8),"n/a")</f>
        <v>14.8068792780868</v>
      </c>
      <c r="AL454" s="27" t="str">
        <f aca="false">IFERROR(ciq($D454,"IQ_PE_EXCL"),"")</f>
        <v/>
      </c>
      <c r="AM454" s="27" t="str">
        <f aca="false">IFERROR(ciq($D454,"IQ_PE_EXCL_FWD_CIQ"),"")</f>
        <v/>
      </c>
      <c r="AN454" s="27" t="str">
        <f aca="false">IFERROR(ciq($D454,"IQ_PBV"),"")</f>
        <v/>
      </c>
      <c r="AO454" s="27" t="str">
        <f aca="false">IFERROR(ciq($D454,"IQ_TEV_EBITDA"),"")</f>
        <v/>
      </c>
      <c r="AP454" s="24" t="str">
        <f aca="false">IFERROR(ciq($D454,"IQ_RETURN_EQUITY"),"")</f>
        <v/>
      </c>
      <c r="AQ454" s="24" t="str">
        <f aca="false">IFERROR(ciq($D454,"IQ_RETURN_CAPITAL"),"")</f>
        <v/>
      </c>
      <c r="AR454" s="24" t="str">
        <f aca="false">IFERROR(ciq($D454,"IQ_TOTAL_REV_1YR_ANN_GROWTH"),"")</f>
        <v/>
      </c>
      <c r="AS454" s="24" t="str">
        <f aca="false">IFERROR(ciq($D454,"IQ_EPS_1YR_ANN_GROWTH"),"")</f>
        <v/>
      </c>
      <c r="AT454" s="24" t="str">
        <f aca="false">IFERROR(ciq($D454,"IQ_DIVIDEND_YIELD"),"")</f>
        <v/>
      </c>
      <c r="AU454" s="24" t="str">
        <f aca="false">IFERROR(ciq($D454,"IQ_NET_DEBT"),"")</f>
        <v/>
      </c>
    </row>
    <row r="455" customFormat="false" ht="15" hidden="false" customHeight="false" outlineLevel="0" collapsed="false">
      <c r="A455" s="8" t="s">
        <v>2185</v>
      </c>
      <c r="B455" s="6" t="s">
        <v>2186</v>
      </c>
      <c r="C455" s="8" t="s">
        <v>73</v>
      </c>
      <c r="D455" s="8" t="s">
        <v>2187</v>
      </c>
      <c r="E455" s="8" t="s">
        <v>2188</v>
      </c>
      <c r="F455" s="8"/>
      <c r="G455" s="8" t="s">
        <v>58</v>
      </c>
      <c r="H455" s="8" t="s">
        <v>67</v>
      </c>
      <c r="I455" s="8"/>
      <c r="J455" s="8"/>
      <c r="K455" s="8"/>
      <c r="L455" s="8" t="s">
        <v>514</v>
      </c>
      <c r="M455" s="23" t="n">
        <v>9220</v>
      </c>
      <c r="N455" s="23" t="n">
        <v>3891.2947304</v>
      </c>
      <c r="O455" s="23" t="n">
        <v>3386.32905516</v>
      </c>
      <c r="P455" s="24" t="n">
        <v>71.060474085</v>
      </c>
      <c r="Q455" s="24" t="n">
        <v>36.1624288675</v>
      </c>
      <c r="R455" s="24" t="n">
        <v>36.1624288675</v>
      </c>
      <c r="S455" s="25" t="n">
        <v>0.0182613960155353</v>
      </c>
      <c r="T455" s="26" t="n">
        <v>1.13836029861271</v>
      </c>
      <c r="U455" s="23" t="n">
        <v>3</v>
      </c>
      <c r="V455" s="26" t="n">
        <v>-0.04</v>
      </c>
      <c r="W455" s="26" t="n">
        <v>0.088391544884505</v>
      </c>
      <c r="X455" s="26" t="n">
        <v>0.230745242972506</v>
      </c>
      <c r="Y455" s="26" t="n">
        <v>-0.0952120598826595</v>
      </c>
      <c r="Z455" s="26" t="n">
        <v>-0.0624423047088135</v>
      </c>
      <c r="AA455" s="26" t="n">
        <v>-0.159920253016033</v>
      </c>
      <c r="AB455" s="26" t="n">
        <v>-0.334159078186423</v>
      </c>
      <c r="AC455" s="27" t="n">
        <v>1.4314492243352</v>
      </c>
      <c r="AD455" s="28" t="n">
        <f aca="false">Params!$B$6*Params!$B$7*$R455</f>
        <v>21.6974573205</v>
      </c>
      <c r="AE455" s="29" t="n">
        <f aca="false">MIN(Params!$B$9,AD455/Params!$B$4)</f>
        <v>0.043394914641</v>
      </c>
      <c r="AF455" s="29" t="n">
        <f aca="false">MIN(Params!$B$9,AD455/Params!$B$5)</f>
        <v>0.0216974573205</v>
      </c>
      <c r="AG455" s="28" t="n">
        <f aca="false">IF($R455&gt;0,Params!$B$9*Params!$B$4/(Params!$B$6*$R455),"n/a")</f>
        <v>4.14795147056088</v>
      </c>
      <c r="AH455" s="28" t="n">
        <f aca="false">IF($R455&gt;0,Params!$B$9*Params!$B$5/(Params!$B$6*$R455),"n/a")</f>
        <v>8.29590294112177</v>
      </c>
      <c r="AI455" s="28" t="n">
        <f aca="false">IF($R455&gt;0,Params!$B$15*Params!$B$4/(Params!$B$6*$R455),"n/a")</f>
        <v>1.38265049018696</v>
      </c>
      <c r="AJ455" s="29" t="n">
        <f aca="false">MIN(Params!$B$9,AD455*Params!$B$8/Params!$B$4)</f>
        <v>0.0216974573205</v>
      </c>
      <c r="AK455" s="28" t="n">
        <f aca="false">IF($R455&gt;0,Params!$B$9*Params!$B$4/(Params!$B$6*$R455*Params!$B$8),"n/a")</f>
        <v>8.29590294112177</v>
      </c>
      <c r="AL455" s="27" t="str">
        <f aca="false">IFERROR(ciq($D455,"IQ_PE_EXCL"),"")</f>
        <v/>
      </c>
      <c r="AM455" s="27" t="str">
        <f aca="false">IFERROR(ciq($D455,"IQ_PE_EXCL_FWD_CIQ"),"")</f>
        <v/>
      </c>
      <c r="AN455" s="27" t="str">
        <f aca="false">IFERROR(ciq($D455,"IQ_PBV"),"")</f>
        <v/>
      </c>
      <c r="AO455" s="27" t="str">
        <f aca="false">IFERROR(ciq($D455,"IQ_TEV_EBITDA"),"")</f>
        <v/>
      </c>
      <c r="AP455" s="24" t="str">
        <f aca="false">IFERROR(ciq($D455,"IQ_RETURN_EQUITY"),"")</f>
        <v/>
      </c>
      <c r="AQ455" s="24" t="str">
        <f aca="false">IFERROR(ciq($D455,"IQ_RETURN_CAPITAL"),"")</f>
        <v/>
      </c>
      <c r="AR455" s="24" t="str">
        <f aca="false">IFERROR(ciq($D455,"IQ_TOTAL_REV_1YR_ANN_GROWTH"),"")</f>
        <v/>
      </c>
      <c r="AS455" s="24" t="str">
        <f aca="false">IFERROR(ciq($D455,"IQ_EPS_1YR_ANN_GROWTH"),"")</f>
        <v/>
      </c>
      <c r="AT455" s="24" t="str">
        <f aca="false">IFERROR(ciq($D455,"IQ_DIVIDEND_YIELD"),"")</f>
        <v/>
      </c>
      <c r="AU455" s="24" t="str">
        <f aca="false">IFERROR(ciq($D455,"IQ_NET_DEBT"),"")</f>
        <v/>
      </c>
    </row>
    <row r="456" customFormat="false" ht="15" hidden="false" customHeight="false" outlineLevel="0" collapsed="false">
      <c r="A456" s="8" t="s">
        <v>2189</v>
      </c>
      <c r="B456" s="6" t="s">
        <v>2190</v>
      </c>
      <c r="C456" s="8" t="s">
        <v>72</v>
      </c>
      <c r="D456" s="8" t="s">
        <v>2191</v>
      </c>
      <c r="E456" s="8" t="s">
        <v>2192</v>
      </c>
      <c r="F456" s="6" t="s">
        <v>662</v>
      </c>
      <c r="G456" s="8" t="s">
        <v>58</v>
      </c>
      <c r="H456" s="8" t="s">
        <v>67</v>
      </c>
      <c r="I456" s="8"/>
      <c r="J456" s="8"/>
      <c r="K456" s="8"/>
      <c r="L456" s="8"/>
      <c r="M456" s="23" t="n">
        <v>10070</v>
      </c>
      <c r="N456" s="23" t="n">
        <v>3806.3146899</v>
      </c>
      <c r="O456" s="23" t="n">
        <v>3593.13082842</v>
      </c>
      <c r="P456" s="24" t="n">
        <v>45.4893379525</v>
      </c>
      <c r="Q456" s="24" t="n">
        <v>127.975484740833</v>
      </c>
      <c r="R456" s="24" t="n">
        <v>45.4893379525</v>
      </c>
      <c r="S456" s="25" t="n">
        <v>0.0119510186777791</v>
      </c>
      <c r="T456" s="26" t="n">
        <v>0.606450889483998</v>
      </c>
      <c r="U456" s="23" t="n">
        <v>0</v>
      </c>
      <c r="V456" s="26" t="n">
        <v>-0.06</v>
      </c>
      <c r="W456" s="26" t="n">
        <v>0.106469171012986</v>
      </c>
      <c r="X456" s="26" t="n">
        <v>-0.0953085009138176</v>
      </c>
      <c r="Y456" s="26" t="n">
        <v>-0.2713695859321</v>
      </c>
      <c r="Z456" s="26" t="n">
        <v>-0.104908457696686</v>
      </c>
      <c r="AA456" s="26" t="n">
        <v>-0.307121262874975</v>
      </c>
      <c r="AB456" s="26" t="n">
        <v>-0.414263469421668</v>
      </c>
      <c r="AC456" s="27" t="n">
        <v>0.521606253361008</v>
      </c>
      <c r="AD456" s="28" t="n">
        <f aca="false">Params!$B$6*Params!$B$7*$R456</f>
        <v>27.2936027715</v>
      </c>
      <c r="AE456" s="29" t="n">
        <f aca="false">MIN(Params!$B$9,AD456/Params!$B$4)</f>
        <v>0.054587205543</v>
      </c>
      <c r="AF456" s="29" t="n">
        <f aca="false">MIN(Params!$B$9,AD456/Params!$B$5)</f>
        <v>0.0272936027715</v>
      </c>
      <c r="AG456" s="28" t="n">
        <f aca="false">IF($R456&gt;0,Params!$B$9*Params!$B$4/(Params!$B$6*$R456),"n/a")</f>
        <v>3.29747599660892</v>
      </c>
      <c r="AH456" s="28" t="n">
        <f aca="false">IF($R456&gt;0,Params!$B$9*Params!$B$5/(Params!$B$6*$R456),"n/a")</f>
        <v>6.59495199321784</v>
      </c>
      <c r="AI456" s="28" t="n">
        <f aca="false">IF($R456&gt;0,Params!$B$15*Params!$B$4/(Params!$B$6*$R456),"n/a")</f>
        <v>1.09915866553631</v>
      </c>
      <c r="AJ456" s="29" t="n">
        <f aca="false">MIN(Params!$B$9,AD456*Params!$B$8/Params!$B$4)</f>
        <v>0.0272936027715</v>
      </c>
      <c r="AK456" s="28" t="n">
        <f aca="false">IF($R456&gt;0,Params!$B$9*Params!$B$4/(Params!$B$6*$R456*Params!$B$8),"n/a")</f>
        <v>6.59495199321784</v>
      </c>
      <c r="AL456" s="27" t="str">
        <f aca="false">IFERROR(ciq($D456,"IQ_PE_EXCL"),"")</f>
        <v/>
      </c>
      <c r="AM456" s="27" t="str">
        <f aca="false">IFERROR(ciq($D456,"IQ_PE_EXCL_FWD_CIQ"),"")</f>
        <v/>
      </c>
      <c r="AN456" s="27" t="str">
        <f aca="false">IFERROR(ciq($D456,"IQ_PBV"),"")</f>
        <v/>
      </c>
      <c r="AO456" s="27" t="str">
        <f aca="false">IFERROR(ciq($D456,"IQ_TEV_EBITDA"),"")</f>
        <v/>
      </c>
      <c r="AP456" s="24" t="str">
        <f aca="false">IFERROR(ciq($D456,"IQ_RETURN_EQUITY"),"")</f>
        <v/>
      </c>
      <c r="AQ456" s="24" t="str">
        <f aca="false">IFERROR(ciq($D456,"IQ_RETURN_CAPITAL"),"")</f>
        <v/>
      </c>
      <c r="AR456" s="24" t="str">
        <f aca="false">IFERROR(ciq($D456,"IQ_TOTAL_REV_1YR_ANN_GROWTH"),"")</f>
        <v/>
      </c>
      <c r="AS456" s="24" t="str">
        <f aca="false">IFERROR(ciq($D456,"IQ_EPS_1YR_ANN_GROWTH"),"")</f>
        <v/>
      </c>
      <c r="AT456" s="24" t="str">
        <f aca="false">IFERROR(ciq($D456,"IQ_DIVIDEND_YIELD"),"")</f>
        <v/>
      </c>
      <c r="AU456" s="24" t="str">
        <f aca="false">IFERROR(ciq($D456,"IQ_NET_DEBT"),"")</f>
        <v/>
      </c>
    </row>
    <row r="457" customFormat="false" ht="15" hidden="false" customHeight="false" outlineLevel="0" collapsed="false">
      <c r="A457" s="8" t="s">
        <v>2193</v>
      </c>
      <c r="B457" s="6" t="s">
        <v>2194</v>
      </c>
      <c r="C457" s="8" t="s">
        <v>73</v>
      </c>
      <c r="D457" s="8" t="s">
        <v>2195</v>
      </c>
      <c r="E457" s="8" t="s">
        <v>2196</v>
      </c>
      <c r="F457" s="8"/>
      <c r="G457" s="8" t="s">
        <v>58</v>
      </c>
      <c r="H457" s="8" t="s">
        <v>67</v>
      </c>
      <c r="I457" s="8"/>
      <c r="J457" s="8"/>
      <c r="K457" s="8"/>
      <c r="L457" s="8" t="s">
        <v>115</v>
      </c>
      <c r="M457" s="23" t="n">
        <v>11580</v>
      </c>
      <c r="N457" s="23" t="n">
        <v>3804.519255</v>
      </c>
      <c r="O457" s="23" t="n">
        <v>4267.928098625</v>
      </c>
      <c r="P457" s="24" t="n">
        <v>22.41998745</v>
      </c>
      <c r="Q457" s="24" t="n">
        <v>24.6625032775</v>
      </c>
      <c r="R457" s="24" t="n">
        <v>22.41998745</v>
      </c>
      <c r="S457" s="25" t="n">
        <v>0.00589298829820221</v>
      </c>
      <c r="T457" s="26" t="n">
        <v>0.930327456839339</v>
      </c>
      <c r="U457" s="23" t="n">
        <v>2</v>
      </c>
      <c r="V457" s="26" t="n">
        <v>-0.04</v>
      </c>
      <c r="W457" s="26" t="n">
        <v>-0.122684974046395</v>
      </c>
      <c r="X457" s="26" t="n">
        <v>-0.233454784506884</v>
      </c>
      <c r="Y457" s="26" t="n">
        <v>-0.30016515300422</v>
      </c>
      <c r="Z457" s="26" t="n">
        <v>0.0724929166485242</v>
      </c>
      <c r="AA457" s="26" t="n">
        <v>0.937366234980705</v>
      </c>
      <c r="AB457" s="26" t="n">
        <v>-0.5629243821494</v>
      </c>
      <c r="AC457" s="27" t="n">
        <v>0.115863294501692</v>
      </c>
      <c r="AD457" s="28" t="n">
        <f aca="false">Params!$B$6*Params!$B$7*$R457</f>
        <v>13.45199247</v>
      </c>
      <c r="AE457" s="29" t="n">
        <f aca="false">MIN(Params!$B$9,AD457/Params!$B$4)</f>
        <v>0.02690398494</v>
      </c>
      <c r="AF457" s="29" t="n">
        <f aca="false">MIN(Params!$B$9,AD457/Params!$B$5)</f>
        <v>0.01345199247</v>
      </c>
      <c r="AG457" s="28" t="n">
        <f aca="false">IF($R457&gt;0,Params!$B$9*Params!$B$4/(Params!$B$6*$R457),"n/a")</f>
        <v>6.69045869604178</v>
      </c>
      <c r="AH457" s="28" t="n">
        <f aca="false">IF($R457&gt;0,Params!$B$9*Params!$B$5/(Params!$B$6*$R457),"n/a")</f>
        <v>13.3809173920836</v>
      </c>
      <c r="AI457" s="28" t="n">
        <f aca="false">IF($R457&gt;0,Params!$B$15*Params!$B$4/(Params!$B$6*$R457),"n/a")</f>
        <v>2.23015289868059</v>
      </c>
      <c r="AJ457" s="29" t="n">
        <f aca="false">MIN(Params!$B$9,AD457*Params!$B$8/Params!$B$4)</f>
        <v>0.01345199247</v>
      </c>
      <c r="AK457" s="28" t="n">
        <f aca="false">IF($R457&gt;0,Params!$B$9*Params!$B$4/(Params!$B$6*$R457*Params!$B$8),"n/a")</f>
        <v>13.3809173920836</v>
      </c>
      <c r="AL457" s="27" t="str">
        <f aca="false">IFERROR(ciq($D457,"IQ_PE_EXCL"),"")</f>
        <v/>
      </c>
      <c r="AM457" s="27" t="str">
        <f aca="false">IFERROR(ciq($D457,"IQ_PE_EXCL_FWD_CIQ"),"")</f>
        <v/>
      </c>
      <c r="AN457" s="27" t="str">
        <f aca="false">IFERROR(ciq($D457,"IQ_PBV"),"")</f>
        <v/>
      </c>
      <c r="AO457" s="27" t="str">
        <f aca="false">IFERROR(ciq($D457,"IQ_TEV_EBITDA"),"")</f>
        <v/>
      </c>
      <c r="AP457" s="24" t="str">
        <f aca="false">IFERROR(ciq($D457,"IQ_RETURN_EQUITY"),"")</f>
        <v/>
      </c>
      <c r="AQ457" s="24" t="str">
        <f aca="false">IFERROR(ciq($D457,"IQ_RETURN_CAPITAL"),"")</f>
        <v/>
      </c>
      <c r="AR457" s="24" t="str">
        <f aca="false">IFERROR(ciq($D457,"IQ_TOTAL_REV_1YR_ANN_GROWTH"),"")</f>
        <v/>
      </c>
      <c r="AS457" s="24" t="str">
        <f aca="false">IFERROR(ciq($D457,"IQ_EPS_1YR_ANN_GROWTH"),"")</f>
        <v/>
      </c>
      <c r="AT457" s="24" t="str">
        <f aca="false">IFERROR(ciq($D457,"IQ_DIVIDEND_YIELD"),"")</f>
        <v/>
      </c>
      <c r="AU457" s="24" t="str">
        <f aca="false">IFERROR(ciq($D457,"IQ_NET_DEBT"),"")</f>
        <v/>
      </c>
    </row>
    <row r="458" customFormat="false" ht="15" hidden="false" customHeight="false" outlineLevel="0" collapsed="false">
      <c r="A458" s="8" t="s">
        <v>2197</v>
      </c>
      <c r="B458" s="6" t="s">
        <v>2198</v>
      </c>
      <c r="C458" s="8" t="s">
        <v>73</v>
      </c>
      <c r="D458" s="8" t="s">
        <v>2199</v>
      </c>
      <c r="E458" s="8" t="s">
        <v>2200</v>
      </c>
      <c r="F458" s="6" t="s">
        <v>523</v>
      </c>
      <c r="G458" s="8" t="s">
        <v>58</v>
      </c>
      <c r="H458" s="8" t="s">
        <v>67</v>
      </c>
      <c r="I458" s="8"/>
      <c r="J458" s="8"/>
      <c r="K458" s="8"/>
      <c r="L458" s="8"/>
      <c r="M458" s="23" t="n">
        <v>60200</v>
      </c>
      <c r="N458" s="23" t="n">
        <v>3801.20258</v>
      </c>
      <c r="O458" s="23" t="n">
        <v>4416.5301405</v>
      </c>
      <c r="P458" s="24" t="n">
        <v>35.67675035</v>
      </c>
      <c r="Q458" s="24" t="n">
        <v>53.628661075</v>
      </c>
      <c r="R458" s="24" t="n">
        <v>35.67675035</v>
      </c>
      <c r="S458" s="25" t="n">
        <v>0.00938564825187507</v>
      </c>
      <c r="T458" s="26" t="n">
        <v>1.02429267937292</v>
      </c>
      <c r="U458" s="23" t="n">
        <v>0</v>
      </c>
      <c r="V458" s="26" t="n">
        <v>-0.06</v>
      </c>
      <c r="W458" s="26" t="n">
        <v>-0.176507239653708</v>
      </c>
      <c r="X458" s="26" t="n">
        <v>-0.0505730118826573</v>
      </c>
      <c r="Y458" s="26" t="n">
        <v>1.08667130610012</v>
      </c>
      <c r="Z458" s="26" t="n">
        <v>1.71160031263186</v>
      </c>
      <c r="AA458" s="26" t="n">
        <v>2.55320887818082</v>
      </c>
      <c r="AB458" s="26" t="n">
        <v>-0.288473986541598</v>
      </c>
      <c r="AC458" s="27" t="n">
        <v>0.835757463796043</v>
      </c>
      <c r="AD458" s="28" t="n">
        <f aca="false">Params!$B$6*Params!$B$7*$R458</f>
        <v>21.40605021</v>
      </c>
      <c r="AE458" s="29" t="n">
        <f aca="false">MIN(Params!$B$9,AD458/Params!$B$4)</f>
        <v>0.04281210042</v>
      </c>
      <c r="AF458" s="29" t="n">
        <f aca="false">MIN(Params!$B$9,AD458/Params!$B$5)</f>
        <v>0.02140605021</v>
      </c>
      <c r="AG458" s="28" t="n">
        <f aca="false">IF($R458&gt;0,Params!$B$9*Params!$B$4/(Params!$B$6*$R458),"n/a")</f>
        <v>4.20441880295861</v>
      </c>
      <c r="AH458" s="28" t="n">
        <f aca="false">IF($R458&gt;0,Params!$B$9*Params!$B$5/(Params!$B$6*$R458),"n/a")</f>
        <v>8.40883760591721</v>
      </c>
      <c r="AI458" s="28" t="n">
        <f aca="false">IF($R458&gt;0,Params!$B$15*Params!$B$4/(Params!$B$6*$R458),"n/a")</f>
        <v>1.40147293431954</v>
      </c>
      <c r="AJ458" s="29" t="n">
        <f aca="false">MIN(Params!$B$9,AD458*Params!$B$8/Params!$B$4)</f>
        <v>0.02140605021</v>
      </c>
      <c r="AK458" s="28" t="n">
        <f aca="false">IF($R458&gt;0,Params!$B$9*Params!$B$4/(Params!$B$6*$R458*Params!$B$8),"n/a")</f>
        <v>8.40883760591721</v>
      </c>
      <c r="AL458" s="27" t="str">
        <f aca="false">IFERROR(ciq($D458,"IQ_PE_EXCL"),"")</f>
        <v/>
      </c>
      <c r="AM458" s="27" t="str">
        <f aca="false">IFERROR(ciq($D458,"IQ_PE_EXCL_FWD_CIQ"),"")</f>
        <v/>
      </c>
      <c r="AN458" s="27" t="str">
        <f aca="false">IFERROR(ciq($D458,"IQ_PBV"),"")</f>
        <v/>
      </c>
      <c r="AO458" s="27" t="str">
        <f aca="false">IFERROR(ciq($D458,"IQ_TEV_EBITDA"),"")</f>
        <v/>
      </c>
      <c r="AP458" s="24" t="str">
        <f aca="false">IFERROR(ciq($D458,"IQ_RETURN_EQUITY"),"")</f>
        <v/>
      </c>
      <c r="AQ458" s="24" t="str">
        <f aca="false">IFERROR(ciq($D458,"IQ_RETURN_CAPITAL"),"")</f>
        <v/>
      </c>
      <c r="AR458" s="24" t="str">
        <f aca="false">IFERROR(ciq($D458,"IQ_TOTAL_REV_1YR_ANN_GROWTH"),"")</f>
        <v/>
      </c>
      <c r="AS458" s="24" t="str">
        <f aca="false">IFERROR(ciq($D458,"IQ_EPS_1YR_ANN_GROWTH"),"")</f>
        <v/>
      </c>
      <c r="AT458" s="24" t="str">
        <f aca="false">IFERROR(ciq($D458,"IQ_DIVIDEND_YIELD"),"")</f>
        <v/>
      </c>
      <c r="AU458" s="24" t="str">
        <f aca="false">IFERROR(ciq($D458,"IQ_NET_DEBT"),"")</f>
        <v/>
      </c>
    </row>
    <row r="459" customFormat="false" ht="15" hidden="false" customHeight="false" outlineLevel="0" collapsed="false">
      <c r="A459" s="8" t="s">
        <v>2201</v>
      </c>
      <c r="B459" s="6" t="s">
        <v>2202</v>
      </c>
      <c r="C459" s="8" t="s">
        <v>73</v>
      </c>
      <c r="D459" s="8" t="s">
        <v>2203</v>
      </c>
      <c r="E459" s="8" t="s">
        <v>2204</v>
      </c>
      <c r="F459" s="6" t="s">
        <v>650</v>
      </c>
      <c r="G459" s="8" t="s">
        <v>58</v>
      </c>
      <c r="H459" s="8" t="s">
        <v>67</v>
      </c>
      <c r="I459" s="8"/>
      <c r="J459" s="8"/>
      <c r="K459" s="8"/>
      <c r="L459" s="8"/>
      <c r="M459" s="23" t="n">
        <v>5370</v>
      </c>
      <c r="N459" s="23" t="n">
        <v>3774.214821</v>
      </c>
      <c r="O459" s="23" t="n">
        <v>3731.517698025</v>
      </c>
      <c r="P459" s="24" t="n">
        <v>55.3694157835</v>
      </c>
      <c r="Q459" s="24" t="n">
        <v>47.4845856975</v>
      </c>
      <c r="R459" s="24" t="n">
        <v>47.4845856975</v>
      </c>
      <c r="S459" s="25" t="n">
        <v>0.0146704462807524</v>
      </c>
      <c r="T459" s="26" t="n">
        <v>0.675811615486978</v>
      </c>
      <c r="U459" s="23" t="n">
        <v>1</v>
      </c>
      <c r="V459" s="26" t="n">
        <v>-0.06</v>
      </c>
      <c r="W459" s="26" t="n">
        <v>0.0593580364610857</v>
      </c>
      <c r="X459" s="26" t="n">
        <v>0.116557994225924</v>
      </c>
      <c r="Y459" s="26" t="n">
        <v>0.234882558566804</v>
      </c>
      <c r="Z459" s="26" t="n">
        <v>0.199014127133527</v>
      </c>
      <c r="AA459" s="26" t="n">
        <v>0.172552724334625</v>
      </c>
      <c r="AB459" s="26" t="n">
        <v>-0.213639311908053</v>
      </c>
      <c r="AC459" s="27" t="n">
        <v>0.945912186496783</v>
      </c>
      <c r="AD459" s="28" t="n">
        <f aca="false">Params!$B$6*Params!$B$7*$R459</f>
        <v>28.4907514185</v>
      </c>
      <c r="AE459" s="29" t="n">
        <f aca="false">MIN(Params!$B$9,AD459/Params!$B$4)</f>
        <v>0.056981502837</v>
      </c>
      <c r="AF459" s="29" t="n">
        <f aca="false">MIN(Params!$B$9,AD459/Params!$B$5)</f>
        <v>0.0284907514185</v>
      </c>
      <c r="AG459" s="28" t="n">
        <f aca="false">IF($R459&gt;0,Params!$B$9*Params!$B$4/(Params!$B$6*$R459),"n/a")</f>
        <v>3.15891984307441</v>
      </c>
      <c r="AH459" s="28" t="n">
        <f aca="false">IF($R459&gt;0,Params!$B$9*Params!$B$5/(Params!$B$6*$R459),"n/a")</f>
        <v>6.31783968614882</v>
      </c>
      <c r="AI459" s="28" t="n">
        <f aca="false">IF($R459&gt;0,Params!$B$15*Params!$B$4/(Params!$B$6*$R459),"n/a")</f>
        <v>1.0529732810248</v>
      </c>
      <c r="AJ459" s="29" t="n">
        <f aca="false">MIN(Params!$B$9,AD459*Params!$B$8/Params!$B$4)</f>
        <v>0.0284907514185</v>
      </c>
      <c r="AK459" s="28" t="n">
        <f aca="false">IF($R459&gt;0,Params!$B$9*Params!$B$4/(Params!$B$6*$R459*Params!$B$8),"n/a")</f>
        <v>6.31783968614882</v>
      </c>
      <c r="AL459" s="27" t="str">
        <f aca="false">IFERROR(ciq($D459,"IQ_PE_EXCL"),"")</f>
        <v/>
      </c>
      <c r="AM459" s="27" t="str">
        <f aca="false">IFERROR(ciq($D459,"IQ_PE_EXCL_FWD_CIQ"),"")</f>
        <v/>
      </c>
      <c r="AN459" s="27" t="str">
        <f aca="false">IFERROR(ciq($D459,"IQ_PBV"),"")</f>
        <v/>
      </c>
      <c r="AO459" s="27" t="str">
        <f aca="false">IFERROR(ciq($D459,"IQ_TEV_EBITDA"),"")</f>
        <v/>
      </c>
      <c r="AP459" s="24" t="str">
        <f aca="false">IFERROR(ciq($D459,"IQ_RETURN_EQUITY"),"")</f>
        <v/>
      </c>
      <c r="AQ459" s="24" t="str">
        <f aca="false">IFERROR(ciq($D459,"IQ_RETURN_CAPITAL"),"")</f>
        <v/>
      </c>
      <c r="AR459" s="24" t="str">
        <f aca="false">IFERROR(ciq($D459,"IQ_TOTAL_REV_1YR_ANN_GROWTH"),"")</f>
        <v/>
      </c>
      <c r="AS459" s="24" t="str">
        <f aca="false">IFERROR(ciq($D459,"IQ_EPS_1YR_ANN_GROWTH"),"")</f>
        <v/>
      </c>
      <c r="AT459" s="24" t="str">
        <f aca="false">IFERROR(ciq($D459,"IQ_DIVIDEND_YIELD"),"")</f>
        <v/>
      </c>
      <c r="AU459" s="24" t="str">
        <f aca="false">IFERROR(ciq($D459,"IQ_NET_DEBT"),"")</f>
        <v/>
      </c>
    </row>
    <row r="460" customFormat="false" ht="15" hidden="false" customHeight="false" outlineLevel="0" collapsed="false">
      <c r="A460" s="8" t="s">
        <v>432</v>
      </c>
      <c r="B460" s="6" t="s">
        <v>433</v>
      </c>
      <c r="C460" s="8" t="s">
        <v>73</v>
      </c>
      <c r="D460" s="8" t="s">
        <v>2205</v>
      </c>
      <c r="E460" s="8" t="s">
        <v>2206</v>
      </c>
      <c r="F460" s="8"/>
      <c r="G460" s="8" t="s">
        <v>58</v>
      </c>
      <c r="H460" s="8" t="s">
        <v>67</v>
      </c>
      <c r="I460" s="8" t="s">
        <v>508</v>
      </c>
      <c r="J460" s="8"/>
      <c r="K460" s="8"/>
      <c r="L460" s="6" t="s">
        <v>351</v>
      </c>
      <c r="M460" s="23" t="n">
        <v>16000</v>
      </c>
      <c r="N460" s="23" t="n">
        <v>3745.34784</v>
      </c>
      <c r="O460" s="23" t="n">
        <v>3097.45633671</v>
      </c>
      <c r="P460" s="24" t="n">
        <v>80.83312075</v>
      </c>
      <c r="Q460" s="24" t="n">
        <v>69.5213822583333</v>
      </c>
      <c r="R460" s="24" t="n">
        <v>69.5213822583333</v>
      </c>
      <c r="S460" s="25" t="n">
        <v>0.0215822733169691</v>
      </c>
      <c r="T460" s="26" t="n">
        <v>0.943188174603491</v>
      </c>
      <c r="U460" s="23" t="n">
        <v>0</v>
      </c>
      <c r="V460" s="26" t="n">
        <v>-0.06</v>
      </c>
      <c r="W460" s="26" t="n">
        <v>-0.255875079191414</v>
      </c>
      <c r="X460" s="26" t="n">
        <v>-0.454891025847125</v>
      </c>
      <c r="Y460" s="26" t="n">
        <v>-0.6698458420336</v>
      </c>
      <c r="Z460" s="26" t="n">
        <v>-0.234319851330823</v>
      </c>
      <c r="AA460" s="26" t="n">
        <v>0.144826882486854</v>
      </c>
      <c r="AB460" s="26" t="n">
        <v>-0.793030049288075</v>
      </c>
      <c r="AC460" s="27" t="n">
        <v>0.444629504121018</v>
      </c>
      <c r="AD460" s="28" t="n">
        <f aca="false">Params!$B$6*Params!$B$7*$R460</f>
        <v>41.712829355</v>
      </c>
      <c r="AE460" s="29" t="n">
        <f aca="false">MIN(Params!$B$9,AD460/Params!$B$4)</f>
        <v>0.06</v>
      </c>
      <c r="AF460" s="29" t="n">
        <f aca="false">MIN(Params!$B$9,AD460/Params!$B$5)</f>
        <v>0.041712829355</v>
      </c>
      <c r="AG460" s="28" t="n">
        <f aca="false">IF($R460&gt;0,Params!$B$9*Params!$B$4/(Params!$B$6*$R460),"n/a")</f>
        <v>2.15760957459991</v>
      </c>
      <c r="AH460" s="28" t="n">
        <f aca="false">IF($R460&gt;0,Params!$B$9*Params!$B$5/(Params!$B$6*$R460),"n/a")</f>
        <v>4.31521914919981</v>
      </c>
      <c r="AI460" s="28" t="n">
        <f aca="false">IF($R460&gt;0,Params!$B$15*Params!$B$4/(Params!$B$6*$R460),"n/a")</f>
        <v>0.719203191533302</v>
      </c>
      <c r="AJ460" s="29" t="n">
        <f aca="false">MIN(Params!$B$9,AD460*Params!$B$8/Params!$B$4)</f>
        <v>0.041712829355</v>
      </c>
      <c r="AK460" s="28" t="n">
        <f aca="false">IF($R460&gt;0,Params!$B$9*Params!$B$4/(Params!$B$6*$R460*Params!$B$8),"n/a")</f>
        <v>4.31521914919981</v>
      </c>
      <c r="AL460" s="27" t="str">
        <f aca="false">IFERROR(ciq($D460,"IQ_PE_EXCL"),"")</f>
        <v/>
      </c>
      <c r="AM460" s="27" t="str">
        <f aca="false">IFERROR(ciq($D460,"IQ_PE_EXCL_FWD_CIQ"),"")</f>
        <v/>
      </c>
      <c r="AN460" s="27" t="str">
        <f aca="false">IFERROR(ciq($D460,"IQ_PBV"),"")</f>
        <v/>
      </c>
      <c r="AO460" s="27" t="str">
        <f aca="false">IFERROR(ciq($D460,"IQ_TEV_EBITDA"),"")</f>
        <v/>
      </c>
      <c r="AP460" s="24" t="str">
        <f aca="false">IFERROR(ciq($D460,"IQ_RETURN_EQUITY"),"")</f>
        <v/>
      </c>
      <c r="AQ460" s="24" t="str">
        <f aca="false">IFERROR(ciq($D460,"IQ_RETURN_CAPITAL"),"")</f>
        <v/>
      </c>
      <c r="AR460" s="24" t="str">
        <f aca="false">IFERROR(ciq($D460,"IQ_TOTAL_REV_1YR_ANN_GROWTH"),"")</f>
        <v/>
      </c>
      <c r="AS460" s="24" t="str">
        <f aca="false">IFERROR(ciq($D460,"IQ_EPS_1YR_ANN_GROWTH"),"")</f>
        <v/>
      </c>
      <c r="AT460" s="24" t="str">
        <f aca="false">IFERROR(ciq($D460,"IQ_DIVIDEND_YIELD"),"")</f>
        <v/>
      </c>
      <c r="AU460" s="24" t="str">
        <f aca="false">IFERROR(ciq($D460,"IQ_NET_DEBT"),"")</f>
        <v/>
      </c>
    </row>
    <row r="461" customFormat="false" ht="15" hidden="false" customHeight="false" outlineLevel="0" collapsed="false">
      <c r="A461" s="8" t="s">
        <v>2207</v>
      </c>
      <c r="B461" s="6" t="s">
        <v>2208</v>
      </c>
      <c r="C461" s="8" t="s">
        <v>73</v>
      </c>
      <c r="D461" s="8" t="s">
        <v>2209</v>
      </c>
      <c r="E461" s="8" t="s">
        <v>2210</v>
      </c>
      <c r="F461" s="6" t="s">
        <v>627</v>
      </c>
      <c r="G461" s="8" t="s">
        <v>58</v>
      </c>
      <c r="H461" s="8" t="s">
        <v>67</v>
      </c>
      <c r="I461" s="8"/>
      <c r="J461" s="8"/>
      <c r="K461" s="8"/>
      <c r="L461" s="8" t="s">
        <v>514</v>
      </c>
      <c r="M461" s="23" t="n">
        <v>8550</v>
      </c>
      <c r="N461" s="23" t="n">
        <v>3735.719352</v>
      </c>
      <c r="O461" s="23" t="n">
        <v>4520.65734216</v>
      </c>
      <c r="P461" s="24" t="n">
        <v>157.0617203125</v>
      </c>
      <c r="Q461" s="24" t="n">
        <v>119.924798201667</v>
      </c>
      <c r="R461" s="24" t="n">
        <v>119.924798201667</v>
      </c>
      <c r="S461" s="25" t="n">
        <v>0.0420432333141979</v>
      </c>
      <c r="T461" s="26" t="n">
        <v>1.27120056858048</v>
      </c>
      <c r="U461" s="23" t="n">
        <v>3</v>
      </c>
      <c r="V461" s="26" t="n">
        <v>-0.04</v>
      </c>
      <c r="W461" s="26" t="n">
        <v>-0.184879464499691</v>
      </c>
      <c r="X461" s="26" t="n">
        <v>0.0451866552567393</v>
      </c>
      <c r="Y461" s="26" t="n">
        <v>0.481170510959189</v>
      </c>
      <c r="Z461" s="26" t="n">
        <v>0.652944560987294</v>
      </c>
      <c r="AA461" s="26" t="n">
        <v>0.67184805824052</v>
      </c>
      <c r="AB461" s="26" t="n">
        <v>-0.31543679636838</v>
      </c>
      <c r="AC461" s="27" t="n">
        <v>1.5367269977067</v>
      </c>
      <c r="AD461" s="28" t="n">
        <f aca="false">Params!$B$6*Params!$B$7*$R461</f>
        <v>71.954878921</v>
      </c>
      <c r="AE461" s="29" t="n">
        <f aca="false">MIN(Params!$B$9,AD461/Params!$B$4)</f>
        <v>0.06</v>
      </c>
      <c r="AF461" s="29" t="n">
        <f aca="false">MIN(Params!$B$9,AD461/Params!$B$5)</f>
        <v>0.06</v>
      </c>
      <c r="AG461" s="28" t="n">
        <f aca="false">IF($R461&gt;0,Params!$B$9*Params!$B$4/(Params!$B$6*$R461),"n/a")</f>
        <v>1.25078384328618</v>
      </c>
      <c r="AH461" s="28" t="n">
        <f aca="false">IF($R461&gt;0,Params!$B$9*Params!$B$5/(Params!$B$6*$R461),"n/a")</f>
        <v>2.50156768657236</v>
      </c>
      <c r="AI461" s="28" t="n">
        <f aca="false">IF($R461&gt;0,Params!$B$15*Params!$B$4/(Params!$B$6*$R461),"n/a")</f>
        <v>0.416927947762059</v>
      </c>
      <c r="AJ461" s="29" t="n">
        <f aca="false">MIN(Params!$B$9,AD461*Params!$B$8/Params!$B$4)</f>
        <v>0.06</v>
      </c>
      <c r="AK461" s="28" t="n">
        <f aca="false">IF($R461&gt;0,Params!$B$9*Params!$B$4/(Params!$B$6*$R461*Params!$B$8),"n/a")</f>
        <v>2.50156768657236</v>
      </c>
      <c r="AL461" s="27" t="str">
        <f aca="false">IFERROR(ciq($D461,"IQ_PE_EXCL"),"")</f>
        <v/>
      </c>
      <c r="AM461" s="27" t="str">
        <f aca="false">IFERROR(ciq($D461,"IQ_PE_EXCL_FWD_CIQ"),"")</f>
        <v/>
      </c>
      <c r="AN461" s="27" t="str">
        <f aca="false">IFERROR(ciq($D461,"IQ_PBV"),"")</f>
        <v/>
      </c>
      <c r="AO461" s="27" t="str">
        <f aca="false">IFERROR(ciq($D461,"IQ_TEV_EBITDA"),"")</f>
        <v/>
      </c>
      <c r="AP461" s="24" t="str">
        <f aca="false">IFERROR(ciq($D461,"IQ_RETURN_EQUITY"),"")</f>
        <v/>
      </c>
      <c r="AQ461" s="24" t="str">
        <f aca="false">IFERROR(ciq($D461,"IQ_RETURN_CAPITAL"),"")</f>
        <v/>
      </c>
      <c r="AR461" s="24" t="str">
        <f aca="false">IFERROR(ciq($D461,"IQ_TOTAL_REV_1YR_ANN_GROWTH"),"")</f>
        <v/>
      </c>
      <c r="AS461" s="24" t="str">
        <f aca="false">IFERROR(ciq($D461,"IQ_EPS_1YR_ANN_GROWTH"),"")</f>
        <v/>
      </c>
      <c r="AT461" s="24" t="str">
        <f aca="false">IFERROR(ciq($D461,"IQ_DIVIDEND_YIELD"),"")</f>
        <v/>
      </c>
      <c r="AU461" s="24" t="str">
        <f aca="false">IFERROR(ciq($D461,"IQ_NET_DEBT"),"")</f>
        <v/>
      </c>
    </row>
    <row r="462" customFormat="false" ht="15" hidden="false" customHeight="false" outlineLevel="0" collapsed="false">
      <c r="A462" s="8" t="s">
        <v>2211</v>
      </c>
      <c r="B462" s="6" t="s">
        <v>2212</v>
      </c>
      <c r="C462" s="8" t="s">
        <v>73</v>
      </c>
      <c r="D462" s="8" t="s">
        <v>2213</v>
      </c>
      <c r="E462" s="8" t="s">
        <v>2214</v>
      </c>
      <c r="F462" s="6" t="s">
        <v>900</v>
      </c>
      <c r="G462" s="8" t="s">
        <v>58</v>
      </c>
      <c r="H462" s="8" t="s">
        <v>67</v>
      </c>
      <c r="I462" s="8"/>
      <c r="J462" s="8"/>
      <c r="K462" s="8"/>
      <c r="L462" s="8" t="s">
        <v>241</v>
      </c>
      <c r="M462" s="23" t="n">
        <v>4905</v>
      </c>
      <c r="N462" s="23" t="n">
        <v>3710.40966585</v>
      </c>
      <c r="O462" s="23" t="n">
        <v>3827.6601242</v>
      </c>
      <c r="P462" s="24" t="n">
        <v>231.6709492785</v>
      </c>
      <c r="Q462" s="24" t="n">
        <v>156.316941154167</v>
      </c>
      <c r="R462" s="24" t="n">
        <v>156.316941154167</v>
      </c>
      <c r="S462" s="25" t="n">
        <v>0.0624381052611956</v>
      </c>
      <c r="T462" s="26" t="n">
        <v>0.798549197278775</v>
      </c>
      <c r="U462" s="23" t="n">
        <v>1</v>
      </c>
      <c r="V462" s="26" t="n">
        <v>-0.06</v>
      </c>
      <c r="W462" s="26" t="n">
        <v>0.0062719773037796</v>
      </c>
      <c r="X462" s="26" t="n">
        <v>-0.0620441278661782</v>
      </c>
      <c r="Y462" s="26" t="n">
        <v>-0.34601745495405</v>
      </c>
      <c r="Z462" s="26" t="n">
        <v>-0.318468587689095</v>
      </c>
      <c r="AA462" s="26" t="n">
        <v>-0.402208301336222</v>
      </c>
      <c r="AB462" s="26" t="n">
        <v>-0.55738521585764</v>
      </c>
      <c r="AC462" s="27" t="n">
        <v>0.923037633990124</v>
      </c>
      <c r="AD462" s="28" t="n">
        <f aca="false">Params!$B$6*Params!$B$7*$R462</f>
        <v>93.7901646925</v>
      </c>
      <c r="AE462" s="29" t="n">
        <f aca="false">MIN(Params!$B$9,AD462/Params!$B$4)</f>
        <v>0.06</v>
      </c>
      <c r="AF462" s="29" t="n">
        <f aca="false">MIN(Params!$B$9,AD462/Params!$B$5)</f>
        <v>0.06</v>
      </c>
      <c r="AG462" s="28" t="n">
        <f aca="false">IF($R462&gt;0,Params!$B$9*Params!$B$4/(Params!$B$6*$R462),"n/a")</f>
        <v>0.959588889678076</v>
      </c>
      <c r="AH462" s="28" t="n">
        <f aca="false">IF($R462&gt;0,Params!$B$9*Params!$B$5/(Params!$B$6*$R462),"n/a")</f>
        <v>1.91917777935615</v>
      </c>
      <c r="AI462" s="28" t="n">
        <f aca="false">IF($R462&gt;0,Params!$B$15*Params!$B$4/(Params!$B$6*$R462),"n/a")</f>
        <v>0.319862963226025</v>
      </c>
      <c r="AJ462" s="29" t="n">
        <f aca="false">MIN(Params!$B$9,AD462*Params!$B$8/Params!$B$4)</f>
        <v>0.06</v>
      </c>
      <c r="AK462" s="28" t="n">
        <f aca="false">IF($R462&gt;0,Params!$B$9*Params!$B$4/(Params!$B$6*$R462*Params!$B$8),"n/a")</f>
        <v>1.91917777935615</v>
      </c>
      <c r="AL462" s="27" t="str">
        <f aca="false">IFERROR(ciq($D462,"IQ_PE_EXCL"),"")</f>
        <v/>
      </c>
      <c r="AM462" s="27" t="str">
        <f aca="false">IFERROR(ciq($D462,"IQ_PE_EXCL_FWD_CIQ"),"")</f>
        <v/>
      </c>
      <c r="AN462" s="27" t="str">
        <f aca="false">IFERROR(ciq($D462,"IQ_PBV"),"")</f>
        <v/>
      </c>
      <c r="AO462" s="27" t="str">
        <f aca="false">IFERROR(ciq($D462,"IQ_TEV_EBITDA"),"")</f>
        <v/>
      </c>
      <c r="AP462" s="24" t="str">
        <f aca="false">IFERROR(ciq($D462,"IQ_RETURN_EQUITY"),"")</f>
        <v/>
      </c>
      <c r="AQ462" s="24" t="str">
        <f aca="false">IFERROR(ciq($D462,"IQ_RETURN_CAPITAL"),"")</f>
        <v/>
      </c>
      <c r="AR462" s="24" t="str">
        <f aca="false">IFERROR(ciq($D462,"IQ_TOTAL_REV_1YR_ANN_GROWTH"),"")</f>
        <v/>
      </c>
      <c r="AS462" s="24" t="str">
        <f aca="false">IFERROR(ciq($D462,"IQ_EPS_1YR_ANN_GROWTH"),"")</f>
        <v/>
      </c>
      <c r="AT462" s="24" t="str">
        <f aca="false">IFERROR(ciq($D462,"IQ_DIVIDEND_YIELD"),"")</f>
        <v/>
      </c>
      <c r="AU462" s="24" t="str">
        <f aca="false">IFERROR(ciq($D462,"IQ_NET_DEBT"),"")</f>
        <v/>
      </c>
    </row>
    <row r="463" customFormat="false" ht="15" hidden="false" customHeight="false" outlineLevel="0" collapsed="false">
      <c r="A463" s="8" t="s">
        <v>2215</v>
      </c>
      <c r="B463" s="6" t="s">
        <v>2216</v>
      </c>
      <c r="C463" s="8" t="s">
        <v>73</v>
      </c>
      <c r="D463" s="8" t="s">
        <v>2217</v>
      </c>
      <c r="E463" s="8" t="s">
        <v>2218</v>
      </c>
      <c r="F463" s="8"/>
      <c r="G463" s="8" t="s">
        <v>58</v>
      </c>
      <c r="H463" s="8" t="s">
        <v>67</v>
      </c>
      <c r="I463" s="8"/>
      <c r="J463" s="8"/>
      <c r="K463" s="8"/>
      <c r="L463" s="8" t="s">
        <v>241</v>
      </c>
      <c r="M463" s="23" t="n">
        <v>17210</v>
      </c>
      <c r="N463" s="23" t="n">
        <v>3681.637203</v>
      </c>
      <c r="O463" s="23" t="n">
        <v>4169.27764485</v>
      </c>
      <c r="P463" s="24" t="n">
        <v>25.2964807075</v>
      </c>
      <c r="Q463" s="24" t="n">
        <v>40.4458993091667</v>
      </c>
      <c r="R463" s="24" t="n">
        <v>25.2964807075</v>
      </c>
      <c r="S463" s="25" t="n">
        <v>0.00687098682262528</v>
      </c>
      <c r="T463" s="26" t="n">
        <v>0.942017920427621</v>
      </c>
      <c r="U463" s="23" t="n">
        <v>1</v>
      </c>
      <c r="V463" s="26" t="n">
        <v>-0.06</v>
      </c>
      <c r="W463" s="26" t="n">
        <v>-0.180408137502468</v>
      </c>
      <c r="X463" s="26" t="n">
        <v>-0.430193666335645</v>
      </c>
      <c r="Y463" s="26" t="n">
        <v>-0.538681406087325</v>
      </c>
      <c r="Z463" s="26" t="n">
        <v>-0.628372013084756</v>
      </c>
      <c r="AA463" s="26"/>
      <c r="AB463" s="26" t="n">
        <v>-0.694911758545896</v>
      </c>
      <c r="AC463" s="27" t="n">
        <v>0.20064004732122</v>
      </c>
      <c r="AD463" s="28" t="n">
        <f aca="false">Params!$B$6*Params!$B$7*$R463</f>
        <v>15.1778884245</v>
      </c>
      <c r="AE463" s="29" t="n">
        <f aca="false">MIN(Params!$B$9,AD463/Params!$B$4)</f>
        <v>0.030355776849</v>
      </c>
      <c r="AF463" s="29" t="n">
        <f aca="false">MIN(Params!$B$9,AD463/Params!$B$5)</f>
        <v>0.0151778884245</v>
      </c>
      <c r="AG463" s="28" t="n">
        <f aca="false">IF($R463&gt;0,Params!$B$9*Params!$B$4/(Params!$B$6*$R463),"n/a")</f>
        <v>5.9296785878807</v>
      </c>
      <c r="AH463" s="28" t="n">
        <f aca="false">IF($R463&gt;0,Params!$B$9*Params!$B$5/(Params!$B$6*$R463),"n/a")</f>
        <v>11.8593571757614</v>
      </c>
      <c r="AI463" s="28" t="n">
        <f aca="false">IF($R463&gt;0,Params!$B$15*Params!$B$4/(Params!$B$6*$R463),"n/a")</f>
        <v>1.97655952929357</v>
      </c>
      <c r="AJ463" s="29" t="n">
        <f aca="false">MIN(Params!$B$9,AD463*Params!$B$8/Params!$B$4)</f>
        <v>0.0151778884245</v>
      </c>
      <c r="AK463" s="28" t="n">
        <f aca="false">IF($R463&gt;0,Params!$B$9*Params!$B$4/(Params!$B$6*$R463*Params!$B$8),"n/a")</f>
        <v>11.8593571757614</v>
      </c>
      <c r="AL463" s="27" t="str">
        <f aca="false">IFERROR(ciq($D463,"IQ_PE_EXCL"),"")</f>
        <v/>
      </c>
      <c r="AM463" s="27" t="str">
        <f aca="false">IFERROR(ciq($D463,"IQ_PE_EXCL_FWD_CIQ"),"")</f>
        <v/>
      </c>
      <c r="AN463" s="27" t="str">
        <f aca="false">IFERROR(ciq($D463,"IQ_PBV"),"")</f>
        <v/>
      </c>
      <c r="AO463" s="27" t="str">
        <f aca="false">IFERROR(ciq($D463,"IQ_TEV_EBITDA"),"")</f>
        <v/>
      </c>
      <c r="AP463" s="24" t="str">
        <f aca="false">IFERROR(ciq($D463,"IQ_RETURN_EQUITY"),"")</f>
        <v/>
      </c>
      <c r="AQ463" s="24" t="str">
        <f aca="false">IFERROR(ciq($D463,"IQ_RETURN_CAPITAL"),"")</f>
        <v/>
      </c>
      <c r="AR463" s="24" t="str">
        <f aca="false">IFERROR(ciq($D463,"IQ_TOTAL_REV_1YR_ANN_GROWTH"),"")</f>
        <v/>
      </c>
      <c r="AS463" s="24" t="str">
        <f aca="false">IFERROR(ciq($D463,"IQ_EPS_1YR_ANN_GROWTH"),"")</f>
        <v/>
      </c>
      <c r="AT463" s="24" t="str">
        <f aca="false">IFERROR(ciq($D463,"IQ_DIVIDEND_YIELD"),"")</f>
        <v/>
      </c>
      <c r="AU463" s="24" t="str">
        <f aca="false">IFERROR(ciq($D463,"IQ_NET_DEBT"),"")</f>
        <v/>
      </c>
    </row>
    <row r="464" customFormat="false" ht="15" hidden="false" customHeight="false" outlineLevel="0" collapsed="false">
      <c r="A464" s="8" t="s">
        <v>2219</v>
      </c>
      <c r="B464" s="6" t="s">
        <v>2220</v>
      </c>
      <c r="C464" s="8" t="s">
        <v>73</v>
      </c>
      <c r="D464" s="8" t="s">
        <v>2221</v>
      </c>
      <c r="E464" s="8" t="s">
        <v>2222</v>
      </c>
      <c r="F464" s="6" t="s">
        <v>627</v>
      </c>
      <c r="G464" s="8" t="s">
        <v>58</v>
      </c>
      <c r="H464" s="8" t="s">
        <v>67</v>
      </c>
      <c r="I464" s="8"/>
      <c r="J464" s="8"/>
      <c r="K464" s="8"/>
      <c r="L464" s="8" t="s">
        <v>514</v>
      </c>
      <c r="M464" s="23" t="n">
        <v>13070</v>
      </c>
      <c r="N464" s="23" t="n">
        <v>3678.3128418</v>
      </c>
      <c r="O464" s="23" t="n">
        <v>3474.2748303</v>
      </c>
      <c r="P464" s="24" t="n">
        <v>42.289690515</v>
      </c>
      <c r="Q464" s="24" t="n">
        <v>39.0949128041667</v>
      </c>
      <c r="R464" s="24" t="n">
        <v>39.0949128041667</v>
      </c>
      <c r="S464" s="25" t="n">
        <v>0.0114970347368021</v>
      </c>
      <c r="T464" s="26" t="n">
        <v>1.07995304172866</v>
      </c>
      <c r="U464" s="23" t="n">
        <v>4</v>
      </c>
      <c r="V464" s="26" t="n">
        <v>-0.04</v>
      </c>
      <c r="W464" s="26" t="n">
        <v>0.390398987974964</v>
      </c>
      <c r="X464" s="26" t="n">
        <v>0.0182128434855915</v>
      </c>
      <c r="Y464" s="26" t="n">
        <v>-0.143384393392529</v>
      </c>
      <c r="Z464" s="26" t="n">
        <v>0.0920562885308864</v>
      </c>
      <c r="AA464" s="26" t="n">
        <v>0.496965440943405</v>
      </c>
      <c r="AB464" s="26" t="n">
        <v>-0.335488126558331</v>
      </c>
      <c r="AC464" s="27" t="n">
        <v>0.792302751466549</v>
      </c>
      <c r="AD464" s="28" t="n">
        <f aca="false">Params!$B$6*Params!$B$7*$R464</f>
        <v>23.4569476825</v>
      </c>
      <c r="AE464" s="29" t="n">
        <f aca="false">MIN(Params!$B$9,AD464/Params!$B$4)</f>
        <v>0.046913895365</v>
      </c>
      <c r="AF464" s="29" t="n">
        <f aca="false">MIN(Params!$B$9,AD464/Params!$B$5)</f>
        <v>0.0234569476825</v>
      </c>
      <c r="AG464" s="28" t="n">
        <f aca="false">IF($R464&gt;0,Params!$B$9*Params!$B$4/(Params!$B$6*$R464),"n/a")</f>
        <v>3.83681633340319</v>
      </c>
      <c r="AH464" s="28" t="n">
        <f aca="false">IF($R464&gt;0,Params!$B$9*Params!$B$5/(Params!$B$6*$R464),"n/a")</f>
        <v>7.67363266680637</v>
      </c>
      <c r="AI464" s="28" t="n">
        <f aca="false">IF($R464&gt;0,Params!$B$15*Params!$B$4/(Params!$B$6*$R464),"n/a")</f>
        <v>1.27893877780106</v>
      </c>
      <c r="AJ464" s="29" t="n">
        <f aca="false">MIN(Params!$B$9,AD464*Params!$B$8/Params!$B$4)</f>
        <v>0.0234569476825</v>
      </c>
      <c r="AK464" s="28" t="n">
        <f aca="false">IF($R464&gt;0,Params!$B$9*Params!$B$4/(Params!$B$6*$R464*Params!$B$8),"n/a")</f>
        <v>7.67363266680637</v>
      </c>
      <c r="AL464" s="27" t="str">
        <f aca="false">IFERROR(ciq($D464,"IQ_PE_EXCL"),"")</f>
        <v/>
      </c>
      <c r="AM464" s="27" t="str">
        <f aca="false">IFERROR(ciq($D464,"IQ_PE_EXCL_FWD_CIQ"),"")</f>
        <v/>
      </c>
      <c r="AN464" s="27" t="str">
        <f aca="false">IFERROR(ciq($D464,"IQ_PBV"),"")</f>
        <v/>
      </c>
      <c r="AO464" s="27" t="str">
        <f aca="false">IFERROR(ciq($D464,"IQ_TEV_EBITDA"),"")</f>
        <v/>
      </c>
      <c r="AP464" s="24" t="str">
        <f aca="false">IFERROR(ciq($D464,"IQ_RETURN_EQUITY"),"")</f>
        <v/>
      </c>
      <c r="AQ464" s="24" t="str">
        <f aca="false">IFERROR(ciq($D464,"IQ_RETURN_CAPITAL"),"")</f>
        <v/>
      </c>
      <c r="AR464" s="24" t="str">
        <f aca="false">IFERROR(ciq($D464,"IQ_TOTAL_REV_1YR_ANN_GROWTH"),"")</f>
        <v/>
      </c>
      <c r="AS464" s="24" t="str">
        <f aca="false">IFERROR(ciq($D464,"IQ_EPS_1YR_ANN_GROWTH"),"")</f>
        <v/>
      </c>
      <c r="AT464" s="24" t="str">
        <f aca="false">IFERROR(ciq($D464,"IQ_DIVIDEND_YIELD"),"")</f>
        <v/>
      </c>
      <c r="AU464" s="24" t="str">
        <f aca="false">IFERROR(ciq($D464,"IQ_NET_DEBT"),"")</f>
        <v/>
      </c>
    </row>
    <row r="465" customFormat="false" ht="15" hidden="false" customHeight="false" outlineLevel="0" collapsed="false">
      <c r="A465" s="8" t="s">
        <v>2223</v>
      </c>
      <c r="B465" s="6" t="s">
        <v>2224</v>
      </c>
      <c r="C465" s="8" t="s">
        <v>73</v>
      </c>
      <c r="D465" s="8" t="s">
        <v>2225</v>
      </c>
      <c r="E465" s="8" t="s">
        <v>2226</v>
      </c>
      <c r="F465" s="8"/>
      <c r="G465" s="8" t="s">
        <v>58</v>
      </c>
      <c r="H465" s="8" t="s">
        <v>67</v>
      </c>
      <c r="I465" s="8"/>
      <c r="J465" s="8"/>
      <c r="K465" s="8"/>
      <c r="L465" s="8" t="s">
        <v>115</v>
      </c>
      <c r="M465" s="23" t="n">
        <v>3025</v>
      </c>
      <c r="N465" s="23" t="n">
        <v>3664.6485315</v>
      </c>
      <c r="O465" s="23" t="n">
        <v>4235.24339376</v>
      </c>
      <c r="P465" s="24" t="n">
        <v>169.8309002005</v>
      </c>
      <c r="Q465" s="24" t="n">
        <v>153.763927487</v>
      </c>
      <c r="R465" s="24" t="n">
        <v>153.763927487</v>
      </c>
      <c r="S465" s="25" t="n">
        <v>0.0463430254608852</v>
      </c>
      <c r="T465" s="26" t="n">
        <v>1.2027237399097</v>
      </c>
      <c r="U465" s="23" t="n">
        <v>2</v>
      </c>
      <c r="V465" s="26" t="n">
        <v>-0.04</v>
      </c>
      <c r="W465" s="26" t="n">
        <v>-0.0749070355547495</v>
      </c>
      <c r="X465" s="26" t="n">
        <v>-0.678581065928122</v>
      </c>
      <c r="Y465" s="26" t="n">
        <v>-0.506587284916635</v>
      </c>
      <c r="Z465" s="26" t="n">
        <v>0.0483829961389146</v>
      </c>
      <c r="AA465" s="26" t="n">
        <v>0.381037490760489</v>
      </c>
      <c r="AB465" s="26" t="n">
        <v>-0.838424525373872</v>
      </c>
      <c r="AC465" s="27" t="n">
        <v>0.161482215767621</v>
      </c>
      <c r="AD465" s="28" t="n">
        <f aca="false">Params!$B$6*Params!$B$7*$R465</f>
        <v>92.2583564922</v>
      </c>
      <c r="AE465" s="29" t="n">
        <f aca="false">MIN(Params!$B$9,AD465/Params!$B$4)</f>
        <v>0.06</v>
      </c>
      <c r="AF465" s="29" t="n">
        <f aca="false">MIN(Params!$B$9,AD465/Params!$B$5)</f>
        <v>0.06</v>
      </c>
      <c r="AG465" s="28" t="n">
        <f aca="false">IF($R465&gt;0,Params!$B$9*Params!$B$4/(Params!$B$6*$R465),"n/a")</f>
        <v>0.975521388218194</v>
      </c>
      <c r="AH465" s="28" t="n">
        <f aca="false">IF($R465&gt;0,Params!$B$9*Params!$B$5/(Params!$B$6*$R465),"n/a")</f>
        <v>1.95104277643639</v>
      </c>
      <c r="AI465" s="28" t="n">
        <f aca="false">IF($R465&gt;0,Params!$B$15*Params!$B$4/(Params!$B$6*$R465),"n/a")</f>
        <v>0.325173796072731</v>
      </c>
      <c r="AJ465" s="29" t="n">
        <f aca="false">MIN(Params!$B$9,AD465*Params!$B$8/Params!$B$4)</f>
        <v>0.06</v>
      </c>
      <c r="AK465" s="28" t="n">
        <f aca="false">IF($R465&gt;0,Params!$B$9*Params!$B$4/(Params!$B$6*$R465*Params!$B$8),"n/a")</f>
        <v>1.95104277643639</v>
      </c>
      <c r="AL465" s="27" t="str">
        <f aca="false">IFERROR(ciq($D465,"IQ_PE_EXCL"),"")</f>
        <v/>
      </c>
      <c r="AM465" s="27" t="str">
        <f aca="false">IFERROR(ciq($D465,"IQ_PE_EXCL_FWD_CIQ"),"")</f>
        <v/>
      </c>
      <c r="AN465" s="27" t="str">
        <f aca="false">IFERROR(ciq($D465,"IQ_PBV"),"")</f>
        <v/>
      </c>
      <c r="AO465" s="27" t="str">
        <f aca="false">IFERROR(ciq($D465,"IQ_TEV_EBITDA"),"")</f>
        <v/>
      </c>
      <c r="AP465" s="24" t="str">
        <f aca="false">IFERROR(ciq($D465,"IQ_RETURN_EQUITY"),"")</f>
        <v/>
      </c>
      <c r="AQ465" s="24" t="str">
        <f aca="false">IFERROR(ciq($D465,"IQ_RETURN_CAPITAL"),"")</f>
        <v/>
      </c>
      <c r="AR465" s="24" t="str">
        <f aca="false">IFERROR(ciq($D465,"IQ_TOTAL_REV_1YR_ANN_GROWTH"),"")</f>
        <v/>
      </c>
      <c r="AS465" s="24" t="str">
        <f aca="false">IFERROR(ciq($D465,"IQ_EPS_1YR_ANN_GROWTH"),"")</f>
        <v/>
      </c>
      <c r="AT465" s="24" t="str">
        <f aca="false">IFERROR(ciq($D465,"IQ_DIVIDEND_YIELD"),"")</f>
        <v/>
      </c>
      <c r="AU465" s="24" t="str">
        <f aca="false">IFERROR(ciq($D465,"IQ_NET_DEBT"),"")</f>
        <v/>
      </c>
    </row>
    <row r="466" customFormat="false" ht="15" hidden="false" customHeight="false" outlineLevel="0" collapsed="false">
      <c r="A466" s="8" t="s">
        <v>2227</v>
      </c>
      <c r="B466" s="6" t="s">
        <v>2228</v>
      </c>
      <c r="C466" s="8" t="s">
        <v>73</v>
      </c>
      <c r="D466" s="8" t="s">
        <v>2229</v>
      </c>
      <c r="E466" s="8" t="s">
        <v>2230</v>
      </c>
      <c r="F466" s="8"/>
      <c r="G466" s="8" t="s">
        <v>58</v>
      </c>
      <c r="H466" s="8" t="s">
        <v>67</v>
      </c>
      <c r="I466" s="8"/>
      <c r="J466" s="8"/>
      <c r="K466" s="8"/>
      <c r="L466" s="8" t="s">
        <v>115</v>
      </c>
      <c r="M466" s="23" t="n">
        <v>10030</v>
      </c>
      <c r="N466" s="23" t="n">
        <v>3661.1859056</v>
      </c>
      <c r="O466" s="23" t="n">
        <v>3845.70529496</v>
      </c>
      <c r="P466" s="24" t="n">
        <v>285.3173356875</v>
      </c>
      <c r="Q466" s="24" t="n">
        <v>139.681463683333</v>
      </c>
      <c r="R466" s="24" t="n">
        <v>139.681463683333</v>
      </c>
      <c r="S466" s="25" t="n">
        <v>0.0779303053830428</v>
      </c>
      <c r="T466" s="26" t="n">
        <v>1.13406999658422</v>
      </c>
      <c r="U466" s="23" t="n">
        <v>3</v>
      </c>
      <c r="V466" s="26" t="n">
        <v>-0.04</v>
      </c>
      <c r="W466" s="26" t="n">
        <v>0.135883145109955</v>
      </c>
      <c r="X466" s="26" t="n">
        <v>-0.150027270345203</v>
      </c>
      <c r="Y466" s="26" t="n">
        <v>-0.360680714076309</v>
      </c>
      <c r="Z466" s="26" t="n">
        <v>-0.481425717483861</v>
      </c>
      <c r="AA466" s="26" t="n">
        <v>0.978505591826406</v>
      </c>
      <c r="AB466" s="26" t="n">
        <v>-0.581939972297825</v>
      </c>
      <c r="AC466" s="27" t="n">
        <v>1.47480165668886</v>
      </c>
      <c r="AD466" s="28" t="n">
        <f aca="false">Params!$B$6*Params!$B$7*$R466</f>
        <v>83.80887821</v>
      </c>
      <c r="AE466" s="29" t="n">
        <f aca="false">MIN(Params!$B$9,AD466/Params!$B$4)</f>
        <v>0.06</v>
      </c>
      <c r="AF466" s="29" t="n">
        <f aca="false">MIN(Params!$B$9,AD466/Params!$B$5)</f>
        <v>0.06</v>
      </c>
      <c r="AG466" s="28" t="n">
        <f aca="false">IF($R466&gt;0,Params!$B$9*Params!$B$4/(Params!$B$6*$R466),"n/a")</f>
        <v>1.0738719085881</v>
      </c>
      <c r="AH466" s="28" t="n">
        <f aca="false">IF($R466&gt;0,Params!$B$9*Params!$B$5/(Params!$B$6*$R466),"n/a")</f>
        <v>2.14774381717619</v>
      </c>
      <c r="AI466" s="28" t="n">
        <f aca="false">IF($R466&gt;0,Params!$B$15*Params!$B$4/(Params!$B$6*$R466),"n/a")</f>
        <v>0.357957302862699</v>
      </c>
      <c r="AJ466" s="29" t="n">
        <f aca="false">MIN(Params!$B$9,AD466*Params!$B$8/Params!$B$4)</f>
        <v>0.06</v>
      </c>
      <c r="AK466" s="28" t="n">
        <f aca="false">IF($R466&gt;0,Params!$B$9*Params!$B$4/(Params!$B$6*$R466*Params!$B$8),"n/a")</f>
        <v>2.14774381717619</v>
      </c>
      <c r="AL466" s="27" t="str">
        <f aca="false">IFERROR(ciq($D466,"IQ_PE_EXCL"),"")</f>
        <v/>
      </c>
      <c r="AM466" s="27" t="str">
        <f aca="false">IFERROR(ciq($D466,"IQ_PE_EXCL_FWD_CIQ"),"")</f>
        <v/>
      </c>
      <c r="AN466" s="27" t="str">
        <f aca="false">IFERROR(ciq($D466,"IQ_PBV"),"")</f>
        <v/>
      </c>
      <c r="AO466" s="27" t="str">
        <f aca="false">IFERROR(ciq($D466,"IQ_TEV_EBITDA"),"")</f>
        <v/>
      </c>
      <c r="AP466" s="24" t="str">
        <f aca="false">IFERROR(ciq($D466,"IQ_RETURN_EQUITY"),"")</f>
        <v/>
      </c>
      <c r="AQ466" s="24" t="str">
        <f aca="false">IFERROR(ciq($D466,"IQ_RETURN_CAPITAL"),"")</f>
        <v/>
      </c>
      <c r="AR466" s="24" t="str">
        <f aca="false">IFERROR(ciq($D466,"IQ_TOTAL_REV_1YR_ANN_GROWTH"),"")</f>
        <v/>
      </c>
      <c r="AS466" s="24" t="str">
        <f aca="false">IFERROR(ciq($D466,"IQ_EPS_1YR_ANN_GROWTH"),"")</f>
        <v/>
      </c>
      <c r="AT466" s="24" t="str">
        <f aca="false">IFERROR(ciq($D466,"IQ_DIVIDEND_YIELD"),"")</f>
        <v/>
      </c>
      <c r="AU466" s="24" t="str">
        <f aca="false">IFERROR(ciq($D466,"IQ_NET_DEBT"),"")</f>
        <v/>
      </c>
    </row>
    <row r="467" customFormat="false" ht="15" hidden="false" customHeight="false" outlineLevel="0" collapsed="false">
      <c r="A467" s="8" t="s">
        <v>2231</v>
      </c>
      <c r="B467" s="6" t="s">
        <v>2232</v>
      </c>
      <c r="C467" s="8" t="s">
        <v>73</v>
      </c>
      <c r="D467" s="8" t="s">
        <v>2233</v>
      </c>
      <c r="E467" s="8" t="s">
        <v>2234</v>
      </c>
      <c r="F467" s="6" t="s">
        <v>572</v>
      </c>
      <c r="G467" s="8" t="s">
        <v>58</v>
      </c>
      <c r="H467" s="8" t="s">
        <v>67</v>
      </c>
      <c r="I467" s="8"/>
      <c r="J467" s="8"/>
      <c r="K467" s="8"/>
      <c r="L467" s="8" t="s">
        <v>514</v>
      </c>
      <c r="M467" s="23" t="n">
        <v>39700</v>
      </c>
      <c r="N467" s="23" t="n">
        <v>3598.783562</v>
      </c>
      <c r="O467" s="23" t="n">
        <v>3356.52288015</v>
      </c>
      <c r="P467" s="24" t="n">
        <v>47.704592325</v>
      </c>
      <c r="Q467" s="24" t="n">
        <v>33.7069274</v>
      </c>
      <c r="R467" s="24" t="n">
        <v>33.7069274</v>
      </c>
      <c r="S467" s="25" t="n">
        <v>0.0132557547580018</v>
      </c>
      <c r="T467" s="26" t="n">
        <v>0.978060591863271</v>
      </c>
      <c r="U467" s="23" t="n">
        <v>2</v>
      </c>
      <c r="V467" s="26" t="n">
        <v>-0.04</v>
      </c>
      <c r="W467" s="26" t="n">
        <v>0.201092706319443</v>
      </c>
      <c r="X467" s="26" t="n">
        <v>-0.0493677936035146</v>
      </c>
      <c r="Y467" s="26" t="n">
        <v>-0.309752933298016</v>
      </c>
      <c r="Z467" s="26" t="n">
        <v>-0.154693857349826</v>
      </c>
      <c r="AA467" s="26" t="n">
        <v>0.221250177732851</v>
      </c>
      <c r="AB467" s="26" t="n">
        <v>-0.452523479691287</v>
      </c>
      <c r="AC467" s="27" t="n">
        <v>0.51376124896735</v>
      </c>
      <c r="AD467" s="28" t="n">
        <f aca="false">Params!$B$6*Params!$B$7*$R467</f>
        <v>20.22415644</v>
      </c>
      <c r="AE467" s="29" t="n">
        <f aca="false">MIN(Params!$B$9,AD467/Params!$B$4)</f>
        <v>0.04044831288</v>
      </c>
      <c r="AF467" s="29" t="n">
        <f aca="false">MIN(Params!$B$9,AD467/Params!$B$5)</f>
        <v>0.02022415644</v>
      </c>
      <c r="AG467" s="28" t="n">
        <f aca="false">IF($R467&gt;0,Params!$B$9*Params!$B$4/(Params!$B$6*$R467),"n/a")</f>
        <v>4.45012380452097</v>
      </c>
      <c r="AH467" s="28" t="n">
        <f aca="false">IF($R467&gt;0,Params!$B$9*Params!$B$5/(Params!$B$6*$R467),"n/a")</f>
        <v>8.90024760904193</v>
      </c>
      <c r="AI467" s="28" t="n">
        <f aca="false">IF($R467&gt;0,Params!$B$15*Params!$B$4/(Params!$B$6*$R467),"n/a")</f>
        <v>1.48337460150699</v>
      </c>
      <c r="AJ467" s="29" t="n">
        <f aca="false">MIN(Params!$B$9,AD467*Params!$B$8/Params!$B$4)</f>
        <v>0.02022415644</v>
      </c>
      <c r="AK467" s="28" t="n">
        <f aca="false">IF($R467&gt;0,Params!$B$9*Params!$B$4/(Params!$B$6*$R467*Params!$B$8),"n/a")</f>
        <v>8.90024760904193</v>
      </c>
      <c r="AL467" s="27" t="str">
        <f aca="false">IFERROR(ciq($D467,"IQ_PE_EXCL"),"")</f>
        <v/>
      </c>
      <c r="AM467" s="27" t="str">
        <f aca="false">IFERROR(ciq($D467,"IQ_PE_EXCL_FWD_CIQ"),"")</f>
        <v/>
      </c>
      <c r="AN467" s="27" t="str">
        <f aca="false">IFERROR(ciq($D467,"IQ_PBV"),"")</f>
        <v/>
      </c>
      <c r="AO467" s="27" t="str">
        <f aca="false">IFERROR(ciq($D467,"IQ_TEV_EBITDA"),"")</f>
        <v/>
      </c>
      <c r="AP467" s="24" t="str">
        <f aca="false">IFERROR(ciq($D467,"IQ_RETURN_EQUITY"),"")</f>
        <v/>
      </c>
      <c r="AQ467" s="24" t="str">
        <f aca="false">IFERROR(ciq($D467,"IQ_RETURN_CAPITAL"),"")</f>
        <v/>
      </c>
      <c r="AR467" s="24" t="str">
        <f aca="false">IFERROR(ciq($D467,"IQ_TOTAL_REV_1YR_ANN_GROWTH"),"")</f>
        <v/>
      </c>
      <c r="AS467" s="24" t="str">
        <f aca="false">IFERROR(ciq($D467,"IQ_EPS_1YR_ANN_GROWTH"),"")</f>
        <v/>
      </c>
      <c r="AT467" s="24" t="str">
        <f aca="false">IFERROR(ciq($D467,"IQ_DIVIDEND_YIELD"),"")</f>
        <v/>
      </c>
      <c r="AU467" s="24" t="str">
        <f aca="false">IFERROR(ciq($D467,"IQ_NET_DEBT"),"")</f>
        <v/>
      </c>
    </row>
    <row r="468" customFormat="false" ht="15" hidden="false" customHeight="false" outlineLevel="0" collapsed="false">
      <c r="A468" s="8" t="s">
        <v>2235</v>
      </c>
      <c r="B468" s="6" t="s">
        <v>2236</v>
      </c>
      <c r="C468" s="8" t="s">
        <v>72</v>
      </c>
      <c r="D468" s="8" t="s">
        <v>2237</v>
      </c>
      <c r="E468" s="8" t="s">
        <v>2238</v>
      </c>
      <c r="F468" s="8"/>
      <c r="G468" s="8" t="s">
        <v>58</v>
      </c>
      <c r="H468" s="8" t="s">
        <v>67</v>
      </c>
      <c r="I468" s="8"/>
      <c r="J468" s="8"/>
      <c r="K468" s="8"/>
      <c r="L468" s="8" t="s">
        <v>241</v>
      </c>
      <c r="M468" s="23" t="n">
        <v>48150</v>
      </c>
      <c r="N468" s="23" t="n">
        <v>3580.371405</v>
      </c>
      <c r="O468" s="23" t="n">
        <v>3805.678266</v>
      </c>
      <c r="P468" s="24" t="n">
        <v>57.349716875</v>
      </c>
      <c r="Q468" s="24" t="n">
        <v>27.1930530458333</v>
      </c>
      <c r="R468" s="24" t="n">
        <v>27.1930530458333</v>
      </c>
      <c r="S468" s="25" t="n">
        <v>0.0160178122288964</v>
      </c>
      <c r="T468" s="26" t="n">
        <v>1.09160636190704</v>
      </c>
      <c r="U468" s="23" t="n">
        <v>1</v>
      </c>
      <c r="V468" s="26" t="n">
        <v>-0.06</v>
      </c>
      <c r="W468" s="26" t="n">
        <v>0.0881370859206572</v>
      </c>
      <c r="X468" s="26" t="n">
        <v>-0.0669860102804727</v>
      </c>
      <c r="Y468" s="26" t="n">
        <v>-0.444040206960054</v>
      </c>
      <c r="Z468" s="26" t="n">
        <v>-0.0828020617255293</v>
      </c>
      <c r="AA468" s="26"/>
      <c r="AB468" s="26" t="n">
        <v>-0.662647354054344</v>
      </c>
      <c r="AC468" s="27" t="n">
        <v>1.02087365384107</v>
      </c>
      <c r="AD468" s="28" t="n">
        <f aca="false">Params!$B$6*Params!$B$7*$R468</f>
        <v>16.3158318275</v>
      </c>
      <c r="AE468" s="29" t="n">
        <f aca="false">MIN(Params!$B$9,AD468/Params!$B$4)</f>
        <v>0.032631663655</v>
      </c>
      <c r="AF468" s="29" t="n">
        <f aca="false">MIN(Params!$B$9,AD468/Params!$B$5)</f>
        <v>0.0163158318275</v>
      </c>
      <c r="AG468" s="28" t="n">
        <f aca="false">IF($R468&gt;0,Params!$B$9*Params!$B$4/(Params!$B$6*$R468),"n/a")</f>
        <v>5.51611471309154</v>
      </c>
      <c r="AH468" s="28" t="n">
        <f aca="false">IF($R468&gt;0,Params!$B$9*Params!$B$5/(Params!$B$6*$R468),"n/a")</f>
        <v>11.0322294261831</v>
      </c>
      <c r="AI468" s="28" t="n">
        <f aca="false">IF($R468&gt;0,Params!$B$15*Params!$B$4/(Params!$B$6*$R468),"n/a")</f>
        <v>1.83870490436385</v>
      </c>
      <c r="AJ468" s="29" t="n">
        <f aca="false">MIN(Params!$B$9,AD468*Params!$B$8/Params!$B$4)</f>
        <v>0.0163158318275</v>
      </c>
      <c r="AK468" s="28" t="n">
        <f aca="false">IF($R468&gt;0,Params!$B$9*Params!$B$4/(Params!$B$6*$R468*Params!$B$8),"n/a")</f>
        <v>11.0322294261831</v>
      </c>
      <c r="AL468" s="27" t="str">
        <f aca="false">IFERROR(ciq($D468,"IQ_PE_EXCL"),"")</f>
        <v/>
      </c>
      <c r="AM468" s="27" t="str">
        <f aca="false">IFERROR(ciq($D468,"IQ_PE_EXCL_FWD_CIQ"),"")</f>
        <v/>
      </c>
      <c r="AN468" s="27" t="str">
        <f aca="false">IFERROR(ciq($D468,"IQ_PBV"),"")</f>
        <v/>
      </c>
      <c r="AO468" s="27" t="str">
        <f aca="false">IFERROR(ciq($D468,"IQ_TEV_EBITDA"),"")</f>
        <v/>
      </c>
      <c r="AP468" s="24" t="str">
        <f aca="false">IFERROR(ciq($D468,"IQ_RETURN_EQUITY"),"")</f>
        <v/>
      </c>
      <c r="AQ468" s="24" t="str">
        <f aca="false">IFERROR(ciq($D468,"IQ_RETURN_CAPITAL"),"")</f>
        <v/>
      </c>
      <c r="AR468" s="24" t="str">
        <f aca="false">IFERROR(ciq($D468,"IQ_TOTAL_REV_1YR_ANN_GROWTH"),"")</f>
        <v/>
      </c>
      <c r="AS468" s="24" t="str">
        <f aca="false">IFERROR(ciq($D468,"IQ_EPS_1YR_ANN_GROWTH"),"")</f>
        <v/>
      </c>
      <c r="AT468" s="24" t="str">
        <f aca="false">IFERROR(ciq($D468,"IQ_DIVIDEND_YIELD"),"")</f>
        <v/>
      </c>
      <c r="AU468" s="24" t="str">
        <f aca="false">IFERROR(ciq($D468,"IQ_NET_DEBT"),"")</f>
        <v/>
      </c>
    </row>
    <row r="469" customFormat="false" ht="15" hidden="false" customHeight="false" outlineLevel="0" collapsed="false">
      <c r="A469" s="8" t="s">
        <v>2239</v>
      </c>
      <c r="B469" s="6" t="s">
        <v>2240</v>
      </c>
      <c r="C469" s="8" t="s">
        <v>73</v>
      </c>
      <c r="D469" s="8" t="s">
        <v>2241</v>
      </c>
      <c r="E469" s="8" t="s">
        <v>2242</v>
      </c>
      <c r="F469" s="6" t="s">
        <v>627</v>
      </c>
      <c r="G469" s="8" t="s">
        <v>58</v>
      </c>
      <c r="H469" s="8" t="s">
        <v>67</v>
      </c>
      <c r="I469" s="8"/>
      <c r="J469" s="8"/>
      <c r="K469" s="8"/>
      <c r="L469" s="8" t="s">
        <v>115</v>
      </c>
      <c r="M469" s="23" t="n">
        <v>21200</v>
      </c>
      <c r="N469" s="23" t="n">
        <v>3516.011944</v>
      </c>
      <c r="O469" s="23" t="n">
        <v>3837.7602068</v>
      </c>
      <c r="P469" s="24" t="n">
        <v>37.7026591</v>
      </c>
      <c r="Q469" s="24" t="n">
        <v>60.8686166041667</v>
      </c>
      <c r="R469" s="24" t="n">
        <v>37.7026591</v>
      </c>
      <c r="S469" s="25" t="n">
        <v>0.0107231316902489</v>
      </c>
      <c r="T469" s="26" t="n">
        <v>1.28351524086215</v>
      </c>
      <c r="U469" s="23" t="n">
        <v>4</v>
      </c>
      <c r="V469" s="26" t="n">
        <v>-0.04</v>
      </c>
      <c r="W469" s="26" t="n">
        <v>-0.0364082539799687</v>
      </c>
      <c r="X469" s="26" t="n">
        <v>-0.409526996823003</v>
      </c>
      <c r="Y469" s="26" t="n">
        <v>-0.173696061905997</v>
      </c>
      <c r="Z469" s="26" t="n">
        <v>-0.0256894438285855</v>
      </c>
      <c r="AA469" s="26" t="n">
        <v>0.832133473502685</v>
      </c>
      <c r="AB469" s="26" t="n">
        <v>-0.580308196653339</v>
      </c>
      <c r="AC469" s="27" t="n">
        <v>0.506783790670952</v>
      </c>
      <c r="AD469" s="28" t="n">
        <f aca="false">Params!$B$6*Params!$B$7*$R469</f>
        <v>22.62159546</v>
      </c>
      <c r="AE469" s="29" t="n">
        <f aca="false">MIN(Params!$B$9,AD469/Params!$B$4)</f>
        <v>0.04524319092</v>
      </c>
      <c r="AF469" s="29" t="n">
        <f aca="false">MIN(Params!$B$9,AD469/Params!$B$5)</f>
        <v>0.02262159546</v>
      </c>
      <c r="AG469" s="28" t="n">
        <f aca="false">IF($R469&gt;0,Params!$B$9*Params!$B$4/(Params!$B$6*$R469),"n/a")</f>
        <v>3.97849922474036</v>
      </c>
      <c r="AH469" s="28" t="n">
        <f aca="false">IF($R469&gt;0,Params!$B$9*Params!$B$5/(Params!$B$6*$R469),"n/a")</f>
        <v>7.95699844948072</v>
      </c>
      <c r="AI469" s="28" t="n">
        <f aca="false">IF($R469&gt;0,Params!$B$15*Params!$B$4/(Params!$B$6*$R469),"n/a")</f>
        <v>1.32616640824679</v>
      </c>
      <c r="AJ469" s="29" t="n">
        <f aca="false">MIN(Params!$B$9,AD469*Params!$B$8/Params!$B$4)</f>
        <v>0.02262159546</v>
      </c>
      <c r="AK469" s="28" t="n">
        <f aca="false">IF($R469&gt;0,Params!$B$9*Params!$B$4/(Params!$B$6*$R469*Params!$B$8),"n/a")</f>
        <v>7.95699844948072</v>
      </c>
      <c r="AL469" s="27" t="str">
        <f aca="false">IFERROR(ciq($D469,"IQ_PE_EXCL"),"")</f>
        <v/>
      </c>
      <c r="AM469" s="27" t="str">
        <f aca="false">IFERROR(ciq($D469,"IQ_PE_EXCL_FWD_CIQ"),"")</f>
        <v/>
      </c>
      <c r="AN469" s="27" t="str">
        <f aca="false">IFERROR(ciq($D469,"IQ_PBV"),"")</f>
        <v/>
      </c>
      <c r="AO469" s="27" t="str">
        <f aca="false">IFERROR(ciq($D469,"IQ_TEV_EBITDA"),"")</f>
        <v/>
      </c>
      <c r="AP469" s="24" t="str">
        <f aca="false">IFERROR(ciq($D469,"IQ_RETURN_EQUITY"),"")</f>
        <v/>
      </c>
      <c r="AQ469" s="24" t="str">
        <f aca="false">IFERROR(ciq($D469,"IQ_RETURN_CAPITAL"),"")</f>
        <v/>
      </c>
      <c r="AR469" s="24" t="str">
        <f aca="false">IFERROR(ciq($D469,"IQ_TOTAL_REV_1YR_ANN_GROWTH"),"")</f>
        <v/>
      </c>
      <c r="AS469" s="24" t="str">
        <f aca="false">IFERROR(ciq($D469,"IQ_EPS_1YR_ANN_GROWTH"),"")</f>
        <v/>
      </c>
      <c r="AT469" s="24" t="str">
        <f aca="false">IFERROR(ciq($D469,"IQ_DIVIDEND_YIELD"),"")</f>
        <v/>
      </c>
      <c r="AU469" s="24" t="str">
        <f aca="false">IFERROR(ciq($D469,"IQ_NET_DEBT"),"")</f>
        <v/>
      </c>
    </row>
    <row r="470" customFormat="false" ht="15" hidden="false" customHeight="false" outlineLevel="0" collapsed="false">
      <c r="A470" s="8" t="s">
        <v>2243</v>
      </c>
      <c r="B470" s="6" t="s">
        <v>2244</v>
      </c>
      <c r="C470" s="8" t="s">
        <v>73</v>
      </c>
      <c r="D470" s="8" t="s">
        <v>2245</v>
      </c>
      <c r="E470" s="8" t="s">
        <v>2246</v>
      </c>
      <c r="F470" s="6" t="s">
        <v>523</v>
      </c>
      <c r="G470" s="8" t="s">
        <v>58</v>
      </c>
      <c r="H470" s="8" t="s">
        <v>67</v>
      </c>
      <c r="I470" s="8"/>
      <c r="J470" s="8"/>
      <c r="K470" s="8"/>
      <c r="L470" s="8" t="s">
        <v>241</v>
      </c>
      <c r="M470" s="23" t="n">
        <v>3780</v>
      </c>
      <c r="N470" s="23" t="n">
        <v>3485.2432734</v>
      </c>
      <c r="O470" s="23" t="n">
        <v>3769.91317895</v>
      </c>
      <c r="P470" s="24" t="n">
        <v>33.579827105</v>
      </c>
      <c r="Q470" s="24" t="n">
        <v>38.6930999343333</v>
      </c>
      <c r="R470" s="24" t="n">
        <v>33.579827105</v>
      </c>
      <c r="S470" s="25" t="n">
        <v>0.00963485888095309</v>
      </c>
      <c r="T470" s="26" t="n">
        <v>0.956845080070038</v>
      </c>
      <c r="U470" s="23" t="n">
        <v>0</v>
      </c>
      <c r="V470" s="26" t="n">
        <v>-0.06</v>
      </c>
      <c r="W470" s="26" t="n">
        <v>-0.0333344128618446</v>
      </c>
      <c r="X470" s="26" t="n">
        <v>-0.134148703309483</v>
      </c>
      <c r="Y470" s="26" t="n">
        <v>-0.407517767547222</v>
      </c>
      <c r="Z470" s="26" t="n">
        <v>-0.377366603207896</v>
      </c>
      <c r="AA470" s="26" t="n">
        <v>-0.404171686394911</v>
      </c>
      <c r="AB470" s="26" t="n">
        <v>-0.52693507879967</v>
      </c>
      <c r="AC470" s="27" t="n">
        <v>0.912809723441155</v>
      </c>
      <c r="AD470" s="28" t="n">
        <f aca="false">Params!$B$6*Params!$B$7*$R470</f>
        <v>20.147896263</v>
      </c>
      <c r="AE470" s="29" t="n">
        <f aca="false">MIN(Params!$B$9,AD470/Params!$B$4)</f>
        <v>0.040295792526</v>
      </c>
      <c r="AF470" s="29" t="n">
        <f aca="false">MIN(Params!$B$9,AD470/Params!$B$5)</f>
        <v>0.020147896263</v>
      </c>
      <c r="AG470" s="28" t="n">
        <f aca="false">IF($R470&gt;0,Params!$B$9*Params!$B$4/(Params!$B$6*$R470),"n/a")</f>
        <v>4.46696760918299</v>
      </c>
      <c r="AH470" s="28" t="n">
        <f aca="false">IF($R470&gt;0,Params!$B$9*Params!$B$5/(Params!$B$6*$R470),"n/a")</f>
        <v>8.93393521836598</v>
      </c>
      <c r="AI470" s="28" t="n">
        <f aca="false">IF($R470&gt;0,Params!$B$15*Params!$B$4/(Params!$B$6*$R470),"n/a")</f>
        <v>1.488989203061</v>
      </c>
      <c r="AJ470" s="29" t="n">
        <f aca="false">MIN(Params!$B$9,AD470*Params!$B$8/Params!$B$4)</f>
        <v>0.020147896263</v>
      </c>
      <c r="AK470" s="28" t="n">
        <f aca="false">IF($R470&gt;0,Params!$B$9*Params!$B$4/(Params!$B$6*$R470*Params!$B$8),"n/a")</f>
        <v>8.93393521836598</v>
      </c>
      <c r="AL470" s="27" t="str">
        <f aca="false">IFERROR(ciq($D470,"IQ_PE_EXCL"),"")</f>
        <v/>
      </c>
      <c r="AM470" s="27" t="str">
        <f aca="false">IFERROR(ciq($D470,"IQ_PE_EXCL_FWD_CIQ"),"")</f>
        <v/>
      </c>
      <c r="AN470" s="27" t="str">
        <f aca="false">IFERROR(ciq($D470,"IQ_PBV"),"")</f>
        <v/>
      </c>
      <c r="AO470" s="27" t="str">
        <f aca="false">IFERROR(ciq($D470,"IQ_TEV_EBITDA"),"")</f>
        <v/>
      </c>
      <c r="AP470" s="24" t="str">
        <f aca="false">IFERROR(ciq($D470,"IQ_RETURN_EQUITY"),"")</f>
        <v/>
      </c>
      <c r="AQ470" s="24" t="str">
        <f aca="false">IFERROR(ciq($D470,"IQ_RETURN_CAPITAL"),"")</f>
        <v/>
      </c>
      <c r="AR470" s="24" t="str">
        <f aca="false">IFERROR(ciq($D470,"IQ_TOTAL_REV_1YR_ANN_GROWTH"),"")</f>
        <v/>
      </c>
      <c r="AS470" s="24" t="str">
        <f aca="false">IFERROR(ciq($D470,"IQ_EPS_1YR_ANN_GROWTH"),"")</f>
        <v/>
      </c>
      <c r="AT470" s="24" t="str">
        <f aca="false">IFERROR(ciq($D470,"IQ_DIVIDEND_YIELD"),"")</f>
        <v/>
      </c>
      <c r="AU470" s="24" t="str">
        <f aca="false">IFERROR(ciq($D470,"IQ_NET_DEBT"),"")</f>
        <v/>
      </c>
    </row>
    <row r="471" customFormat="false" ht="15" hidden="false" customHeight="false" outlineLevel="0" collapsed="false">
      <c r="A471" s="8" t="s">
        <v>2247</v>
      </c>
      <c r="B471" s="6" t="s">
        <v>2248</v>
      </c>
      <c r="C471" s="8" t="s">
        <v>73</v>
      </c>
      <c r="D471" s="8" t="s">
        <v>2249</v>
      </c>
      <c r="E471" s="8" t="s">
        <v>2250</v>
      </c>
      <c r="F471" s="6" t="s">
        <v>619</v>
      </c>
      <c r="G471" s="8" t="s">
        <v>58</v>
      </c>
      <c r="H471" s="8" t="s">
        <v>67</v>
      </c>
      <c r="I471" s="8"/>
      <c r="J471" s="8"/>
      <c r="K471" s="8"/>
      <c r="L471" s="8" t="s">
        <v>514</v>
      </c>
      <c r="M471" s="23" t="n">
        <v>32750</v>
      </c>
      <c r="N471" s="23" t="n">
        <v>3459.751265</v>
      </c>
      <c r="O471" s="23" t="n">
        <v>3870.95986955</v>
      </c>
      <c r="P471" s="24" t="n">
        <v>90.2093460375</v>
      </c>
      <c r="Q471" s="24" t="n">
        <v>153.258646541667</v>
      </c>
      <c r="R471" s="24" t="n">
        <v>90.2093460375</v>
      </c>
      <c r="S471" s="25" t="n">
        <v>0.0260739397511283</v>
      </c>
      <c r="T471" s="26" t="n">
        <v>1.39396807788754</v>
      </c>
      <c r="U471" s="23" t="n">
        <v>4</v>
      </c>
      <c r="V471" s="26" t="n">
        <v>-0.04</v>
      </c>
      <c r="W471" s="26" t="n">
        <v>-0.150436481628674</v>
      </c>
      <c r="X471" s="26" t="n">
        <v>-0.357998711954992</v>
      </c>
      <c r="Y471" s="26" t="n">
        <v>0.45524206784802</v>
      </c>
      <c r="Z471" s="26" t="n">
        <v>0.705895962060189</v>
      </c>
      <c r="AA471" s="26" t="n">
        <v>1.68279112442325</v>
      </c>
      <c r="AB471" s="26" t="n">
        <v>-0.433559036330737</v>
      </c>
      <c r="AC471" s="27" t="n">
        <v>0.631393407589036</v>
      </c>
      <c r="AD471" s="28" t="n">
        <f aca="false">Params!$B$6*Params!$B$7*$R471</f>
        <v>54.1256076225</v>
      </c>
      <c r="AE471" s="29" t="n">
        <f aca="false">MIN(Params!$B$9,AD471/Params!$B$4)</f>
        <v>0.06</v>
      </c>
      <c r="AF471" s="29" t="n">
        <f aca="false">MIN(Params!$B$9,AD471/Params!$B$5)</f>
        <v>0.0541256076225</v>
      </c>
      <c r="AG471" s="28" t="n">
        <f aca="false">IF($R471&gt;0,Params!$B$9*Params!$B$4/(Params!$B$6*$R471),"n/a")</f>
        <v>1.66279888491426</v>
      </c>
      <c r="AH471" s="28" t="n">
        <f aca="false">IF($R471&gt;0,Params!$B$9*Params!$B$5/(Params!$B$6*$R471),"n/a")</f>
        <v>3.32559776982853</v>
      </c>
      <c r="AI471" s="28" t="n">
        <f aca="false">IF($R471&gt;0,Params!$B$15*Params!$B$4/(Params!$B$6*$R471),"n/a")</f>
        <v>0.554266294971421</v>
      </c>
      <c r="AJ471" s="29" t="n">
        <f aca="false">MIN(Params!$B$9,AD471*Params!$B$8/Params!$B$4)</f>
        <v>0.0541256076225</v>
      </c>
      <c r="AK471" s="28" t="n">
        <f aca="false">IF($R471&gt;0,Params!$B$9*Params!$B$4/(Params!$B$6*$R471*Params!$B$8),"n/a")</f>
        <v>3.32559776982853</v>
      </c>
      <c r="AL471" s="27" t="str">
        <f aca="false">IFERROR(ciq($D471,"IQ_PE_EXCL"),"")</f>
        <v/>
      </c>
      <c r="AM471" s="27" t="str">
        <f aca="false">IFERROR(ciq($D471,"IQ_PE_EXCL_FWD_CIQ"),"")</f>
        <v/>
      </c>
      <c r="AN471" s="27" t="str">
        <f aca="false">IFERROR(ciq($D471,"IQ_PBV"),"")</f>
        <v/>
      </c>
      <c r="AO471" s="27" t="str">
        <f aca="false">IFERROR(ciq($D471,"IQ_TEV_EBITDA"),"")</f>
        <v/>
      </c>
      <c r="AP471" s="24" t="str">
        <f aca="false">IFERROR(ciq($D471,"IQ_RETURN_EQUITY"),"")</f>
        <v/>
      </c>
      <c r="AQ471" s="24" t="str">
        <f aca="false">IFERROR(ciq($D471,"IQ_RETURN_CAPITAL"),"")</f>
        <v/>
      </c>
      <c r="AR471" s="24" t="str">
        <f aca="false">IFERROR(ciq($D471,"IQ_TOTAL_REV_1YR_ANN_GROWTH"),"")</f>
        <v/>
      </c>
      <c r="AS471" s="24" t="str">
        <f aca="false">IFERROR(ciq($D471,"IQ_EPS_1YR_ANN_GROWTH"),"")</f>
        <v/>
      </c>
      <c r="AT471" s="24" t="str">
        <f aca="false">IFERROR(ciq($D471,"IQ_DIVIDEND_YIELD"),"")</f>
        <v/>
      </c>
      <c r="AU471" s="24" t="str">
        <f aca="false">IFERROR(ciq($D471,"IQ_NET_DEBT"),"")</f>
        <v/>
      </c>
    </row>
    <row r="472" customFormat="false" ht="15" hidden="false" customHeight="false" outlineLevel="0" collapsed="false">
      <c r="A472" s="8" t="s">
        <v>2251</v>
      </c>
      <c r="B472" s="8" t="s">
        <v>2252</v>
      </c>
      <c r="C472" s="8" t="s">
        <v>73</v>
      </c>
      <c r="D472" s="8" t="s">
        <v>2253</v>
      </c>
      <c r="E472" s="8" t="s">
        <v>2254</v>
      </c>
      <c r="F472" s="8"/>
      <c r="G472" s="8" t="s">
        <v>58</v>
      </c>
      <c r="H472" s="8" t="s">
        <v>67</v>
      </c>
      <c r="I472" s="8"/>
      <c r="J472" s="8"/>
      <c r="K472" s="8"/>
      <c r="L472" s="8" t="s">
        <v>514</v>
      </c>
      <c r="M472" s="23" t="n">
        <v>7350</v>
      </c>
      <c r="N472" s="23" t="n">
        <v>3433.2998805</v>
      </c>
      <c r="O472" s="23" t="n">
        <v>4006.91787414</v>
      </c>
      <c r="P472" s="24" t="n">
        <v>422.06932682</v>
      </c>
      <c r="Q472" s="24" t="n">
        <v>266.965311953333</v>
      </c>
      <c r="R472" s="24" t="n">
        <v>266.965311953333</v>
      </c>
      <c r="S472" s="25" t="n">
        <v>0.122934011449805</v>
      </c>
      <c r="T472" s="26" t="n">
        <v>1.39268615934843</v>
      </c>
      <c r="U472" s="23" t="n">
        <v>3</v>
      </c>
      <c r="V472" s="26" t="n">
        <v>-0.04</v>
      </c>
      <c r="W472" s="26" t="n">
        <v>-0.217949943379921</v>
      </c>
      <c r="X472" s="26" t="n">
        <v>-0.124465351841519</v>
      </c>
      <c r="Y472" s="26" t="n">
        <v>0.374616755454575</v>
      </c>
      <c r="Z472" s="26" t="n">
        <v>0.162235143273008</v>
      </c>
      <c r="AA472" s="26" t="n">
        <v>0.679829626901116</v>
      </c>
      <c r="AB472" s="26" t="n">
        <v>-0.481414806425503</v>
      </c>
      <c r="AC472" s="27" t="n">
        <v>1.1384666400869</v>
      </c>
      <c r="AD472" s="28" t="n">
        <f aca="false">Params!$B$6*Params!$B$7*$R472</f>
        <v>160.179187172</v>
      </c>
      <c r="AE472" s="29" t="n">
        <f aca="false">MIN(Params!$B$9,AD472/Params!$B$4)</f>
        <v>0.06</v>
      </c>
      <c r="AF472" s="29" t="n">
        <f aca="false">MIN(Params!$B$9,AD472/Params!$B$5)</f>
        <v>0.06</v>
      </c>
      <c r="AG472" s="28" t="n">
        <f aca="false">IF($R472&gt;0,Params!$B$9*Params!$B$4/(Params!$B$6*$R472),"n/a")</f>
        <v>0.561870749808202</v>
      </c>
      <c r="AH472" s="28" t="n">
        <f aca="false">IF($R472&gt;0,Params!$B$9*Params!$B$5/(Params!$B$6*$R472),"n/a")</f>
        <v>1.1237414996164</v>
      </c>
      <c r="AI472" s="28" t="n">
        <f aca="false">IF($R472&gt;0,Params!$B$15*Params!$B$4/(Params!$B$6*$R472),"n/a")</f>
        <v>0.187290249936067</v>
      </c>
      <c r="AJ472" s="29" t="n">
        <f aca="false">MIN(Params!$B$9,AD472*Params!$B$8/Params!$B$4)</f>
        <v>0.06</v>
      </c>
      <c r="AK472" s="28" t="n">
        <f aca="false">IF($R472&gt;0,Params!$B$9*Params!$B$4/(Params!$B$6*$R472*Params!$B$8),"n/a")</f>
        <v>1.1237414996164</v>
      </c>
      <c r="AL472" s="27" t="str">
        <f aca="false">IFERROR(ciq($D472,"IQ_PE_EXCL"),"")</f>
        <v/>
      </c>
      <c r="AM472" s="27" t="str">
        <f aca="false">IFERROR(ciq($D472,"IQ_PE_EXCL_FWD_CIQ"),"")</f>
        <v/>
      </c>
      <c r="AN472" s="27" t="str">
        <f aca="false">IFERROR(ciq($D472,"IQ_PBV"),"")</f>
        <v/>
      </c>
      <c r="AO472" s="27" t="str">
        <f aca="false">IFERROR(ciq($D472,"IQ_TEV_EBITDA"),"")</f>
        <v/>
      </c>
      <c r="AP472" s="24" t="str">
        <f aca="false">IFERROR(ciq($D472,"IQ_RETURN_EQUITY"),"")</f>
        <v/>
      </c>
      <c r="AQ472" s="24" t="str">
        <f aca="false">IFERROR(ciq($D472,"IQ_RETURN_CAPITAL"),"")</f>
        <v/>
      </c>
      <c r="AR472" s="24" t="str">
        <f aca="false">IFERROR(ciq($D472,"IQ_TOTAL_REV_1YR_ANN_GROWTH"),"")</f>
        <v/>
      </c>
      <c r="AS472" s="24" t="str">
        <f aca="false">IFERROR(ciq($D472,"IQ_EPS_1YR_ANN_GROWTH"),"")</f>
        <v/>
      </c>
      <c r="AT472" s="24" t="str">
        <f aca="false">IFERROR(ciq($D472,"IQ_DIVIDEND_YIELD"),"")</f>
        <v/>
      </c>
      <c r="AU472" s="24" t="str">
        <f aca="false">IFERROR(ciq($D472,"IQ_NET_DEBT"),"")</f>
        <v/>
      </c>
    </row>
    <row r="473" customFormat="false" ht="15" hidden="false" customHeight="false" outlineLevel="0" collapsed="false">
      <c r="A473" s="8" t="s">
        <v>2255</v>
      </c>
      <c r="B473" s="6" t="s">
        <v>2256</v>
      </c>
      <c r="C473" s="8" t="s">
        <v>73</v>
      </c>
      <c r="D473" s="8" t="s">
        <v>2257</v>
      </c>
      <c r="E473" s="8" t="s">
        <v>2258</v>
      </c>
      <c r="F473" s="8"/>
      <c r="G473" s="8" t="s">
        <v>58</v>
      </c>
      <c r="H473" s="8" t="s">
        <v>67</v>
      </c>
      <c r="I473" s="8"/>
      <c r="J473" s="8"/>
      <c r="K473" s="8"/>
      <c r="L473" s="8" t="s">
        <v>241</v>
      </c>
      <c r="M473" s="23" t="n">
        <v>10100</v>
      </c>
      <c r="N473" s="23" t="n">
        <v>3418.157544</v>
      </c>
      <c r="O473" s="23" t="n">
        <v>3089.0329686</v>
      </c>
      <c r="P473" s="24" t="n">
        <v>29.88964101</v>
      </c>
      <c r="Q473" s="24" t="n">
        <v>23.5317897775</v>
      </c>
      <c r="R473" s="24" t="n">
        <v>23.5317897775</v>
      </c>
      <c r="S473" s="25" t="n">
        <v>0.00874437196801131</v>
      </c>
      <c r="T473" s="26" t="n">
        <v>0.870682540445878</v>
      </c>
      <c r="U473" s="23" t="n">
        <v>0</v>
      </c>
      <c r="V473" s="26" t="n">
        <v>-0.06</v>
      </c>
      <c r="W473" s="26" t="n">
        <v>0.374481245660631</v>
      </c>
      <c r="X473" s="26" t="n">
        <v>-0.200682913704903</v>
      </c>
      <c r="Y473" s="26" t="n">
        <v>-0.0231060611631551</v>
      </c>
      <c r="Z473" s="26" t="n">
        <v>0.618872826494193</v>
      </c>
      <c r="AA473" s="26" t="n">
        <v>0.306797717099804</v>
      </c>
      <c r="AB473" s="26" t="n">
        <v>-0.510845795726333</v>
      </c>
      <c r="AC473" s="27" t="n">
        <v>0.215096317678882</v>
      </c>
      <c r="AD473" s="28" t="n">
        <f aca="false">Params!$B$6*Params!$B$7*$R473</f>
        <v>14.1190738665</v>
      </c>
      <c r="AE473" s="29" t="n">
        <f aca="false">MIN(Params!$B$9,AD473/Params!$B$4)</f>
        <v>0.028238147733</v>
      </c>
      <c r="AF473" s="29" t="n">
        <f aca="false">MIN(Params!$B$9,AD473/Params!$B$5)</f>
        <v>0.0141190738665</v>
      </c>
      <c r="AG473" s="28" t="n">
        <f aca="false">IF($R473&gt;0,Params!$B$9*Params!$B$4/(Params!$B$6*$R473),"n/a")</f>
        <v>6.37435577226782</v>
      </c>
      <c r="AH473" s="28" t="n">
        <f aca="false">IF($R473&gt;0,Params!$B$9*Params!$B$5/(Params!$B$6*$R473),"n/a")</f>
        <v>12.7487115445356</v>
      </c>
      <c r="AI473" s="28" t="n">
        <f aca="false">IF($R473&gt;0,Params!$B$15*Params!$B$4/(Params!$B$6*$R473),"n/a")</f>
        <v>2.12478525742261</v>
      </c>
      <c r="AJ473" s="29" t="n">
        <f aca="false">MIN(Params!$B$9,AD473*Params!$B$8/Params!$B$4)</f>
        <v>0.0141190738665</v>
      </c>
      <c r="AK473" s="28" t="n">
        <f aca="false">IF($R473&gt;0,Params!$B$9*Params!$B$4/(Params!$B$6*$R473*Params!$B$8),"n/a")</f>
        <v>12.7487115445356</v>
      </c>
      <c r="AL473" s="27" t="str">
        <f aca="false">IFERROR(ciq($D473,"IQ_PE_EXCL"),"")</f>
        <v/>
      </c>
      <c r="AM473" s="27" t="str">
        <f aca="false">IFERROR(ciq($D473,"IQ_PE_EXCL_FWD_CIQ"),"")</f>
        <v/>
      </c>
      <c r="AN473" s="27" t="str">
        <f aca="false">IFERROR(ciq($D473,"IQ_PBV"),"")</f>
        <v/>
      </c>
      <c r="AO473" s="27" t="str">
        <f aca="false">IFERROR(ciq($D473,"IQ_TEV_EBITDA"),"")</f>
        <v/>
      </c>
      <c r="AP473" s="24" t="str">
        <f aca="false">IFERROR(ciq($D473,"IQ_RETURN_EQUITY"),"")</f>
        <v/>
      </c>
      <c r="AQ473" s="24" t="str">
        <f aca="false">IFERROR(ciq($D473,"IQ_RETURN_CAPITAL"),"")</f>
        <v/>
      </c>
      <c r="AR473" s="24" t="str">
        <f aca="false">IFERROR(ciq($D473,"IQ_TOTAL_REV_1YR_ANN_GROWTH"),"")</f>
        <v/>
      </c>
      <c r="AS473" s="24" t="str">
        <f aca="false">IFERROR(ciq($D473,"IQ_EPS_1YR_ANN_GROWTH"),"")</f>
        <v/>
      </c>
      <c r="AT473" s="24" t="str">
        <f aca="false">IFERROR(ciq($D473,"IQ_DIVIDEND_YIELD"),"")</f>
        <v/>
      </c>
      <c r="AU473" s="24" t="str">
        <f aca="false">IFERROR(ciq($D473,"IQ_NET_DEBT"),"")</f>
        <v/>
      </c>
    </row>
    <row r="474" customFormat="false" ht="15" hidden="false" customHeight="false" outlineLevel="0" collapsed="false">
      <c r="A474" s="8" t="s">
        <v>2259</v>
      </c>
      <c r="B474" s="6" t="s">
        <v>2260</v>
      </c>
      <c r="C474" s="8" t="s">
        <v>73</v>
      </c>
      <c r="D474" s="8" t="s">
        <v>2261</v>
      </c>
      <c r="E474" s="8" t="s">
        <v>2262</v>
      </c>
      <c r="F474" s="8"/>
      <c r="G474" s="8" t="s">
        <v>58</v>
      </c>
      <c r="H474" s="8" t="s">
        <v>67</v>
      </c>
      <c r="I474" s="8"/>
      <c r="J474" s="8"/>
      <c r="K474" s="8"/>
      <c r="L474" s="8" t="s">
        <v>115</v>
      </c>
      <c r="M474" s="23" t="n">
        <v>30750</v>
      </c>
      <c r="N474" s="23" t="n">
        <v>3393.32646</v>
      </c>
      <c r="O474" s="23" t="n">
        <v>3674.724264</v>
      </c>
      <c r="P474" s="24" t="n">
        <v>48.0261149875</v>
      </c>
      <c r="Q474" s="24" t="n">
        <v>26.4892881666667</v>
      </c>
      <c r="R474" s="24" t="n">
        <v>26.4892881666667</v>
      </c>
      <c r="S474" s="25" t="n">
        <v>0.0141531077406269</v>
      </c>
      <c r="T474" s="26" t="n">
        <v>1.35566650571292</v>
      </c>
      <c r="U474" s="23" t="n">
        <v>4</v>
      </c>
      <c r="V474" s="26" t="n">
        <v>-0.04</v>
      </c>
      <c r="W474" s="26" t="n">
        <v>0.178086938019314</v>
      </c>
      <c r="X474" s="26" t="n">
        <v>-0.117569640058654</v>
      </c>
      <c r="Y474" s="26" t="n">
        <v>-0.606842355958671</v>
      </c>
      <c r="Z474" s="26" t="n">
        <v>-0.722001654980318</v>
      </c>
      <c r="AA474" s="26" t="n">
        <v>0.893493444320533</v>
      </c>
      <c r="AB474" s="26" t="n">
        <v>-0.724976237272028</v>
      </c>
      <c r="AC474" s="27" t="n">
        <v>0.910994102544627</v>
      </c>
      <c r="AD474" s="28" t="n">
        <f aca="false">Params!$B$6*Params!$B$7*$R474</f>
        <v>15.8935729</v>
      </c>
      <c r="AE474" s="29" t="n">
        <f aca="false">MIN(Params!$B$9,AD474/Params!$B$4)</f>
        <v>0.0317871458</v>
      </c>
      <c r="AF474" s="29" t="n">
        <f aca="false">MIN(Params!$B$9,AD474/Params!$B$5)</f>
        <v>0.0158935729</v>
      </c>
      <c r="AG474" s="28" t="n">
        <f aca="false">IF($R474&gt;0,Params!$B$9*Params!$B$4/(Params!$B$6*$R474),"n/a")</f>
        <v>5.66266632218361</v>
      </c>
      <c r="AH474" s="28" t="n">
        <f aca="false">IF($R474&gt;0,Params!$B$9*Params!$B$5/(Params!$B$6*$R474),"n/a")</f>
        <v>11.3253326443672</v>
      </c>
      <c r="AI474" s="28" t="n">
        <f aca="false">IF($R474&gt;0,Params!$B$15*Params!$B$4/(Params!$B$6*$R474),"n/a")</f>
        <v>1.88755544072787</v>
      </c>
      <c r="AJ474" s="29" t="n">
        <f aca="false">MIN(Params!$B$9,AD474*Params!$B$8/Params!$B$4)</f>
        <v>0.0158935729</v>
      </c>
      <c r="AK474" s="28" t="n">
        <f aca="false">IF($R474&gt;0,Params!$B$9*Params!$B$4/(Params!$B$6*$R474*Params!$B$8),"n/a")</f>
        <v>11.3253326443672</v>
      </c>
      <c r="AL474" s="27" t="str">
        <f aca="false">IFERROR(ciq($D474,"IQ_PE_EXCL"),"")</f>
        <v/>
      </c>
      <c r="AM474" s="27" t="str">
        <f aca="false">IFERROR(ciq($D474,"IQ_PE_EXCL_FWD_CIQ"),"")</f>
        <v/>
      </c>
      <c r="AN474" s="27" t="str">
        <f aca="false">IFERROR(ciq($D474,"IQ_PBV"),"")</f>
        <v/>
      </c>
      <c r="AO474" s="27" t="str">
        <f aca="false">IFERROR(ciq($D474,"IQ_TEV_EBITDA"),"")</f>
        <v/>
      </c>
      <c r="AP474" s="24" t="str">
        <f aca="false">IFERROR(ciq($D474,"IQ_RETURN_EQUITY"),"")</f>
        <v/>
      </c>
      <c r="AQ474" s="24" t="str">
        <f aca="false">IFERROR(ciq($D474,"IQ_RETURN_CAPITAL"),"")</f>
        <v/>
      </c>
      <c r="AR474" s="24" t="str">
        <f aca="false">IFERROR(ciq($D474,"IQ_TOTAL_REV_1YR_ANN_GROWTH"),"")</f>
        <v/>
      </c>
      <c r="AS474" s="24" t="str">
        <f aca="false">IFERROR(ciq($D474,"IQ_EPS_1YR_ANN_GROWTH"),"")</f>
        <v/>
      </c>
      <c r="AT474" s="24" t="str">
        <f aca="false">IFERROR(ciq($D474,"IQ_DIVIDEND_YIELD"),"")</f>
        <v/>
      </c>
      <c r="AU474" s="24" t="str">
        <f aca="false">IFERROR(ciq($D474,"IQ_NET_DEBT"),"")</f>
        <v/>
      </c>
    </row>
    <row r="475" customFormat="false" ht="15" hidden="false" customHeight="false" outlineLevel="0" collapsed="false">
      <c r="A475" s="8" t="s">
        <v>2263</v>
      </c>
      <c r="B475" s="6" t="s">
        <v>2264</v>
      </c>
      <c r="C475" s="8" t="s">
        <v>72</v>
      </c>
      <c r="D475" s="8" t="s">
        <v>2265</v>
      </c>
      <c r="E475" s="8" t="s">
        <v>2266</v>
      </c>
      <c r="F475" s="8"/>
      <c r="G475" s="8" t="s">
        <v>58</v>
      </c>
      <c r="H475" s="8" t="s">
        <v>67</v>
      </c>
      <c r="I475" s="8"/>
      <c r="J475" s="8"/>
      <c r="K475" s="8"/>
      <c r="L475" s="8"/>
      <c r="M475" s="23" t="n">
        <v>12990</v>
      </c>
      <c r="N475" s="23" t="n">
        <v>3377.6598</v>
      </c>
      <c r="O475" s="23" t="n">
        <v>3233.47871</v>
      </c>
      <c r="P475" s="24" t="n">
        <v>81.033184845</v>
      </c>
      <c r="Q475" s="24" t="n">
        <v>68.785072885</v>
      </c>
      <c r="R475" s="24" t="n">
        <v>68.785072885</v>
      </c>
      <c r="S475" s="25" t="n">
        <v>0.0239909255647949</v>
      </c>
      <c r="T475" s="26" t="n">
        <v>0.658183005203707</v>
      </c>
      <c r="U475" s="23" t="n">
        <v>0</v>
      </c>
      <c r="V475" s="26" t="n">
        <v>-0.06</v>
      </c>
      <c r="W475" s="26" t="n">
        <v>0.073297661549274</v>
      </c>
      <c r="X475" s="26" t="n">
        <v>-0.066131902535842</v>
      </c>
      <c r="Y475" s="26" t="n">
        <v>0.112046795051087</v>
      </c>
      <c r="Z475" s="26" t="n">
        <v>0.425682728079825</v>
      </c>
      <c r="AA475" s="26" t="n">
        <v>-0.0292273363572008</v>
      </c>
      <c r="AB475" s="26" t="n">
        <v>-0.405528277655473</v>
      </c>
      <c r="AC475" s="27" t="n">
        <v>0.517445865462084</v>
      </c>
      <c r="AD475" s="28" t="n">
        <f aca="false">Params!$B$6*Params!$B$7*$R475</f>
        <v>41.271043731</v>
      </c>
      <c r="AE475" s="29" t="n">
        <f aca="false">MIN(Params!$B$9,AD475/Params!$B$4)</f>
        <v>0.06</v>
      </c>
      <c r="AF475" s="29" t="n">
        <f aca="false">MIN(Params!$B$9,AD475/Params!$B$5)</f>
        <v>0.041271043731</v>
      </c>
      <c r="AG475" s="28" t="n">
        <f aca="false">IF($R475&gt;0,Params!$B$9*Params!$B$4/(Params!$B$6*$R475),"n/a")</f>
        <v>2.18070569250949</v>
      </c>
      <c r="AH475" s="28" t="n">
        <f aca="false">IF($R475&gt;0,Params!$B$9*Params!$B$5/(Params!$B$6*$R475),"n/a")</f>
        <v>4.36141138501899</v>
      </c>
      <c r="AI475" s="28" t="n">
        <f aca="false">IF($R475&gt;0,Params!$B$15*Params!$B$4/(Params!$B$6*$R475),"n/a")</f>
        <v>0.726901897503165</v>
      </c>
      <c r="AJ475" s="29" t="n">
        <f aca="false">MIN(Params!$B$9,AD475*Params!$B$8/Params!$B$4)</f>
        <v>0.041271043731</v>
      </c>
      <c r="AK475" s="28" t="n">
        <f aca="false">IF($R475&gt;0,Params!$B$9*Params!$B$4/(Params!$B$6*$R475*Params!$B$8),"n/a")</f>
        <v>4.36141138501899</v>
      </c>
      <c r="AL475" s="27" t="str">
        <f aca="false">IFERROR(ciq($D475,"IQ_PE_EXCL"),"")</f>
        <v/>
      </c>
      <c r="AM475" s="27" t="str">
        <f aca="false">IFERROR(ciq($D475,"IQ_PE_EXCL_FWD_CIQ"),"")</f>
        <v/>
      </c>
      <c r="AN475" s="27" t="str">
        <f aca="false">IFERROR(ciq($D475,"IQ_PBV"),"")</f>
        <v/>
      </c>
      <c r="AO475" s="27" t="str">
        <f aca="false">IFERROR(ciq($D475,"IQ_TEV_EBITDA"),"")</f>
        <v/>
      </c>
      <c r="AP475" s="24" t="str">
        <f aca="false">IFERROR(ciq($D475,"IQ_RETURN_EQUITY"),"")</f>
        <v/>
      </c>
      <c r="AQ475" s="24" t="str">
        <f aca="false">IFERROR(ciq($D475,"IQ_RETURN_CAPITAL"),"")</f>
        <v/>
      </c>
      <c r="AR475" s="24" t="str">
        <f aca="false">IFERROR(ciq($D475,"IQ_TOTAL_REV_1YR_ANN_GROWTH"),"")</f>
        <v/>
      </c>
      <c r="AS475" s="24" t="str">
        <f aca="false">IFERROR(ciq($D475,"IQ_EPS_1YR_ANN_GROWTH"),"")</f>
        <v/>
      </c>
      <c r="AT475" s="24" t="str">
        <f aca="false">IFERROR(ciq($D475,"IQ_DIVIDEND_YIELD"),"")</f>
        <v/>
      </c>
      <c r="AU475" s="24" t="str">
        <f aca="false">IFERROR(ciq($D475,"IQ_NET_DEBT"),"")</f>
        <v/>
      </c>
    </row>
    <row r="476" customFormat="false" ht="15" hidden="false" customHeight="false" outlineLevel="0" collapsed="false">
      <c r="A476" s="8" t="s">
        <v>2267</v>
      </c>
      <c r="B476" s="6" t="s">
        <v>2268</v>
      </c>
      <c r="C476" s="8" t="s">
        <v>73</v>
      </c>
      <c r="D476" s="8" t="s">
        <v>2269</v>
      </c>
      <c r="E476" s="8" t="s">
        <v>2270</v>
      </c>
      <c r="F476" s="6" t="s">
        <v>1407</v>
      </c>
      <c r="G476" s="8" t="s">
        <v>58</v>
      </c>
      <c r="H476" s="8" t="s">
        <v>67</v>
      </c>
      <c r="I476" s="8"/>
      <c r="J476" s="8"/>
      <c r="K476" s="8"/>
      <c r="L476" s="8" t="s">
        <v>241</v>
      </c>
      <c r="M476" s="23" t="n">
        <v>8150</v>
      </c>
      <c r="N476" s="23" t="n">
        <v>3362.672885</v>
      </c>
      <c r="O476" s="23" t="n">
        <v>3682.0236596</v>
      </c>
      <c r="P476" s="24" t="n">
        <v>20.47743874</v>
      </c>
      <c r="Q476" s="24" t="n">
        <v>20.7249224208333</v>
      </c>
      <c r="R476" s="24" t="n">
        <v>20.47743874</v>
      </c>
      <c r="S476" s="25" t="n">
        <v>0.00608963150455237</v>
      </c>
      <c r="T476" s="26" t="n">
        <v>0.653455528060282</v>
      </c>
      <c r="U476" s="23" t="n">
        <v>0</v>
      </c>
      <c r="V476" s="26" t="n">
        <v>-0.06</v>
      </c>
      <c r="W476" s="26" t="n">
        <v>-0.100587564681741</v>
      </c>
      <c r="X476" s="26" t="n">
        <v>-0.2192039605994</v>
      </c>
      <c r="Y476" s="26" t="n">
        <v>-0.478438232632761</v>
      </c>
      <c r="Z476" s="26" t="n">
        <v>-0.370983043933798</v>
      </c>
      <c r="AA476" s="26" t="n">
        <v>-0.033766410152172</v>
      </c>
      <c r="AB476" s="26" t="n">
        <v>-0.599443932979032</v>
      </c>
      <c r="AC476" s="27" t="n">
        <v>0.259392738457675</v>
      </c>
      <c r="AD476" s="28" t="n">
        <f aca="false">Params!$B$6*Params!$B$7*$R476</f>
        <v>12.286463244</v>
      </c>
      <c r="AE476" s="29" t="n">
        <f aca="false">MIN(Params!$B$9,AD476/Params!$B$4)</f>
        <v>0.024572926488</v>
      </c>
      <c r="AF476" s="29" t="n">
        <f aca="false">MIN(Params!$B$9,AD476/Params!$B$5)</f>
        <v>0.012286463244</v>
      </c>
      <c r="AG476" s="28" t="n">
        <f aca="false">IF($R476&gt;0,Params!$B$9*Params!$B$4/(Params!$B$6*$R476),"n/a")</f>
        <v>7.32513484252279</v>
      </c>
      <c r="AH476" s="28" t="n">
        <f aca="false">IF($R476&gt;0,Params!$B$9*Params!$B$5/(Params!$B$6*$R476),"n/a")</f>
        <v>14.6502696850456</v>
      </c>
      <c r="AI476" s="28" t="n">
        <f aca="false">IF($R476&gt;0,Params!$B$15*Params!$B$4/(Params!$B$6*$R476),"n/a")</f>
        <v>2.44171161417426</v>
      </c>
      <c r="AJ476" s="29" t="n">
        <f aca="false">MIN(Params!$B$9,AD476*Params!$B$8/Params!$B$4)</f>
        <v>0.012286463244</v>
      </c>
      <c r="AK476" s="28" t="n">
        <f aca="false">IF($R476&gt;0,Params!$B$9*Params!$B$4/(Params!$B$6*$R476*Params!$B$8),"n/a")</f>
        <v>14.6502696850456</v>
      </c>
      <c r="AL476" s="27" t="str">
        <f aca="false">IFERROR(ciq($D476,"IQ_PE_EXCL"),"")</f>
        <v/>
      </c>
      <c r="AM476" s="27" t="str">
        <f aca="false">IFERROR(ciq($D476,"IQ_PE_EXCL_FWD_CIQ"),"")</f>
        <v/>
      </c>
      <c r="AN476" s="27" t="str">
        <f aca="false">IFERROR(ciq($D476,"IQ_PBV"),"")</f>
        <v/>
      </c>
      <c r="AO476" s="27" t="str">
        <f aca="false">IFERROR(ciq($D476,"IQ_TEV_EBITDA"),"")</f>
        <v/>
      </c>
      <c r="AP476" s="24" t="str">
        <f aca="false">IFERROR(ciq($D476,"IQ_RETURN_EQUITY"),"")</f>
        <v/>
      </c>
      <c r="AQ476" s="24" t="str">
        <f aca="false">IFERROR(ciq($D476,"IQ_RETURN_CAPITAL"),"")</f>
        <v/>
      </c>
      <c r="AR476" s="24" t="str">
        <f aca="false">IFERROR(ciq($D476,"IQ_TOTAL_REV_1YR_ANN_GROWTH"),"")</f>
        <v/>
      </c>
      <c r="AS476" s="24" t="str">
        <f aca="false">IFERROR(ciq($D476,"IQ_EPS_1YR_ANN_GROWTH"),"")</f>
        <v/>
      </c>
      <c r="AT476" s="24" t="str">
        <f aca="false">IFERROR(ciq($D476,"IQ_DIVIDEND_YIELD"),"")</f>
        <v/>
      </c>
      <c r="AU476" s="24" t="str">
        <f aca="false">IFERROR(ciq($D476,"IQ_NET_DEBT"),"")</f>
        <v/>
      </c>
    </row>
    <row r="477" customFormat="false" ht="15" hidden="false" customHeight="false" outlineLevel="0" collapsed="false">
      <c r="A477" s="8" t="s">
        <v>2271</v>
      </c>
      <c r="B477" s="6" t="s">
        <v>2272</v>
      </c>
      <c r="C477" s="8" t="s">
        <v>73</v>
      </c>
      <c r="D477" s="8" t="s">
        <v>2273</v>
      </c>
      <c r="E477" s="8" t="s">
        <v>2274</v>
      </c>
      <c r="F477" s="6" t="s">
        <v>900</v>
      </c>
      <c r="G477" s="8" t="s">
        <v>58</v>
      </c>
      <c r="H477" s="8" t="s">
        <v>67</v>
      </c>
      <c r="I477" s="8"/>
      <c r="J477" s="8"/>
      <c r="K477" s="8"/>
      <c r="L477" s="8" t="s">
        <v>115</v>
      </c>
      <c r="M477" s="23" t="n">
        <v>4005</v>
      </c>
      <c r="N477" s="23" t="n">
        <v>3356.3216043</v>
      </c>
      <c r="O477" s="23" t="n">
        <v>3512.61473269</v>
      </c>
      <c r="P477" s="24" t="n">
        <v>31.116620896</v>
      </c>
      <c r="Q477" s="24" t="n">
        <v>26.2984647238333</v>
      </c>
      <c r="R477" s="24" t="n">
        <v>26.2984647238333</v>
      </c>
      <c r="S477" s="25" t="n">
        <v>0.00927104865521066</v>
      </c>
      <c r="T477" s="26" t="n">
        <v>1.4331940394489</v>
      </c>
      <c r="U477" s="23" t="n">
        <v>2</v>
      </c>
      <c r="V477" s="26" t="n">
        <v>-0.04</v>
      </c>
      <c r="W477" s="26" t="n">
        <v>0.207989567369768</v>
      </c>
      <c r="X477" s="26" t="n">
        <v>0.175902650612152</v>
      </c>
      <c r="Y477" s="26" t="n">
        <v>-0.248706824511184</v>
      </c>
      <c r="Z477" s="26" t="n">
        <v>-0.349850178467429</v>
      </c>
      <c r="AA477" s="26" t="n">
        <v>-0.446679737270328</v>
      </c>
      <c r="AB477" s="26" t="n">
        <v>-0.505529427058955</v>
      </c>
      <c r="AC477" s="27" t="n">
        <v>1.82883140892565</v>
      </c>
      <c r="AD477" s="28" t="n">
        <f aca="false">Params!$B$6*Params!$B$7*$R477</f>
        <v>15.7790788343</v>
      </c>
      <c r="AE477" s="29" t="n">
        <f aca="false">MIN(Params!$B$9,AD477/Params!$B$4)</f>
        <v>0.0315581576686</v>
      </c>
      <c r="AF477" s="29" t="n">
        <f aca="false">MIN(Params!$B$9,AD477/Params!$B$5)</f>
        <v>0.0157790788343</v>
      </c>
      <c r="AG477" s="28" t="n">
        <f aca="false">IF($R477&gt;0,Params!$B$9*Params!$B$4/(Params!$B$6*$R477),"n/a")</f>
        <v>5.70375501289475</v>
      </c>
      <c r="AH477" s="28" t="n">
        <f aca="false">IF($R477&gt;0,Params!$B$9*Params!$B$5/(Params!$B$6*$R477),"n/a")</f>
        <v>11.4075100257895</v>
      </c>
      <c r="AI477" s="28" t="n">
        <f aca="false">IF($R477&gt;0,Params!$B$15*Params!$B$4/(Params!$B$6*$R477),"n/a")</f>
        <v>1.90125167096492</v>
      </c>
      <c r="AJ477" s="29" t="n">
        <f aca="false">MIN(Params!$B$9,AD477*Params!$B$8/Params!$B$4)</f>
        <v>0.0157790788343</v>
      </c>
      <c r="AK477" s="28" t="n">
        <f aca="false">IF($R477&gt;0,Params!$B$9*Params!$B$4/(Params!$B$6*$R477*Params!$B$8),"n/a")</f>
        <v>11.4075100257895</v>
      </c>
      <c r="AL477" s="27" t="str">
        <f aca="false">IFERROR(ciq($D477,"IQ_PE_EXCL"),"")</f>
        <v/>
      </c>
      <c r="AM477" s="27" t="str">
        <f aca="false">IFERROR(ciq($D477,"IQ_PE_EXCL_FWD_CIQ"),"")</f>
        <v/>
      </c>
      <c r="AN477" s="27" t="str">
        <f aca="false">IFERROR(ciq($D477,"IQ_PBV"),"")</f>
        <v/>
      </c>
      <c r="AO477" s="27" t="str">
        <f aca="false">IFERROR(ciq($D477,"IQ_TEV_EBITDA"),"")</f>
        <v/>
      </c>
      <c r="AP477" s="24" t="str">
        <f aca="false">IFERROR(ciq($D477,"IQ_RETURN_EQUITY"),"")</f>
        <v/>
      </c>
      <c r="AQ477" s="24" t="str">
        <f aca="false">IFERROR(ciq($D477,"IQ_RETURN_CAPITAL"),"")</f>
        <v/>
      </c>
      <c r="AR477" s="24" t="str">
        <f aca="false">IFERROR(ciq($D477,"IQ_TOTAL_REV_1YR_ANN_GROWTH"),"")</f>
        <v/>
      </c>
      <c r="AS477" s="24" t="str">
        <f aca="false">IFERROR(ciq($D477,"IQ_EPS_1YR_ANN_GROWTH"),"")</f>
        <v/>
      </c>
      <c r="AT477" s="24" t="str">
        <f aca="false">IFERROR(ciq($D477,"IQ_DIVIDEND_YIELD"),"")</f>
        <v/>
      </c>
      <c r="AU477" s="24" t="str">
        <f aca="false">IFERROR(ciq($D477,"IQ_NET_DEBT"),"")</f>
        <v/>
      </c>
    </row>
    <row r="478" customFormat="false" ht="15" hidden="false" customHeight="false" outlineLevel="0" collapsed="false">
      <c r="A478" s="8" t="s">
        <v>2275</v>
      </c>
      <c r="B478" s="6" t="s">
        <v>2276</v>
      </c>
      <c r="C478" s="8" t="s">
        <v>73</v>
      </c>
      <c r="D478" s="8" t="s">
        <v>2277</v>
      </c>
      <c r="E478" s="8" t="s">
        <v>2278</v>
      </c>
      <c r="F478" s="6" t="s">
        <v>632</v>
      </c>
      <c r="G478" s="8" t="s">
        <v>58</v>
      </c>
      <c r="H478" s="8" t="s">
        <v>67</v>
      </c>
      <c r="I478" s="8"/>
      <c r="J478" s="8"/>
      <c r="K478" s="8"/>
      <c r="L478" s="8" t="s">
        <v>241</v>
      </c>
      <c r="M478" s="23" t="n">
        <v>2410</v>
      </c>
      <c r="N478" s="23" t="n">
        <v>3339.1408924</v>
      </c>
      <c r="O478" s="23" t="n">
        <v>3331.17406247</v>
      </c>
      <c r="P478" s="24" t="n">
        <v>99.604926255</v>
      </c>
      <c r="Q478" s="24" t="n">
        <v>41.2074962958333</v>
      </c>
      <c r="R478" s="24" t="n">
        <v>41.2074962958333</v>
      </c>
      <c r="S478" s="25" t="n">
        <v>0.0298295068895428</v>
      </c>
      <c r="T478" s="26" t="n">
        <v>0.911306891674566</v>
      </c>
      <c r="U478" s="23" t="n">
        <v>1</v>
      </c>
      <c r="V478" s="26" t="n">
        <v>-0.06</v>
      </c>
      <c r="W478" s="26" t="n">
        <v>0.0662822397819796</v>
      </c>
      <c r="X478" s="26" t="n">
        <v>-0.0473590123814537</v>
      </c>
      <c r="Y478" s="26" t="n">
        <v>-0.307557559323766</v>
      </c>
      <c r="Z478" s="26" t="n">
        <v>-0.312400054646167</v>
      </c>
      <c r="AA478" s="26" t="n">
        <v>-0.139015486953762</v>
      </c>
      <c r="AB478" s="26" t="n">
        <v>-0.515611415078659</v>
      </c>
      <c r="AC478" s="27" t="n">
        <v>2.17999846330451</v>
      </c>
      <c r="AD478" s="28" t="n">
        <f aca="false">Params!$B$6*Params!$B$7*$R478</f>
        <v>24.7244977775</v>
      </c>
      <c r="AE478" s="29" t="n">
        <f aca="false">MIN(Params!$B$9,AD478/Params!$B$4)</f>
        <v>0.049448995555</v>
      </c>
      <c r="AF478" s="29" t="n">
        <f aca="false">MIN(Params!$B$9,AD478/Params!$B$5)</f>
        <v>0.0247244977775</v>
      </c>
      <c r="AG478" s="28" t="n">
        <f aca="false">IF($R478&gt;0,Params!$B$9*Params!$B$4/(Params!$B$6*$R478),"n/a")</f>
        <v>3.64011438411916</v>
      </c>
      <c r="AH478" s="28" t="n">
        <f aca="false">IF($R478&gt;0,Params!$B$9*Params!$B$5/(Params!$B$6*$R478),"n/a")</f>
        <v>7.28022876823832</v>
      </c>
      <c r="AI478" s="28" t="n">
        <f aca="false">IF($R478&gt;0,Params!$B$15*Params!$B$4/(Params!$B$6*$R478),"n/a")</f>
        <v>1.21337146137305</v>
      </c>
      <c r="AJ478" s="29" t="n">
        <f aca="false">MIN(Params!$B$9,AD478*Params!$B$8/Params!$B$4)</f>
        <v>0.0247244977775</v>
      </c>
      <c r="AK478" s="28" t="n">
        <f aca="false">IF($R478&gt;0,Params!$B$9*Params!$B$4/(Params!$B$6*$R478*Params!$B$8),"n/a")</f>
        <v>7.28022876823832</v>
      </c>
      <c r="AL478" s="27" t="str">
        <f aca="false">IFERROR(ciq($D478,"IQ_PE_EXCL"),"")</f>
        <v/>
      </c>
      <c r="AM478" s="27" t="str">
        <f aca="false">IFERROR(ciq($D478,"IQ_PE_EXCL_FWD_CIQ"),"")</f>
        <v/>
      </c>
      <c r="AN478" s="27" t="str">
        <f aca="false">IFERROR(ciq($D478,"IQ_PBV"),"")</f>
        <v/>
      </c>
      <c r="AO478" s="27" t="str">
        <f aca="false">IFERROR(ciq($D478,"IQ_TEV_EBITDA"),"")</f>
        <v/>
      </c>
      <c r="AP478" s="24" t="str">
        <f aca="false">IFERROR(ciq($D478,"IQ_RETURN_EQUITY"),"")</f>
        <v/>
      </c>
      <c r="AQ478" s="24" t="str">
        <f aca="false">IFERROR(ciq($D478,"IQ_RETURN_CAPITAL"),"")</f>
        <v/>
      </c>
      <c r="AR478" s="24" t="str">
        <f aca="false">IFERROR(ciq($D478,"IQ_TOTAL_REV_1YR_ANN_GROWTH"),"")</f>
        <v/>
      </c>
      <c r="AS478" s="24" t="str">
        <f aca="false">IFERROR(ciq($D478,"IQ_EPS_1YR_ANN_GROWTH"),"")</f>
        <v/>
      </c>
      <c r="AT478" s="24" t="str">
        <f aca="false">IFERROR(ciq($D478,"IQ_DIVIDEND_YIELD"),"")</f>
        <v/>
      </c>
      <c r="AU478" s="24" t="str">
        <f aca="false">IFERROR(ciq($D478,"IQ_NET_DEBT"),"")</f>
        <v/>
      </c>
    </row>
    <row r="479" customFormat="false" ht="15" hidden="false" customHeight="false" outlineLevel="0" collapsed="false">
      <c r="A479" s="8" t="s">
        <v>2279</v>
      </c>
      <c r="B479" s="6" t="s">
        <v>2280</v>
      </c>
      <c r="C479" s="8" t="s">
        <v>72</v>
      </c>
      <c r="D479" s="8" t="s">
        <v>2281</v>
      </c>
      <c r="E479" s="8" t="s">
        <v>2282</v>
      </c>
      <c r="F479" s="6" t="s">
        <v>2283</v>
      </c>
      <c r="G479" s="8" t="s">
        <v>58</v>
      </c>
      <c r="H479" s="8" t="s">
        <v>67</v>
      </c>
      <c r="I479" s="8"/>
      <c r="J479" s="8"/>
      <c r="K479" s="8"/>
      <c r="L479" s="8"/>
      <c r="M479" s="23" t="n">
        <v>15430</v>
      </c>
      <c r="N479" s="23" t="n">
        <v>3313.9001742</v>
      </c>
      <c r="O479" s="23" t="n">
        <v>3401.41892475</v>
      </c>
      <c r="P479" s="24" t="n">
        <v>19.8832982725</v>
      </c>
      <c r="Q479" s="24" t="n">
        <v>23.0569178558333</v>
      </c>
      <c r="R479" s="24" t="n">
        <v>19.8832982725</v>
      </c>
      <c r="S479" s="25" t="n">
        <v>0.00599996898738809</v>
      </c>
      <c r="T479" s="26" t="n">
        <v>0.540441860370455</v>
      </c>
      <c r="U479" s="23" t="n">
        <v>0</v>
      </c>
      <c r="V479" s="26" t="n">
        <v>-0.06</v>
      </c>
      <c r="W479" s="26" t="n">
        <v>-0.0541342122694033</v>
      </c>
      <c r="X479" s="26" t="n">
        <v>-0.309425746627357</v>
      </c>
      <c r="Y479" s="26" t="n">
        <v>-0.354244424216919</v>
      </c>
      <c r="Z479" s="26" t="n">
        <v>-0.0357233370383636</v>
      </c>
      <c r="AA479" s="26" t="n">
        <v>0.0433437948192903</v>
      </c>
      <c r="AB479" s="26" t="n">
        <v>-0.447829152869632</v>
      </c>
      <c r="AC479" s="27" t="n">
        <v>0.687406388855946</v>
      </c>
      <c r="AD479" s="28" t="n">
        <f aca="false">Params!$B$6*Params!$B$7*$R479</f>
        <v>11.9299789635</v>
      </c>
      <c r="AE479" s="29" t="n">
        <f aca="false">MIN(Params!$B$9,AD479/Params!$B$4)</f>
        <v>0.023859957927</v>
      </c>
      <c r="AF479" s="29" t="n">
        <f aca="false">MIN(Params!$B$9,AD479/Params!$B$5)</f>
        <v>0.0119299789635</v>
      </c>
      <c r="AG479" s="28" t="n">
        <f aca="false">IF($R479&gt;0,Params!$B$9*Params!$B$4/(Params!$B$6*$R479),"n/a")</f>
        <v>7.54402000836353</v>
      </c>
      <c r="AH479" s="28" t="n">
        <f aca="false">IF($R479&gt;0,Params!$B$9*Params!$B$5/(Params!$B$6*$R479),"n/a")</f>
        <v>15.0880400167271</v>
      </c>
      <c r="AI479" s="28" t="n">
        <f aca="false">IF($R479&gt;0,Params!$B$15*Params!$B$4/(Params!$B$6*$R479),"n/a")</f>
        <v>2.51467333612118</v>
      </c>
      <c r="AJ479" s="29" t="n">
        <f aca="false">MIN(Params!$B$9,AD479*Params!$B$8/Params!$B$4)</f>
        <v>0.0119299789635</v>
      </c>
      <c r="AK479" s="28" t="n">
        <f aca="false">IF($R479&gt;0,Params!$B$9*Params!$B$4/(Params!$B$6*$R479*Params!$B$8),"n/a")</f>
        <v>15.0880400167271</v>
      </c>
      <c r="AL479" s="27" t="str">
        <f aca="false">IFERROR(ciq($D479,"IQ_PE_EXCL"),"")</f>
        <v/>
      </c>
      <c r="AM479" s="27" t="str">
        <f aca="false">IFERROR(ciq($D479,"IQ_PE_EXCL_FWD_CIQ"),"")</f>
        <v/>
      </c>
      <c r="AN479" s="27" t="str">
        <f aca="false">IFERROR(ciq($D479,"IQ_PBV"),"")</f>
        <v/>
      </c>
      <c r="AO479" s="27" t="str">
        <f aca="false">IFERROR(ciq($D479,"IQ_TEV_EBITDA"),"")</f>
        <v/>
      </c>
      <c r="AP479" s="24" t="str">
        <f aca="false">IFERROR(ciq($D479,"IQ_RETURN_EQUITY"),"")</f>
        <v/>
      </c>
      <c r="AQ479" s="24" t="str">
        <f aca="false">IFERROR(ciq($D479,"IQ_RETURN_CAPITAL"),"")</f>
        <v/>
      </c>
      <c r="AR479" s="24" t="str">
        <f aca="false">IFERROR(ciq($D479,"IQ_TOTAL_REV_1YR_ANN_GROWTH"),"")</f>
        <v/>
      </c>
      <c r="AS479" s="24" t="str">
        <f aca="false">IFERROR(ciq($D479,"IQ_EPS_1YR_ANN_GROWTH"),"")</f>
        <v/>
      </c>
      <c r="AT479" s="24" t="str">
        <f aca="false">IFERROR(ciq($D479,"IQ_DIVIDEND_YIELD"),"")</f>
        <v/>
      </c>
      <c r="AU479" s="24" t="str">
        <f aca="false">IFERROR(ciq($D479,"IQ_NET_DEBT"),"")</f>
        <v/>
      </c>
    </row>
    <row r="480" customFormat="false" ht="15" hidden="false" customHeight="false" outlineLevel="0" collapsed="false">
      <c r="A480" s="8" t="s">
        <v>2284</v>
      </c>
      <c r="B480" s="6" t="s">
        <v>2285</v>
      </c>
      <c r="C480" s="8" t="s">
        <v>73</v>
      </c>
      <c r="D480" s="8" t="s">
        <v>2286</v>
      </c>
      <c r="E480" s="8" t="s">
        <v>2287</v>
      </c>
      <c r="F480" s="6" t="s">
        <v>1166</v>
      </c>
      <c r="G480" s="8" t="s">
        <v>58</v>
      </c>
      <c r="H480" s="8" t="s">
        <v>67</v>
      </c>
      <c r="I480" s="8"/>
      <c r="J480" s="8"/>
      <c r="K480" s="8"/>
      <c r="L480" s="8" t="s">
        <v>241</v>
      </c>
      <c r="M480" s="23" t="n">
        <v>6720</v>
      </c>
      <c r="N480" s="23" t="n">
        <v>3301.5241728</v>
      </c>
      <c r="O480" s="23" t="n">
        <v>3495.34132848</v>
      </c>
      <c r="P480" s="24" t="n">
        <v>113.30367452</v>
      </c>
      <c r="Q480" s="24" t="n">
        <v>93.7764715625</v>
      </c>
      <c r="R480" s="24" t="n">
        <v>93.7764715625</v>
      </c>
      <c r="S480" s="25" t="n">
        <v>0.0343185960755538</v>
      </c>
      <c r="T480" s="26" t="n">
        <v>0.959459946240946</v>
      </c>
      <c r="U480" s="23" t="n">
        <v>1</v>
      </c>
      <c r="V480" s="26" t="n">
        <v>-0.06</v>
      </c>
      <c r="W480" s="26" t="n">
        <v>-0.018768317300046</v>
      </c>
      <c r="X480" s="26" t="n">
        <v>-0.198923449119649</v>
      </c>
      <c r="Y480" s="26" t="n">
        <v>-0.417773789683346</v>
      </c>
      <c r="Z480" s="26" t="n">
        <v>0.29020552331181</v>
      </c>
      <c r="AA480" s="26" t="n">
        <v>0.652954312250417</v>
      </c>
      <c r="AB480" s="26" t="n">
        <v>-0.575473382939763</v>
      </c>
      <c r="AC480" s="27" t="n">
        <v>0.22774054844592</v>
      </c>
      <c r="AD480" s="28" t="n">
        <f aca="false">Params!$B$6*Params!$B$7*$R480</f>
        <v>56.2658829375</v>
      </c>
      <c r="AE480" s="29" t="n">
        <f aca="false">MIN(Params!$B$9,AD480/Params!$B$4)</f>
        <v>0.06</v>
      </c>
      <c r="AF480" s="29" t="n">
        <f aca="false">MIN(Params!$B$9,AD480/Params!$B$5)</f>
        <v>0.0562658829375</v>
      </c>
      <c r="AG480" s="28" t="n">
        <f aca="false">IF($R480&gt;0,Params!$B$9*Params!$B$4/(Params!$B$6*$R480),"n/a")</f>
        <v>1.59954834619714</v>
      </c>
      <c r="AH480" s="28" t="n">
        <f aca="false">IF($R480&gt;0,Params!$B$9*Params!$B$5/(Params!$B$6*$R480),"n/a")</f>
        <v>3.19909669239428</v>
      </c>
      <c r="AI480" s="28" t="n">
        <f aca="false">IF($R480&gt;0,Params!$B$15*Params!$B$4/(Params!$B$6*$R480),"n/a")</f>
        <v>0.533182782065713</v>
      </c>
      <c r="AJ480" s="29" t="n">
        <f aca="false">MIN(Params!$B$9,AD480*Params!$B$8/Params!$B$4)</f>
        <v>0.0562658829375</v>
      </c>
      <c r="AK480" s="28" t="n">
        <f aca="false">IF($R480&gt;0,Params!$B$9*Params!$B$4/(Params!$B$6*$R480*Params!$B$8),"n/a")</f>
        <v>3.19909669239428</v>
      </c>
      <c r="AL480" s="27" t="str">
        <f aca="false">IFERROR(ciq($D480,"IQ_PE_EXCL"),"")</f>
        <v/>
      </c>
      <c r="AM480" s="27" t="str">
        <f aca="false">IFERROR(ciq($D480,"IQ_PE_EXCL_FWD_CIQ"),"")</f>
        <v/>
      </c>
      <c r="AN480" s="27" t="str">
        <f aca="false">IFERROR(ciq($D480,"IQ_PBV"),"")</f>
        <v/>
      </c>
      <c r="AO480" s="27" t="str">
        <f aca="false">IFERROR(ciq($D480,"IQ_TEV_EBITDA"),"")</f>
        <v/>
      </c>
      <c r="AP480" s="24" t="str">
        <f aca="false">IFERROR(ciq($D480,"IQ_RETURN_EQUITY"),"")</f>
        <v/>
      </c>
      <c r="AQ480" s="24" t="str">
        <f aca="false">IFERROR(ciq($D480,"IQ_RETURN_CAPITAL"),"")</f>
        <v/>
      </c>
      <c r="AR480" s="24" t="str">
        <f aca="false">IFERROR(ciq($D480,"IQ_TOTAL_REV_1YR_ANN_GROWTH"),"")</f>
        <v/>
      </c>
      <c r="AS480" s="24" t="str">
        <f aca="false">IFERROR(ciq($D480,"IQ_EPS_1YR_ANN_GROWTH"),"")</f>
        <v/>
      </c>
      <c r="AT480" s="24" t="str">
        <f aca="false">IFERROR(ciq($D480,"IQ_DIVIDEND_YIELD"),"")</f>
        <v/>
      </c>
      <c r="AU480" s="24" t="str">
        <f aca="false">IFERROR(ciq($D480,"IQ_NET_DEBT"),"")</f>
        <v/>
      </c>
    </row>
    <row r="481" customFormat="false" ht="15" hidden="false" customHeight="false" outlineLevel="0" collapsed="false">
      <c r="A481" s="8" t="s">
        <v>2288</v>
      </c>
      <c r="B481" s="6" t="s">
        <v>2289</v>
      </c>
      <c r="C481" s="8" t="s">
        <v>73</v>
      </c>
      <c r="D481" s="8" t="s">
        <v>2290</v>
      </c>
      <c r="E481" s="8" t="s">
        <v>2291</v>
      </c>
      <c r="F481" s="6" t="s">
        <v>523</v>
      </c>
      <c r="G481" s="8" t="s">
        <v>58</v>
      </c>
      <c r="H481" s="8" t="s">
        <v>67</v>
      </c>
      <c r="I481" s="8"/>
      <c r="J481" s="8"/>
      <c r="K481" s="8"/>
      <c r="L481" s="8" t="s">
        <v>241</v>
      </c>
      <c r="M481" s="23" t="n">
        <v>13420</v>
      </c>
      <c r="N481" s="23" t="n">
        <v>3296.4965836</v>
      </c>
      <c r="O481" s="23" t="n">
        <v>3750.24326919</v>
      </c>
      <c r="P481" s="24" t="n">
        <v>182.69544205</v>
      </c>
      <c r="Q481" s="24" t="n">
        <v>194.4042688425</v>
      </c>
      <c r="R481" s="24" t="n">
        <v>182.69544205</v>
      </c>
      <c r="S481" s="25" t="n">
        <v>0.0554210924891917</v>
      </c>
      <c r="T481" s="26" t="n">
        <v>1.32426486643518</v>
      </c>
      <c r="U481" s="23" t="n">
        <v>1</v>
      </c>
      <c r="V481" s="26" t="n">
        <v>-0.06</v>
      </c>
      <c r="W481" s="26" t="n">
        <v>-0.212433600121257</v>
      </c>
      <c r="X481" s="26" t="n">
        <v>-0.450004498590613</v>
      </c>
      <c r="Y481" s="26" t="n">
        <v>0.0411533734150698</v>
      </c>
      <c r="Z481" s="26" t="n">
        <v>0.597698728556982</v>
      </c>
      <c r="AA481" s="26" t="n">
        <v>0.701528718098033</v>
      </c>
      <c r="AB481" s="26" t="n">
        <v>-0.607614648651089</v>
      </c>
      <c r="AC481" s="27" t="n">
        <v>0.705569880280212</v>
      </c>
      <c r="AD481" s="28" t="n">
        <f aca="false">Params!$B$6*Params!$B$7*$R481</f>
        <v>109.61726523</v>
      </c>
      <c r="AE481" s="29" t="n">
        <f aca="false">MIN(Params!$B$9,AD481/Params!$B$4)</f>
        <v>0.06</v>
      </c>
      <c r="AF481" s="29" t="n">
        <f aca="false">MIN(Params!$B$9,AD481/Params!$B$5)</f>
        <v>0.06</v>
      </c>
      <c r="AG481" s="28" t="n">
        <f aca="false">IF($R481&gt;0,Params!$B$9*Params!$B$4/(Params!$B$6*$R481),"n/a")</f>
        <v>0.821038545444106</v>
      </c>
      <c r="AH481" s="28" t="n">
        <f aca="false">IF($R481&gt;0,Params!$B$9*Params!$B$5/(Params!$B$6*$R481),"n/a")</f>
        <v>1.64207709088821</v>
      </c>
      <c r="AI481" s="28" t="n">
        <f aca="false">IF($R481&gt;0,Params!$B$15*Params!$B$4/(Params!$B$6*$R481),"n/a")</f>
        <v>0.273679515148035</v>
      </c>
      <c r="AJ481" s="29" t="n">
        <f aca="false">MIN(Params!$B$9,AD481*Params!$B$8/Params!$B$4)</f>
        <v>0.06</v>
      </c>
      <c r="AK481" s="28" t="n">
        <f aca="false">IF($R481&gt;0,Params!$B$9*Params!$B$4/(Params!$B$6*$R481*Params!$B$8),"n/a")</f>
        <v>1.64207709088821</v>
      </c>
      <c r="AL481" s="27" t="str">
        <f aca="false">IFERROR(ciq($D481,"IQ_PE_EXCL"),"")</f>
        <v/>
      </c>
      <c r="AM481" s="27" t="str">
        <f aca="false">IFERROR(ciq($D481,"IQ_PE_EXCL_FWD_CIQ"),"")</f>
        <v/>
      </c>
      <c r="AN481" s="27" t="str">
        <f aca="false">IFERROR(ciq($D481,"IQ_PBV"),"")</f>
        <v/>
      </c>
      <c r="AO481" s="27" t="str">
        <f aca="false">IFERROR(ciq($D481,"IQ_TEV_EBITDA"),"")</f>
        <v/>
      </c>
      <c r="AP481" s="24" t="str">
        <f aca="false">IFERROR(ciq($D481,"IQ_RETURN_EQUITY"),"")</f>
        <v/>
      </c>
      <c r="AQ481" s="24" t="str">
        <f aca="false">IFERROR(ciq($D481,"IQ_RETURN_CAPITAL"),"")</f>
        <v/>
      </c>
      <c r="AR481" s="24" t="str">
        <f aca="false">IFERROR(ciq($D481,"IQ_TOTAL_REV_1YR_ANN_GROWTH"),"")</f>
        <v/>
      </c>
      <c r="AS481" s="24" t="str">
        <f aca="false">IFERROR(ciq($D481,"IQ_EPS_1YR_ANN_GROWTH"),"")</f>
        <v/>
      </c>
      <c r="AT481" s="24" t="str">
        <f aca="false">IFERROR(ciq($D481,"IQ_DIVIDEND_YIELD"),"")</f>
        <v/>
      </c>
      <c r="AU481" s="24" t="str">
        <f aca="false">IFERROR(ciq($D481,"IQ_NET_DEBT"),"")</f>
        <v/>
      </c>
    </row>
    <row r="482" customFormat="false" ht="15" hidden="false" customHeight="false" outlineLevel="0" collapsed="false">
      <c r="A482" s="8" t="s">
        <v>434</v>
      </c>
      <c r="B482" s="6" t="s">
        <v>435</v>
      </c>
      <c r="C482" s="8" t="s">
        <v>72</v>
      </c>
      <c r="D482" s="8" t="s">
        <v>2292</v>
      </c>
      <c r="E482" s="8" t="s">
        <v>2293</v>
      </c>
      <c r="F482" s="6" t="s">
        <v>513</v>
      </c>
      <c r="G482" s="8" t="s">
        <v>58</v>
      </c>
      <c r="H482" s="8" t="s">
        <v>67</v>
      </c>
      <c r="I482" s="8" t="s">
        <v>508</v>
      </c>
      <c r="J482" s="8"/>
      <c r="K482" s="8"/>
      <c r="L482" s="6" t="s">
        <v>351</v>
      </c>
      <c r="M482" s="23" t="n">
        <v>15880</v>
      </c>
      <c r="N482" s="23" t="n">
        <v>3224.6217016</v>
      </c>
      <c r="O482" s="23" t="n">
        <v>3341.68684083</v>
      </c>
      <c r="P482" s="24" t="n">
        <v>26.46068309</v>
      </c>
      <c r="Q482" s="24" t="n">
        <v>50.5118254808333</v>
      </c>
      <c r="R482" s="24" t="n">
        <v>26.46068309</v>
      </c>
      <c r="S482" s="25" t="n">
        <v>0.00820582553199052</v>
      </c>
      <c r="T482" s="26" t="n">
        <v>0.957902293573775</v>
      </c>
      <c r="U482" s="23" t="n">
        <v>1</v>
      </c>
      <c r="V482" s="26" t="n">
        <v>-0.06</v>
      </c>
      <c r="W482" s="26" t="n">
        <v>-0.0483679324183706</v>
      </c>
      <c r="X482" s="26" t="n">
        <v>-0.228828357007597</v>
      </c>
      <c r="Y482" s="26" t="n">
        <v>-0.347610983148792</v>
      </c>
      <c r="Z482" s="26" t="n">
        <v>-0.000441465338102742</v>
      </c>
      <c r="AA482" s="26" t="n">
        <v>0.00433612045863985</v>
      </c>
      <c r="AB482" s="26" t="n">
        <v>-0.630074241002872</v>
      </c>
      <c r="AC482" s="27" t="n">
        <v>0.0399739269404276</v>
      </c>
      <c r="AD482" s="28" t="n">
        <f aca="false">Params!$B$6*Params!$B$7*$R482</f>
        <v>15.876409854</v>
      </c>
      <c r="AE482" s="29" t="n">
        <f aca="false">MIN(Params!$B$9,AD482/Params!$B$4)</f>
        <v>0.031752819708</v>
      </c>
      <c r="AF482" s="29" t="n">
        <f aca="false">MIN(Params!$B$9,AD482/Params!$B$5)</f>
        <v>0.015876409854</v>
      </c>
      <c r="AG482" s="28" t="n">
        <f aca="false">IF($R482&gt;0,Params!$B$9*Params!$B$4/(Params!$B$6*$R482),"n/a")</f>
        <v>5.66878789522587</v>
      </c>
      <c r="AH482" s="28" t="n">
        <f aca="false">IF($R482&gt;0,Params!$B$9*Params!$B$5/(Params!$B$6*$R482),"n/a")</f>
        <v>11.3375757904517</v>
      </c>
      <c r="AI482" s="28" t="n">
        <f aca="false">IF($R482&gt;0,Params!$B$15*Params!$B$4/(Params!$B$6*$R482),"n/a")</f>
        <v>1.88959596507529</v>
      </c>
      <c r="AJ482" s="29" t="n">
        <f aca="false">MIN(Params!$B$9,AD482*Params!$B$8/Params!$B$4)</f>
        <v>0.015876409854</v>
      </c>
      <c r="AK482" s="28" t="n">
        <f aca="false">IF($R482&gt;0,Params!$B$9*Params!$B$4/(Params!$B$6*$R482*Params!$B$8),"n/a")</f>
        <v>11.3375757904517</v>
      </c>
      <c r="AL482" s="27" t="str">
        <f aca="false">IFERROR(ciq($D482,"IQ_PE_EXCL"),"")</f>
        <v/>
      </c>
      <c r="AM482" s="27" t="str">
        <f aca="false">IFERROR(ciq($D482,"IQ_PE_EXCL_FWD_CIQ"),"")</f>
        <v/>
      </c>
      <c r="AN482" s="27" t="str">
        <f aca="false">IFERROR(ciq($D482,"IQ_PBV"),"")</f>
        <v/>
      </c>
      <c r="AO482" s="27" t="str">
        <f aca="false">IFERROR(ciq($D482,"IQ_TEV_EBITDA"),"")</f>
        <v/>
      </c>
      <c r="AP482" s="24" t="str">
        <f aca="false">IFERROR(ciq($D482,"IQ_RETURN_EQUITY"),"")</f>
        <v/>
      </c>
      <c r="AQ482" s="24" t="str">
        <f aca="false">IFERROR(ciq($D482,"IQ_RETURN_CAPITAL"),"")</f>
        <v/>
      </c>
      <c r="AR482" s="24" t="str">
        <f aca="false">IFERROR(ciq($D482,"IQ_TOTAL_REV_1YR_ANN_GROWTH"),"")</f>
        <v/>
      </c>
      <c r="AS482" s="24" t="str">
        <f aca="false">IFERROR(ciq($D482,"IQ_EPS_1YR_ANN_GROWTH"),"")</f>
        <v/>
      </c>
      <c r="AT482" s="24" t="str">
        <f aca="false">IFERROR(ciq($D482,"IQ_DIVIDEND_YIELD"),"")</f>
        <v/>
      </c>
      <c r="AU482" s="24" t="str">
        <f aca="false">IFERROR(ciq($D482,"IQ_NET_DEBT"),"")</f>
        <v/>
      </c>
    </row>
    <row r="483" customFormat="false" ht="15" hidden="false" customHeight="false" outlineLevel="0" collapsed="false">
      <c r="A483" s="8" t="s">
        <v>2294</v>
      </c>
      <c r="B483" s="6" t="s">
        <v>2295</v>
      </c>
      <c r="C483" s="8" t="s">
        <v>73</v>
      </c>
      <c r="D483" s="8" t="s">
        <v>2296</v>
      </c>
      <c r="E483" s="8" t="s">
        <v>2297</v>
      </c>
      <c r="F483" s="8"/>
      <c r="G483" s="8" t="s">
        <v>58</v>
      </c>
      <c r="H483" s="8" t="s">
        <v>67</v>
      </c>
      <c r="I483" s="8"/>
      <c r="J483" s="8"/>
      <c r="K483" s="8"/>
      <c r="L483" s="8" t="s">
        <v>241</v>
      </c>
      <c r="M483" s="23" t="n">
        <v>29850</v>
      </c>
      <c r="N483" s="23" t="n">
        <v>3127.3859925</v>
      </c>
      <c r="O483" s="23" t="n">
        <v>3504.03432225</v>
      </c>
      <c r="P483" s="24" t="n">
        <v>20.6093114</v>
      </c>
      <c r="Q483" s="24" t="n">
        <v>40.1572523625</v>
      </c>
      <c r="R483" s="24" t="n">
        <v>20.6093114</v>
      </c>
      <c r="S483" s="25" t="n">
        <v>0.0065899481066375</v>
      </c>
      <c r="T483" s="26" t="n">
        <v>0.930769591088426</v>
      </c>
      <c r="U483" s="23" t="n">
        <v>1</v>
      </c>
      <c r="V483" s="26" t="n">
        <v>-0.06</v>
      </c>
      <c r="W483" s="26" t="n">
        <v>-0.0785875329873784</v>
      </c>
      <c r="X483" s="26" t="n">
        <v>-0.483457421566003</v>
      </c>
      <c r="Y483" s="26" t="n">
        <v>-0.631466454677129</v>
      </c>
      <c r="Z483" s="26" t="n">
        <v>-0.584718862073196</v>
      </c>
      <c r="AA483" s="26" t="n">
        <v>-0.289728132714452</v>
      </c>
      <c r="AB483" s="26" t="n">
        <v>-0.696913134246699</v>
      </c>
      <c r="AC483" s="27" t="n">
        <v>0.378923037520069</v>
      </c>
      <c r="AD483" s="28" t="n">
        <f aca="false">Params!$B$6*Params!$B$7*$R483</f>
        <v>12.36558684</v>
      </c>
      <c r="AE483" s="29" t="n">
        <f aca="false">MIN(Params!$B$9,AD483/Params!$B$4)</f>
        <v>0.02473117368</v>
      </c>
      <c r="AF483" s="29" t="n">
        <f aca="false">MIN(Params!$B$9,AD483/Params!$B$5)</f>
        <v>0.01236558684</v>
      </c>
      <c r="AG483" s="28" t="n">
        <f aca="false">IF($R483&gt;0,Params!$B$9*Params!$B$4/(Params!$B$6*$R483),"n/a")</f>
        <v>7.27826355226987</v>
      </c>
      <c r="AH483" s="28" t="n">
        <f aca="false">IF($R483&gt;0,Params!$B$9*Params!$B$5/(Params!$B$6*$R483),"n/a")</f>
        <v>14.5565271045397</v>
      </c>
      <c r="AI483" s="28" t="n">
        <f aca="false">IF($R483&gt;0,Params!$B$15*Params!$B$4/(Params!$B$6*$R483),"n/a")</f>
        <v>2.42608785075662</v>
      </c>
      <c r="AJ483" s="29" t="n">
        <f aca="false">MIN(Params!$B$9,AD483*Params!$B$8/Params!$B$4)</f>
        <v>0.01236558684</v>
      </c>
      <c r="AK483" s="28" t="n">
        <f aca="false">IF($R483&gt;0,Params!$B$9*Params!$B$4/(Params!$B$6*$R483*Params!$B$8),"n/a")</f>
        <v>14.5565271045397</v>
      </c>
      <c r="AL483" s="27" t="str">
        <f aca="false">IFERROR(ciq($D483,"IQ_PE_EXCL"),"")</f>
        <v/>
      </c>
      <c r="AM483" s="27" t="str">
        <f aca="false">IFERROR(ciq($D483,"IQ_PE_EXCL_FWD_CIQ"),"")</f>
        <v/>
      </c>
      <c r="AN483" s="27" t="str">
        <f aca="false">IFERROR(ciq($D483,"IQ_PBV"),"")</f>
        <v/>
      </c>
      <c r="AO483" s="27" t="str">
        <f aca="false">IFERROR(ciq($D483,"IQ_TEV_EBITDA"),"")</f>
        <v/>
      </c>
      <c r="AP483" s="24" t="str">
        <f aca="false">IFERROR(ciq($D483,"IQ_RETURN_EQUITY"),"")</f>
        <v/>
      </c>
      <c r="AQ483" s="24" t="str">
        <f aca="false">IFERROR(ciq($D483,"IQ_RETURN_CAPITAL"),"")</f>
        <v/>
      </c>
      <c r="AR483" s="24" t="str">
        <f aca="false">IFERROR(ciq($D483,"IQ_TOTAL_REV_1YR_ANN_GROWTH"),"")</f>
        <v/>
      </c>
      <c r="AS483" s="24" t="str">
        <f aca="false">IFERROR(ciq($D483,"IQ_EPS_1YR_ANN_GROWTH"),"")</f>
        <v/>
      </c>
      <c r="AT483" s="24" t="str">
        <f aca="false">IFERROR(ciq($D483,"IQ_DIVIDEND_YIELD"),"")</f>
        <v/>
      </c>
      <c r="AU483" s="24" t="str">
        <f aca="false">IFERROR(ciq($D483,"IQ_NET_DEBT"),"")</f>
        <v/>
      </c>
    </row>
    <row r="484" customFormat="false" ht="15" hidden="false" customHeight="false" outlineLevel="0" collapsed="false">
      <c r="A484" s="8" t="s">
        <v>2298</v>
      </c>
      <c r="B484" s="6" t="s">
        <v>2299</v>
      </c>
      <c r="C484" s="8" t="s">
        <v>73</v>
      </c>
      <c r="D484" s="8" t="s">
        <v>2300</v>
      </c>
      <c r="E484" s="8" t="s">
        <v>2301</v>
      </c>
      <c r="F484" s="8"/>
      <c r="G484" s="8" t="s">
        <v>58</v>
      </c>
      <c r="H484" s="8" t="s">
        <v>67</v>
      </c>
      <c r="I484" s="8"/>
      <c r="J484" s="8"/>
      <c r="K484" s="8"/>
      <c r="L484" s="8" t="s">
        <v>241</v>
      </c>
      <c r="M484" s="23" t="n">
        <v>10760</v>
      </c>
      <c r="N484" s="23" t="n">
        <v>3071.2797392</v>
      </c>
      <c r="O484" s="23" t="n">
        <v>3355.57291952</v>
      </c>
      <c r="P484" s="24" t="n">
        <v>95.65013154</v>
      </c>
      <c r="Q484" s="24" t="n">
        <v>164.298969640833</v>
      </c>
      <c r="R484" s="24" t="n">
        <v>95.65013154</v>
      </c>
      <c r="S484" s="25" t="n">
        <v>0.031143412408573</v>
      </c>
      <c r="T484" s="26" t="n">
        <v>1.18130474743187</v>
      </c>
      <c r="U484" s="23" t="n">
        <v>1</v>
      </c>
      <c r="V484" s="26" t="n">
        <v>-0.06</v>
      </c>
      <c r="W484" s="26" t="n">
        <v>-0.053730430113682</v>
      </c>
      <c r="X484" s="26" t="n">
        <v>-0.37702850703497</v>
      </c>
      <c r="Y484" s="26" t="n">
        <v>0.517526577271626</v>
      </c>
      <c r="Z484" s="26" t="n">
        <v>0.408381377187184</v>
      </c>
      <c r="AA484" s="26" t="n">
        <v>0.506808850849673</v>
      </c>
      <c r="AB484" s="26" t="n">
        <v>-0.609450947677661</v>
      </c>
      <c r="AC484" s="27" t="n">
        <v>0.282815128552564</v>
      </c>
      <c r="AD484" s="28" t="n">
        <f aca="false">Params!$B$6*Params!$B$7*$R484</f>
        <v>57.390078924</v>
      </c>
      <c r="AE484" s="29" t="n">
        <f aca="false">MIN(Params!$B$9,AD484/Params!$B$4)</f>
        <v>0.06</v>
      </c>
      <c r="AF484" s="29" t="n">
        <f aca="false">MIN(Params!$B$9,AD484/Params!$B$5)</f>
        <v>0.057390078924</v>
      </c>
      <c r="AG484" s="28" t="n">
        <f aca="false">IF($R484&gt;0,Params!$B$9*Params!$B$4/(Params!$B$6*$R484),"n/a")</f>
        <v>1.56821530284327</v>
      </c>
      <c r="AH484" s="28" t="n">
        <f aca="false">IF($R484&gt;0,Params!$B$9*Params!$B$5/(Params!$B$6*$R484),"n/a")</f>
        <v>3.13643060568655</v>
      </c>
      <c r="AI484" s="28" t="n">
        <f aca="false">IF($R484&gt;0,Params!$B$15*Params!$B$4/(Params!$B$6*$R484),"n/a")</f>
        <v>0.522738434281091</v>
      </c>
      <c r="AJ484" s="29" t="n">
        <f aca="false">MIN(Params!$B$9,AD484*Params!$B$8/Params!$B$4)</f>
        <v>0.057390078924</v>
      </c>
      <c r="AK484" s="28" t="n">
        <f aca="false">IF($R484&gt;0,Params!$B$9*Params!$B$4/(Params!$B$6*$R484*Params!$B$8),"n/a")</f>
        <v>3.13643060568655</v>
      </c>
      <c r="AL484" s="27" t="str">
        <f aca="false">IFERROR(ciq($D484,"IQ_PE_EXCL"),"")</f>
        <v/>
      </c>
      <c r="AM484" s="27" t="str">
        <f aca="false">IFERROR(ciq($D484,"IQ_PE_EXCL_FWD_CIQ"),"")</f>
        <v/>
      </c>
      <c r="AN484" s="27" t="str">
        <f aca="false">IFERROR(ciq($D484,"IQ_PBV"),"")</f>
        <v/>
      </c>
      <c r="AO484" s="27" t="str">
        <f aca="false">IFERROR(ciq($D484,"IQ_TEV_EBITDA"),"")</f>
        <v/>
      </c>
      <c r="AP484" s="24" t="str">
        <f aca="false">IFERROR(ciq($D484,"IQ_RETURN_EQUITY"),"")</f>
        <v/>
      </c>
      <c r="AQ484" s="24" t="str">
        <f aca="false">IFERROR(ciq($D484,"IQ_RETURN_CAPITAL"),"")</f>
        <v/>
      </c>
      <c r="AR484" s="24" t="str">
        <f aca="false">IFERROR(ciq($D484,"IQ_TOTAL_REV_1YR_ANN_GROWTH"),"")</f>
        <v/>
      </c>
      <c r="AS484" s="24" t="str">
        <f aca="false">IFERROR(ciq($D484,"IQ_EPS_1YR_ANN_GROWTH"),"")</f>
        <v/>
      </c>
      <c r="AT484" s="24" t="str">
        <f aca="false">IFERROR(ciq($D484,"IQ_DIVIDEND_YIELD"),"")</f>
        <v/>
      </c>
      <c r="AU484" s="24" t="str">
        <f aca="false">IFERROR(ciq($D484,"IQ_NET_DEBT"),"")</f>
        <v/>
      </c>
    </row>
    <row r="485" customFormat="false" ht="15" hidden="false" customHeight="false" outlineLevel="0" collapsed="false">
      <c r="A485" s="8" t="s">
        <v>2302</v>
      </c>
      <c r="B485" s="6" t="s">
        <v>2303</v>
      </c>
      <c r="C485" s="8" t="s">
        <v>73</v>
      </c>
      <c r="D485" s="8" t="s">
        <v>2304</v>
      </c>
      <c r="E485" s="8" t="s">
        <v>2305</v>
      </c>
      <c r="F485" s="6" t="s">
        <v>513</v>
      </c>
      <c r="G485" s="8" t="s">
        <v>58</v>
      </c>
      <c r="H485" s="8" t="s">
        <v>67</v>
      </c>
      <c r="I485" s="8"/>
      <c r="J485" s="8"/>
      <c r="K485" s="8"/>
      <c r="L485" s="8" t="s">
        <v>115</v>
      </c>
      <c r="M485" s="23" t="n">
        <v>22500</v>
      </c>
      <c r="N485" s="23" t="n">
        <v>3028.951575</v>
      </c>
      <c r="O485" s="23" t="n">
        <v>3632.72258895</v>
      </c>
      <c r="P485" s="24" t="n">
        <v>26.9578774125</v>
      </c>
      <c r="Q485" s="24" t="n">
        <v>60.3654694916667</v>
      </c>
      <c r="R485" s="24" t="n">
        <v>26.9578774125</v>
      </c>
      <c r="S485" s="25" t="n">
        <v>0.0089000688010339</v>
      </c>
      <c r="T485" s="26" t="n">
        <v>1.16071532742617</v>
      </c>
      <c r="U485" s="23" t="n">
        <v>3</v>
      </c>
      <c r="V485" s="26" t="n">
        <v>-0.04</v>
      </c>
      <c r="W485" s="26" t="n">
        <v>-0.244955085096098</v>
      </c>
      <c r="X485" s="26" t="n">
        <v>-0.385054330145049</v>
      </c>
      <c r="Y485" s="26" t="n">
        <v>-0.538762805838259</v>
      </c>
      <c r="Z485" s="26" t="n">
        <v>-0.335059798592772</v>
      </c>
      <c r="AA485" s="26" t="n">
        <v>0.054158373084505</v>
      </c>
      <c r="AB485" s="26" t="n">
        <v>-0.628037080465833</v>
      </c>
      <c r="AC485" s="27" t="n">
        <v>0.230597173127543</v>
      </c>
      <c r="AD485" s="28" t="n">
        <f aca="false">Params!$B$6*Params!$B$7*$R485</f>
        <v>16.1747264475</v>
      </c>
      <c r="AE485" s="29" t="n">
        <f aca="false">MIN(Params!$B$9,AD485/Params!$B$4)</f>
        <v>0.032349452895</v>
      </c>
      <c r="AF485" s="29" t="n">
        <f aca="false">MIN(Params!$B$9,AD485/Params!$B$5)</f>
        <v>0.0161747264475</v>
      </c>
      <c r="AG485" s="28" t="n">
        <f aca="false">IF($R485&gt;0,Params!$B$9*Params!$B$4/(Params!$B$6*$R485),"n/a")</f>
        <v>5.56423629741884</v>
      </c>
      <c r="AH485" s="28" t="n">
        <f aca="false">IF($R485&gt;0,Params!$B$9*Params!$B$5/(Params!$B$6*$R485),"n/a")</f>
        <v>11.1284725948377</v>
      </c>
      <c r="AI485" s="28" t="n">
        <f aca="false">IF($R485&gt;0,Params!$B$15*Params!$B$4/(Params!$B$6*$R485),"n/a")</f>
        <v>1.85474543247295</v>
      </c>
      <c r="AJ485" s="29" t="n">
        <f aca="false">MIN(Params!$B$9,AD485*Params!$B$8/Params!$B$4)</f>
        <v>0.0161747264475</v>
      </c>
      <c r="AK485" s="28" t="n">
        <f aca="false">IF($R485&gt;0,Params!$B$9*Params!$B$4/(Params!$B$6*$R485*Params!$B$8),"n/a")</f>
        <v>11.1284725948377</v>
      </c>
      <c r="AL485" s="27" t="str">
        <f aca="false">IFERROR(ciq($D485,"IQ_PE_EXCL"),"")</f>
        <v/>
      </c>
      <c r="AM485" s="27" t="str">
        <f aca="false">IFERROR(ciq($D485,"IQ_PE_EXCL_FWD_CIQ"),"")</f>
        <v/>
      </c>
      <c r="AN485" s="27" t="str">
        <f aca="false">IFERROR(ciq($D485,"IQ_PBV"),"")</f>
        <v/>
      </c>
      <c r="AO485" s="27" t="str">
        <f aca="false">IFERROR(ciq($D485,"IQ_TEV_EBITDA"),"")</f>
        <v/>
      </c>
      <c r="AP485" s="24" t="str">
        <f aca="false">IFERROR(ciq($D485,"IQ_RETURN_EQUITY"),"")</f>
        <v/>
      </c>
      <c r="AQ485" s="24" t="str">
        <f aca="false">IFERROR(ciq($D485,"IQ_RETURN_CAPITAL"),"")</f>
        <v/>
      </c>
      <c r="AR485" s="24" t="str">
        <f aca="false">IFERROR(ciq($D485,"IQ_TOTAL_REV_1YR_ANN_GROWTH"),"")</f>
        <v/>
      </c>
      <c r="AS485" s="24" t="str">
        <f aca="false">IFERROR(ciq($D485,"IQ_EPS_1YR_ANN_GROWTH"),"")</f>
        <v/>
      </c>
      <c r="AT485" s="24" t="str">
        <f aca="false">IFERROR(ciq($D485,"IQ_DIVIDEND_YIELD"),"")</f>
        <v/>
      </c>
      <c r="AU485" s="24" t="str">
        <f aca="false">IFERROR(ciq($D485,"IQ_NET_DEBT"),"")</f>
        <v/>
      </c>
    </row>
    <row r="486" customFormat="false" ht="15" hidden="false" customHeight="false" outlineLevel="0" collapsed="false">
      <c r="A486" s="8" t="s">
        <v>436</v>
      </c>
      <c r="B486" s="6" t="s">
        <v>437</v>
      </c>
      <c r="C486" s="8" t="s">
        <v>73</v>
      </c>
      <c r="D486" s="8" t="s">
        <v>2306</v>
      </c>
      <c r="E486" s="8" t="s">
        <v>2307</v>
      </c>
      <c r="F486" s="6" t="s">
        <v>507</v>
      </c>
      <c r="G486" s="8" t="s">
        <v>58</v>
      </c>
      <c r="H486" s="8" t="s">
        <v>67</v>
      </c>
      <c r="I486" s="8" t="s">
        <v>508</v>
      </c>
      <c r="J486" s="8"/>
      <c r="K486" s="8"/>
      <c r="L486" s="6" t="s">
        <v>370</v>
      </c>
      <c r="M486" s="23" t="n">
        <v>2660</v>
      </c>
      <c r="N486" s="23" t="n">
        <v>2997.6044602</v>
      </c>
      <c r="O486" s="23" t="n">
        <v>3206.647929135</v>
      </c>
      <c r="P486" s="24" t="n">
        <v>318.798298417</v>
      </c>
      <c r="Q486" s="24" t="n">
        <v>291.417437594</v>
      </c>
      <c r="R486" s="24" t="n">
        <v>291.417437594</v>
      </c>
      <c r="S486" s="25" t="n">
        <v>0.106351022174463</v>
      </c>
      <c r="T486" s="26" t="n">
        <v>1.38142954567398</v>
      </c>
      <c r="U486" s="23" t="n">
        <v>2</v>
      </c>
      <c r="V486" s="26" t="n">
        <v>-0.04</v>
      </c>
      <c r="W486" s="26" t="n">
        <v>-0.0796203060932575</v>
      </c>
      <c r="X486" s="26" t="n">
        <v>-0.314486234937156</v>
      </c>
      <c r="Y486" s="26" t="n">
        <v>1.26438960678106</v>
      </c>
      <c r="Z486" s="26" t="n">
        <v>3.49584731930733</v>
      </c>
      <c r="AA486" s="26" t="n">
        <v>1.60357292628207</v>
      </c>
      <c r="AB486" s="26" t="n">
        <v>-0.619525352654307</v>
      </c>
      <c r="AC486" s="27" t="n">
        <v>0.459470250785911</v>
      </c>
      <c r="AD486" s="28" t="n">
        <f aca="false">Params!$B$6*Params!$B$7*$R486</f>
        <v>174.8504625564</v>
      </c>
      <c r="AE486" s="29" t="n">
        <f aca="false">MIN(Params!$B$9,AD486/Params!$B$4)</f>
        <v>0.06</v>
      </c>
      <c r="AF486" s="29" t="n">
        <f aca="false">MIN(Params!$B$9,AD486/Params!$B$5)</f>
        <v>0.06</v>
      </c>
      <c r="AG486" s="28" t="n">
        <f aca="false">IF($R486&gt;0,Params!$B$9*Params!$B$4/(Params!$B$6*$R486),"n/a")</f>
        <v>0.514725547099822</v>
      </c>
      <c r="AH486" s="28" t="n">
        <f aca="false">IF($R486&gt;0,Params!$B$9*Params!$B$5/(Params!$B$6*$R486),"n/a")</f>
        <v>1.02945109419964</v>
      </c>
      <c r="AI486" s="28" t="n">
        <f aca="false">IF($R486&gt;0,Params!$B$15*Params!$B$4/(Params!$B$6*$R486),"n/a")</f>
        <v>0.171575182366607</v>
      </c>
      <c r="AJ486" s="29" t="n">
        <f aca="false">MIN(Params!$B$9,AD486*Params!$B$8/Params!$B$4)</f>
        <v>0.06</v>
      </c>
      <c r="AK486" s="28" t="n">
        <f aca="false">IF($R486&gt;0,Params!$B$9*Params!$B$4/(Params!$B$6*$R486*Params!$B$8),"n/a")</f>
        <v>1.02945109419964</v>
      </c>
      <c r="AL486" s="27" t="str">
        <f aca="false">IFERROR(ciq($D486,"IQ_PE_EXCL"),"")</f>
        <v/>
      </c>
      <c r="AM486" s="27" t="str">
        <f aca="false">IFERROR(ciq($D486,"IQ_PE_EXCL_FWD_CIQ"),"")</f>
        <v/>
      </c>
      <c r="AN486" s="27" t="str">
        <f aca="false">IFERROR(ciq($D486,"IQ_PBV"),"")</f>
        <v/>
      </c>
      <c r="AO486" s="27" t="str">
        <f aca="false">IFERROR(ciq($D486,"IQ_TEV_EBITDA"),"")</f>
        <v/>
      </c>
      <c r="AP486" s="24" t="str">
        <f aca="false">IFERROR(ciq($D486,"IQ_RETURN_EQUITY"),"")</f>
        <v/>
      </c>
      <c r="AQ486" s="24" t="str">
        <f aca="false">IFERROR(ciq($D486,"IQ_RETURN_CAPITAL"),"")</f>
        <v/>
      </c>
      <c r="AR486" s="24" t="str">
        <f aca="false">IFERROR(ciq($D486,"IQ_TOTAL_REV_1YR_ANN_GROWTH"),"")</f>
        <v/>
      </c>
      <c r="AS486" s="24" t="str">
        <f aca="false">IFERROR(ciq($D486,"IQ_EPS_1YR_ANN_GROWTH"),"")</f>
        <v/>
      </c>
      <c r="AT486" s="24" t="str">
        <f aca="false">IFERROR(ciq($D486,"IQ_DIVIDEND_YIELD"),"")</f>
        <v/>
      </c>
      <c r="AU486" s="24" t="str">
        <f aca="false">IFERROR(ciq($D486,"IQ_NET_DEBT"),"")</f>
        <v/>
      </c>
    </row>
    <row r="487" customFormat="false" ht="15" hidden="false" customHeight="false" outlineLevel="0" collapsed="false">
      <c r="A487" s="8" t="s">
        <v>2308</v>
      </c>
      <c r="B487" s="6" t="s">
        <v>2309</v>
      </c>
      <c r="C487" s="8" t="s">
        <v>73</v>
      </c>
      <c r="D487" s="8" t="s">
        <v>2310</v>
      </c>
      <c r="E487" s="8" t="s">
        <v>2311</v>
      </c>
      <c r="F487" s="6" t="s">
        <v>627</v>
      </c>
      <c r="G487" s="8" t="s">
        <v>58</v>
      </c>
      <c r="H487" s="8" t="s">
        <v>67</v>
      </c>
      <c r="I487" s="8"/>
      <c r="J487" s="8"/>
      <c r="K487" s="8"/>
      <c r="L487" s="8" t="s">
        <v>241</v>
      </c>
      <c r="M487" s="23" t="n">
        <v>9650</v>
      </c>
      <c r="N487" s="23" t="n">
        <v>2993.139535</v>
      </c>
      <c r="O487" s="23" t="n">
        <v>3040.2853598</v>
      </c>
      <c r="P487" s="24" t="n">
        <v>17.2114553675</v>
      </c>
      <c r="Q487" s="24" t="n">
        <v>28.1349738225</v>
      </c>
      <c r="R487" s="24" t="n">
        <v>17.2114553675</v>
      </c>
      <c r="S487" s="25" t="n">
        <v>0.00575030170369254</v>
      </c>
      <c r="T487" s="26" t="n">
        <v>0.868247912655428</v>
      </c>
      <c r="U487" s="23" t="n">
        <v>1</v>
      </c>
      <c r="V487" s="26" t="n">
        <v>-0.06</v>
      </c>
      <c r="W487" s="26" t="n">
        <v>0.0580856834644659</v>
      </c>
      <c r="X487" s="26" t="n">
        <v>-0.100652498643524</v>
      </c>
      <c r="Y487" s="26" t="n">
        <v>-0.437302037380485</v>
      </c>
      <c r="Z487" s="26" t="n">
        <v>-0.34612300781625</v>
      </c>
      <c r="AA487" s="26" t="n">
        <v>-0.185072867160611</v>
      </c>
      <c r="AB487" s="26" t="n">
        <v>-0.528085452281463</v>
      </c>
      <c r="AC487" s="27" t="n">
        <v>0.326942686362294</v>
      </c>
      <c r="AD487" s="28" t="n">
        <f aca="false">Params!$B$6*Params!$B$7*$R487</f>
        <v>10.3268732205</v>
      </c>
      <c r="AE487" s="29" t="n">
        <f aca="false">MIN(Params!$B$9,AD487/Params!$B$4)</f>
        <v>0.020653746441</v>
      </c>
      <c r="AF487" s="29" t="n">
        <f aca="false">MIN(Params!$B$9,AD487/Params!$B$5)</f>
        <v>0.0103268732205</v>
      </c>
      <c r="AG487" s="28" t="n">
        <f aca="false">IF($R487&gt;0,Params!$B$9*Params!$B$4/(Params!$B$6*$R487),"n/a")</f>
        <v>8.71512587385501</v>
      </c>
      <c r="AH487" s="28" t="n">
        <f aca="false">IF($R487&gt;0,Params!$B$9*Params!$B$5/(Params!$B$6*$R487),"n/a")</f>
        <v>17.43025174771</v>
      </c>
      <c r="AI487" s="28" t="n">
        <f aca="false">IF($R487&gt;0,Params!$B$15*Params!$B$4/(Params!$B$6*$R487),"n/a")</f>
        <v>2.90504195795167</v>
      </c>
      <c r="AJ487" s="29" t="n">
        <f aca="false">MIN(Params!$B$9,AD487*Params!$B$8/Params!$B$4)</f>
        <v>0.0103268732205</v>
      </c>
      <c r="AK487" s="28" t="n">
        <f aca="false">IF($R487&gt;0,Params!$B$9*Params!$B$4/(Params!$B$6*$R487*Params!$B$8),"n/a")</f>
        <v>17.43025174771</v>
      </c>
      <c r="AL487" s="27" t="str">
        <f aca="false">IFERROR(ciq($D487,"IQ_PE_EXCL"),"")</f>
        <v/>
      </c>
      <c r="AM487" s="27" t="str">
        <f aca="false">IFERROR(ciq($D487,"IQ_PE_EXCL_FWD_CIQ"),"")</f>
        <v/>
      </c>
      <c r="AN487" s="27" t="str">
        <f aca="false">IFERROR(ciq($D487,"IQ_PBV"),"")</f>
        <v/>
      </c>
      <c r="AO487" s="27" t="str">
        <f aca="false">IFERROR(ciq($D487,"IQ_TEV_EBITDA"),"")</f>
        <v/>
      </c>
      <c r="AP487" s="24" t="str">
        <f aca="false">IFERROR(ciq($D487,"IQ_RETURN_EQUITY"),"")</f>
        <v/>
      </c>
      <c r="AQ487" s="24" t="str">
        <f aca="false">IFERROR(ciq($D487,"IQ_RETURN_CAPITAL"),"")</f>
        <v/>
      </c>
      <c r="AR487" s="24" t="str">
        <f aca="false">IFERROR(ciq($D487,"IQ_TOTAL_REV_1YR_ANN_GROWTH"),"")</f>
        <v/>
      </c>
      <c r="AS487" s="24" t="str">
        <f aca="false">IFERROR(ciq($D487,"IQ_EPS_1YR_ANN_GROWTH"),"")</f>
        <v/>
      </c>
      <c r="AT487" s="24" t="str">
        <f aca="false">IFERROR(ciq($D487,"IQ_DIVIDEND_YIELD"),"")</f>
        <v/>
      </c>
      <c r="AU487" s="24" t="str">
        <f aca="false">IFERROR(ciq($D487,"IQ_NET_DEBT"),"")</f>
        <v/>
      </c>
    </row>
    <row r="488" customFormat="false" ht="15" hidden="false" customHeight="false" outlineLevel="0" collapsed="false">
      <c r="A488" s="8" t="s">
        <v>2312</v>
      </c>
      <c r="B488" s="6" t="s">
        <v>2313</v>
      </c>
      <c r="C488" s="8" t="s">
        <v>73</v>
      </c>
      <c r="D488" s="8" t="s">
        <v>2314</v>
      </c>
      <c r="E488" s="8" t="s">
        <v>2315</v>
      </c>
      <c r="F488" s="6" t="s">
        <v>627</v>
      </c>
      <c r="G488" s="8" t="s">
        <v>58</v>
      </c>
      <c r="H488" s="8" t="s">
        <v>67</v>
      </c>
      <c r="I488" s="8"/>
      <c r="J488" s="8"/>
      <c r="K488" s="8"/>
      <c r="L488" s="8" t="s">
        <v>241</v>
      </c>
      <c r="M488" s="23" t="n">
        <v>19100</v>
      </c>
      <c r="N488" s="23" t="n">
        <v>2961.845977</v>
      </c>
      <c r="O488" s="23" t="n">
        <v>3299.977136835</v>
      </c>
      <c r="P488" s="24" t="n">
        <v>19.0597626075</v>
      </c>
      <c r="Q488" s="24" t="n">
        <v>32.1894838275</v>
      </c>
      <c r="R488" s="24" t="n">
        <v>19.0597626075</v>
      </c>
      <c r="S488" s="25" t="n">
        <v>0.00643509580022297</v>
      </c>
      <c r="T488" s="26" t="n">
        <v>1.02151523306793</v>
      </c>
      <c r="U488" s="23" t="n">
        <v>1</v>
      </c>
      <c r="V488" s="26" t="n">
        <v>-0.06</v>
      </c>
      <c r="W488" s="26" t="n">
        <v>-0.15101682708437</v>
      </c>
      <c r="X488" s="26" t="n">
        <v>-0.322639389356213</v>
      </c>
      <c r="Y488" s="26" t="n">
        <v>-0.437408958111778</v>
      </c>
      <c r="Z488" s="26" t="n">
        <v>-0.372755002414592</v>
      </c>
      <c r="AA488" s="26" t="n">
        <v>0.0720166421247326</v>
      </c>
      <c r="AB488" s="26" t="n">
        <v>-0.532368180044244</v>
      </c>
      <c r="AC488" s="27" t="n">
        <v>0.336983285382513</v>
      </c>
      <c r="AD488" s="28" t="n">
        <f aca="false">Params!$B$6*Params!$B$7*$R488</f>
        <v>11.4358575645</v>
      </c>
      <c r="AE488" s="29" t="n">
        <f aca="false">MIN(Params!$B$9,AD488/Params!$B$4)</f>
        <v>0.022871715129</v>
      </c>
      <c r="AF488" s="29" t="n">
        <f aca="false">MIN(Params!$B$9,AD488/Params!$B$5)</f>
        <v>0.0114358575645</v>
      </c>
      <c r="AG488" s="28" t="n">
        <f aca="false">IF($R488&gt;0,Params!$B$9*Params!$B$4/(Params!$B$6*$R488),"n/a")</f>
        <v>7.86998259574204</v>
      </c>
      <c r="AH488" s="28" t="n">
        <f aca="false">IF($R488&gt;0,Params!$B$9*Params!$B$5/(Params!$B$6*$R488),"n/a")</f>
        <v>15.7399651914841</v>
      </c>
      <c r="AI488" s="28" t="n">
        <f aca="false">IF($R488&gt;0,Params!$B$15*Params!$B$4/(Params!$B$6*$R488),"n/a")</f>
        <v>2.62332753191401</v>
      </c>
      <c r="AJ488" s="29" t="n">
        <f aca="false">MIN(Params!$B$9,AD488*Params!$B$8/Params!$B$4)</f>
        <v>0.0114358575645</v>
      </c>
      <c r="AK488" s="28" t="n">
        <f aca="false">IF($R488&gt;0,Params!$B$9*Params!$B$4/(Params!$B$6*$R488*Params!$B$8),"n/a")</f>
        <v>15.7399651914841</v>
      </c>
      <c r="AL488" s="27" t="str">
        <f aca="false">IFERROR(ciq($D488,"IQ_PE_EXCL"),"")</f>
        <v/>
      </c>
      <c r="AM488" s="27" t="str">
        <f aca="false">IFERROR(ciq($D488,"IQ_PE_EXCL_FWD_CIQ"),"")</f>
        <v/>
      </c>
      <c r="AN488" s="27" t="str">
        <f aca="false">IFERROR(ciq($D488,"IQ_PBV"),"")</f>
        <v/>
      </c>
      <c r="AO488" s="27" t="str">
        <f aca="false">IFERROR(ciq($D488,"IQ_TEV_EBITDA"),"")</f>
        <v/>
      </c>
      <c r="AP488" s="24" t="str">
        <f aca="false">IFERROR(ciq($D488,"IQ_RETURN_EQUITY"),"")</f>
        <v/>
      </c>
      <c r="AQ488" s="24" t="str">
        <f aca="false">IFERROR(ciq($D488,"IQ_RETURN_CAPITAL"),"")</f>
        <v/>
      </c>
      <c r="AR488" s="24" t="str">
        <f aca="false">IFERROR(ciq($D488,"IQ_TOTAL_REV_1YR_ANN_GROWTH"),"")</f>
        <v/>
      </c>
      <c r="AS488" s="24" t="str">
        <f aca="false">IFERROR(ciq($D488,"IQ_EPS_1YR_ANN_GROWTH"),"")</f>
        <v/>
      </c>
      <c r="AT488" s="24" t="str">
        <f aca="false">IFERROR(ciq($D488,"IQ_DIVIDEND_YIELD"),"")</f>
        <v/>
      </c>
      <c r="AU488" s="24" t="str">
        <f aca="false">IFERROR(ciq($D488,"IQ_NET_DEBT"),"")</f>
        <v/>
      </c>
    </row>
    <row r="489" customFormat="false" ht="15" hidden="false" customHeight="false" outlineLevel="0" collapsed="false">
      <c r="A489" s="8" t="s">
        <v>2316</v>
      </c>
      <c r="B489" s="6" t="s">
        <v>2317</v>
      </c>
      <c r="C489" s="8" t="s">
        <v>72</v>
      </c>
      <c r="D489" s="8" t="s">
        <v>2318</v>
      </c>
      <c r="E489" s="8" t="s">
        <v>2319</v>
      </c>
      <c r="F489" s="6" t="s">
        <v>619</v>
      </c>
      <c r="G489" s="8" t="s">
        <v>58</v>
      </c>
      <c r="H489" s="8" t="s">
        <v>67</v>
      </c>
      <c r="I489" s="8"/>
      <c r="J489" s="8"/>
      <c r="K489" s="8"/>
      <c r="L489" s="8"/>
      <c r="M489" s="23" t="n">
        <v>11160</v>
      </c>
      <c r="N489" s="23" t="n">
        <v>2934.4292604</v>
      </c>
      <c r="O489" s="23" t="n">
        <v>3438.357009285</v>
      </c>
      <c r="P489" s="24" t="n">
        <v>92.241383065</v>
      </c>
      <c r="Q489" s="24" t="n">
        <v>108.161507678333</v>
      </c>
      <c r="R489" s="24" t="n">
        <v>92.241383065</v>
      </c>
      <c r="S489" s="25" t="n">
        <v>0.0314341818730455</v>
      </c>
      <c r="T489" s="26" t="n">
        <v>1.08750655161089</v>
      </c>
      <c r="U489" s="23" t="n">
        <v>0</v>
      </c>
      <c r="V489" s="26" t="n">
        <v>-0.06</v>
      </c>
      <c r="W489" s="26" t="n">
        <v>-0.157498754517604</v>
      </c>
      <c r="X489" s="26" t="n">
        <v>-0.0394132298619599</v>
      </c>
      <c r="Y489" s="26" t="n">
        <v>0.386791559650635</v>
      </c>
      <c r="Z489" s="26" t="n">
        <v>0.351431748274562</v>
      </c>
      <c r="AA489" s="26" t="n">
        <v>0.941241820175397</v>
      </c>
      <c r="AB489" s="26" t="n">
        <v>-0.331607086051277</v>
      </c>
      <c r="AC489" s="27" t="n">
        <v>0.680657640886098</v>
      </c>
      <c r="AD489" s="28" t="n">
        <f aca="false">Params!$B$6*Params!$B$7*$R489</f>
        <v>55.344829839</v>
      </c>
      <c r="AE489" s="29" t="n">
        <f aca="false">MIN(Params!$B$9,AD489/Params!$B$4)</f>
        <v>0.06</v>
      </c>
      <c r="AF489" s="29" t="n">
        <f aca="false">MIN(Params!$B$9,AD489/Params!$B$5)</f>
        <v>0.055344829839</v>
      </c>
      <c r="AG489" s="28" t="n">
        <f aca="false">IF($R489&gt;0,Params!$B$9*Params!$B$4/(Params!$B$6*$R489),"n/a")</f>
        <v>1.62616815810642</v>
      </c>
      <c r="AH489" s="28" t="n">
        <f aca="false">IF($R489&gt;0,Params!$B$9*Params!$B$5/(Params!$B$6*$R489),"n/a")</f>
        <v>3.25233631621285</v>
      </c>
      <c r="AI489" s="28" t="n">
        <f aca="false">IF($R489&gt;0,Params!$B$15*Params!$B$4/(Params!$B$6*$R489),"n/a")</f>
        <v>0.542056052702141</v>
      </c>
      <c r="AJ489" s="29" t="n">
        <f aca="false">MIN(Params!$B$9,AD489*Params!$B$8/Params!$B$4)</f>
        <v>0.055344829839</v>
      </c>
      <c r="AK489" s="28" t="n">
        <f aca="false">IF($R489&gt;0,Params!$B$9*Params!$B$4/(Params!$B$6*$R489*Params!$B$8),"n/a")</f>
        <v>3.25233631621285</v>
      </c>
      <c r="AL489" s="27" t="str">
        <f aca="false">IFERROR(ciq($D489,"IQ_PE_EXCL"),"")</f>
        <v/>
      </c>
      <c r="AM489" s="27" t="str">
        <f aca="false">IFERROR(ciq($D489,"IQ_PE_EXCL_FWD_CIQ"),"")</f>
        <v/>
      </c>
      <c r="AN489" s="27" t="str">
        <f aca="false">IFERROR(ciq($D489,"IQ_PBV"),"")</f>
        <v/>
      </c>
      <c r="AO489" s="27" t="str">
        <f aca="false">IFERROR(ciq($D489,"IQ_TEV_EBITDA"),"")</f>
        <v/>
      </c>
      <c r="AP489" s="24" t="str">
        <f aca="false">IFERROR(ciq($D489,"IQ_RETURN_EQUITY"),"")</f>
        <v/>
      </c>
      <c r="AQ489" s="24" t="str">
        <f aca="false">IFERROR(ciq($D489,"IQ_RETURN_CAPITAL"),"")</f>
        <v/>
      </c>
      <c r="AR489" s="24" t="str">
        <f aca="false">IFERROR(ciq($D489,"IQ_TOTAL_REV_1YR_ANN_GROWTH"),"")</f>
        <v/>
      </c>
      <c r="AS489" s="24" t="str">
        <f aca="false">IFERROR(ciq($D489,"IQ_EPS_1YR_ANN_GROWTH"),"")</f>
        <v/>
      </c>
      <c r="AT489" s="24" t="str">
        <f aca="false">IFERROR(ciq($D489,"IQ_DIVIDEND_YIELD"),"")</f>
        <v/>
      </c>
      <c r="AU489" s="24" t="str">
        <f aca="false">IFERROR(ciq($D489,"IQ_NET_DEBT"),"")</f>
        <v/>
      </c>
    </row>
    <row r="490" customFormat="false" ht="15" hidden="false" customHeight="false" outlineLevel="0" collapsed="false">
      <c r="A490" s="8" t="s">
        <v>2320</v>
      </c>
      <c r="B490" s="6" t="s">
        <v>2321</v>
      </c>
      <c r="C490" s="8" t="s">
        <v>73</v>
      </c>
      <c r="D490" s="8" t="s">
        <v>2322</v>
      </c>
      <c r="E490" s="8" t="s">
        <v>2323</v>
      </c>
      <c r="F490" s="8"/>
      <c r="G490" s="8" t="s">
        <v>58</v>
      </c>
      <c r="H490" s="8" t="s">
        <v>67</v>
      </c>
      <c r="I490" s="8"/>
      <c r="J490" s="8"/>
      <c r="K490" s="8"/>
      <c r="L490" s="8" t="s">
        <v>115</v>
      </c>
      <c r="M490" s="23" t="n">
        <v>23650</v>
      </c>
      <c r="N490" s="23" t="n">
        <v>2881.5266425</v>
      </c>
      <c r="O490" s="23" t="n">
        <v>3239.432964375</v>
      </c>
      <c r="P490" s="24" t="n">
        <v>49.082265</v>
      </c>
      <c r="Q490" s="24" t="n">
        <v>106.704698981667</v>
      </c>
      <c r="R490" s="24" t="n">
        <v>49.082265</v>
      </c>
      <c r="S490" s="25" t="n">
        <v>0.0170334239760547</v>
      </c>
      <c r="T490" s="26" t="n">
        <v>1.27679444105614</v>
      </c>
      <c r="U490" s="23" t="n">
        <v>3</v>
      </c>
      <c r="V490" s="26" t="n">
        <v>-0.04</v>
      </c>
      <c r="W490" s="26" t="n">
        <v>-0.133706978917097</v>
      </c>
      <c r="X490" s="26" t="n">
        <v>-0.41875861073635</v>
      </c>
      <c r="Y490" s="26" t="n">
        <v>0.288449180488575</v>
      </c>
      <c r="Z490" s="26" t="n">
        <v>0.391711872845387</v>
      </c>
      <c r="AA490" s="26" t="n">
        <v>0.656136449270568</v>
      </c>
      <c r="AB490" s="26" t="n">
        <v>-0.590007445324231</v>
      </c>
      <c r="AC490" s="27" t="n">
        <v>0.317647911796784</v>
      </c>
      <c r="AD490" s="28" t="n">
        <f aca="false">Params!$B$6*Params!$B$7*$R490</f>
        <v>29.449359</v>
      </c>
      <c r="AE490" s="29" t="n">
        <f aca="false">MIN(Params!$B$9,AD490/Params!$B$4)</f>
        <v>0.058898718</v>
      </c>
      <c r="AF490" s="29" t="n">
        <f aca="false">MIN(Params!$B$9,AD490/Params!$B$5)</f>
        <v>0.029449359</v>
      </c>
      <c r="AG490" s="28" t="n">
        <f aca="false">IF($R490&gt;0,Params!$B$9*Params!$B$4/(Params!$B$6*$R490),"n/a")</f>
        <v>3.05609368271819</v>
      </c>
      <c r="AH490" s="28" t="n">
        <f aca="false">IF($R490&gt;0,Params!$B$9*Params!$B$5/(Params!$B$6*$R490),"n/a")</f>
        <v>6.11218736543637</v>
      </c>
      <c r="AI490" s="28" t="n">
        <f aca="false">IF($R490&gt;0,Params!$B$15*Params!$B$4/(Params!$B$6*$R490),"n/a")</f>
        <v>1.0186978942394</v>
      </c>
      <c r="AJ490" s="29" t="n">
        <f aca="false">MIN(Params!$B$9,AD490*Params!$B$8/Params!$B$4)</f>
        <v>0.029449359</v>
      </c>
      <c r="AK490" s="28" t="n">
        <f aca="false">IF($R490&gt;0,Params!$B$9*Params!$B$4/(Params!$B$6*$R490*Params!$B$8),"n/a")</f>
        <v>6.11218736543637</v>
      </c>
      <c r="AL490" s="27" t="str">
        <f aca="false">IFERROR(ciq($D490,"IQ_PE_EXCL"),"")</f>
        <v/>
      </c>
      <c r="AM490" s="27" t="str">
        <f aca="false">IFERROR(ciq($D490,"IQ_PE_EXCL_FWD_CIQ"),"")</f>
        <v/>
      </c>
      <c r="AN490" s="27" t="str">
        <f aca="false">IFERROR(ciq($D490,"IQ_PBV"),"")</f>
        <v/>
      </c>
      <c r="AO490" s="27" t="str">
        <f aca="false">IFERROR(ciq($D490,"IQ_TEV_EBITDA"),"")</f>
        <v/>
      </c>
      <c r="AP490" s="24" t="str">
        <f aca="false">IFERROR(ciq($D490,"IQ_RETURN_EQUITY"),"")</f>
        <v/>
      </c>
      <c r="AQ490" s="24" t="str">
        <f aca="false">IFERROR(ciq($D490,"IQ_RETURN_CAPITAL"),"")</f>
        <v/>
      </c>
      <c r="AR490" s="24" t="str">
        <f aca="false">IFERROR(ciq($D490,"IQ_TOTAL_REV_1YR_ANN_GROWTH"),"")</f>
        <v/>
      </c>
      <c r="AS490" s="24" t="str">
        <f aca="false">IFERROR(ciq($D490,"IQ_EPS_1YR_ANN_GROWTH"),"")</f>
        <v/>
      </c>
      <c r="AT490" s="24" t="str">
        <f aca="false">IFERROR(ciq($D490,"IQ_DIVIDEND_YIELD"),"")</f>
        <v/>
      </c>
      <c r="AU490" s="24" t="str">
        <f aca="false">IFERROR(ciq($D490,"IQ_NET_DEBT"),"")</f>
        <v/>
      </c>
    </row>
    <row r="491" customFormat="false" ht="15" hidden="false" customHeight="false" outlineLevel="0" collapsed="false">
      <c r="A491" s="8" t="s">
        <v>2324</v>
      </c>
      <c r="B491" s="6" t="s">
        <v>2325</v>
      </c>
      <c r="C491" s="8" t="s">
        <v>73</v>
      </c>
      <c r="D491" s="8" t="s">
        <v>2326</v>
      </c>
      <c r="E491" s="8" t="s">
        <v>2327</v>
      </c>
      <c r="F491" s="8"/>
      <c r="G491" s="8" t="s">
        <v>58</v>
      </c>
      <c r="H491" s="8" t="s">
        <v>67</v>
      </c>
      <c r="I491" s="8"/>
      <c r="J491" s="8"/>
      <c r="K491" s="8"/>
      <c r="L491" s="8" t="s">
        <v>115</v>
      </c>
      <c r="M491" s="23" t="n">
        <v>14400</v>
      </c>
      <c r="N491" s="23" t="n">
        <v>2880.17712</v>
      </c>
      <c r="O491" s="23" t="n">
        <v>3449.11210735</v>
      </c>
      <c r="P491" s="24" t="n">
        <v>66.5526466925</v>
      </c>
      <c r="Q491" s="24" t="n">
        <v>69.9850826658333</v>
      </c>
      <c r="R491" s="24" t="n">
        <v>66.5526466925</v>
      </c>
      <c r="S491" s="25" t="n">
        <v>0.0231071367904277</v>
      </c>
      <c r="T491" s="26" t="n">
        <v>1.08457253164866</v>
      </c>
      <c r="U491" s="23" t="n">
        <v>3</v>
      </c>
      <c r="V491" s="26" t="n">
        <v>-0.04</v>
      </c>
      <c r="W491" s="26" t="n">
        <v>-0.217002460361316</v>
      </c>
      <c r="X491" s="26" t="n">
        <v>-0.304402554890592</v>
      </c>
      <c r="Y491" s="26" t="n">
        <v>-0.239307324100214</v>
      </c>
      <c r="Z491" s="26" t="n">
        <v>1.09915846438196</v>
      </c>
      <c r="AA491" s="26" t="n">
        <v>0.863225158804291</v>
      </c>
      <c r="AB491" s="26" t="n">
        <v>-0.563651551382839</v>
      </c>
      <c r="AC491" s="27" t="n">
        <v>0.682241277545962</v>
      </c>
      <c r="AD491" s="28" t="n">
        <f aca="false">Params!$B$6*Params!$B$7*$R491</f>
        <v>39.9315880155</v>
      </c>
      <c r="AE491" s="29" t="n">
        <f aca="false">MIN(Params!$B$9,AD491/Params!$B$4)</f>
        <v>0.06</v>
      </c>
      <c r="AF491" s="29" t="n">
        <f aca="false">MIN(Params!$B$9,AD491/Params!$B$5)</f>
        <v>0.0399315880155</v>
      </c>
      <c r="AG491" s="28" t="n">
        <f aca="false">IF($R491&gt;0,Params!$B$9*Params!$B$4/(Params!$B$6*$R491),"n/a")</f>
        <v>2.25385476693452</v>
      </c>
      <c r="AH491" s="28" t="n">
        <f aca="false">IF($R491&gt;0,Params!$B$9*Params!$B$5/(Params!$B$6*$R491),"n/a")</f>
        <v>4.50770953386904</v>
      </c>
      <c r="AI491" s="28" t="n">
        <f aca="false">IF($R491&gt;0,Params!$B$15*Params!$B$4/(Params!$B$6*$R491),"n/a")</f>
        <v>0.751284922311506</v>
      </c>
      <c r="AJ491" s="29" t="n">
        <f aca="false">MIN(Params!$B$9,AD491*Params!$B$8/Params!$B$4)</f>
        <v>0.0399315880155</v>
      </c>
      <c r="AK491" s="28" t="n">
        <f aca="false">IF($R491&gt;0,Params!$B$9*Params!$B$4/(Params!$B$6*$R491*Params!$B$8),"n/a")</f>
        <v>4.50770953386904</v>
      </c>
      <c r="AL491" s="27" t="str">
        <f aca="false">IFERROR(ciq($D491,"IQ_PE_EXCL"),"")</f>
        <v/>
      </c>
      <c r="AM491" s="27" t="str">
        <f aca="false">IFERROR(ciq($D491,"IQ_PE_EXCL_FWD_CIQ"),"")</f>
        <v/>
      </c>
      <c r="AN491" s="27" t="str">
        <f aca="false">IFERROR(ciq($D491,"IQ_PBV"),"")</f>
        <v/>
      </c>
      <c r="AO491" s="27" t="str">
        <f aca="false">IFERROR(ciq($D491,"IQ_TEV_EBITDA"),"")</f>
        <v/>
      </c>
      <c r="AP491" s="24" t="str">
        <f aca="false">IFERROR(ciq($D491,"IQ_RETURN_EQUITY"),"")</f>
        <v/>
      </c>
      <c r="AQ491" s="24" t="str">
        <f aca="false">IFERROR(ciq($D491,"IQ_RETURN_CAPITAL"),"")</f>
        <v/>
      </c>
      <c r="AR491" s="24" t="str">
        <f aca="false">IFERROR(ciq($D491,"IQ_TOTAL_REV_1YR_ANN_GROWTH"),"")</f>
        <v/>
      </c>
      <c r="AS491" s="24" t="str">
        <f aca="false">IFERROR(ciq($D491,"IQ_EPS_1YR_ANN_GROWTH"),"")</f>
        <v/>
      </c>
      <c r="AT491" s="24" t="str">
        <f aca="false">IFERROR(ciq($D491,"IQ_DIVIDEND_YIELD"),"")</f>
        <v/>
      </c>
      <c r="AU491" s="24" t="str">
        <f aca="false">IFERROR(ciq($D491,"IQ_NET_DEBT"),"")</f>
        <v/>
      </c>
    </row>
    <row r="492" customFormat="false" ht="15" hidden="false" customHeight="false" outlineLevel="0" collapsed="false">
      <c r="A492" s="8" t="s">
        <v>2328</v>
      </c>
      <c r="B492" s="6" t="s">
        <v>2329</v>
      </c>
      <c r="C492" s="8" t="s">
        <v>73</v>
      </c>
      <c r="D492" s="8" t="s">
        <v>2330</v>
      </c>
      <c r="E492" s="8" t="s">
        <v>2331</v>
      </c>
      <c r="F492" s="6" t="s">
        <v>513</v>
      </c>
      <c r="G492" s="8" t="s">
        <v>58</v>
      </c>
      <c r="H492" s="8" t="s">
        <v>67</v>
      </c>
      <c r="I492" s="8"/>
      <c r="J492" s="8"/>
      <c r="K492" s="8"/>
      <c r="L492" s="8" t="s">
        <v>115</v>
      </c>
      <c r="M492" s="23" t="n">
        <v>18380</v>
      </c>
      <c r="N492" s="23" t="n">
        <v>2801.9174116</v>
      </c>
      <c r="O492" s="23" t="n">
        <v>3302.46669457</v>
      </c>
      <c r="P492" s="24" t="n">
        <v>26.3340954775</v>
      </c>
      <c r="Q492" s="24" t="n">
        <v>36.3132253791667</v>
      </c>
      <c r="R492" s="24" t="n">
        <v>26.3340954775</v>
      </c>
      <c r="S492" s="25" t="n">
        <v>0.00939859803450175</v>
      </c>
      <c r="T492" s="26" t="n">
        <v>1.13290434797516</v>
      </c>
      <c r="U492" s="23" t="n">
        <v>2</v>
      </c>
      <c r="V492" s="26" t="n">
        <v>-0.04</v>
      </c>
      <c r="W492" s="26" t="n">
        <v>-0.107732271600221</v>
      </c>
      <c r="X492" s="26" t="n">
        <v>-0.270713083286691</v>
      </c>
      <c r="Y492" s="26" t="n">
        <v>-0.2689563661726</v>
      </c>
      <c r="Z492" s="26" t="n">
        <v>-0.146908166339624</v>
      </c>
      <c r="AA492" s="26" t="n">
        <v>0.985930384290724</v>
      </c>
      <c r="AB492" s="26" t="n">
        <v>-0.567613033392921</v>
      </c>
      <c r="AC492" s="27" t="n">
        <v>0.346831232277879</v>
      </c>
      <c r="AD492" s="28" t="n">
        <f aca="false">Params!$B$6*Params!$B$7*$R492</f>
        <v>15.8004572865</v>
      </c>
      <c r="AE492" s="29" t="n">
        <f aca="false">MIN(Params!$B$9,AD492/Params!$B$4)</f>
        <v>0.031600914573</v>
      </c>
      <c r="AF492" s="29" t="n">
        <f aca="false">MIN(Params!$B$9,AD492/Params!$B$5)</f>
        <v>0.0158004572865</v>
      </c>
      <c r="AG492" s="28" t="n">
        <f aca="false">IF($R492&gt;0,Params!$B$9*Params!$B$4/(Params!$B$6*$R492),"n/a")</f>
        <v>5.69603767587768</v>
      </c>
      <c r="AH492" s="28" t="n">
        <f aca="false">IF($R492&gt;0,Params!$B$9*Params!$B$5/(Params!$B$6*$R492),"n/a")</f>
        <v>11.3920753517554</v>
      </c>
      <c r="AI492" s="28" t="n">
        <f aca="false">IF($R492&gt;0,Params!$B$15*Params!$B$4/(Params!$B$6*$R492),"n/a")</f>
        <v>1.89867922529256</v>
      </c>
      <c r="AJ492" s="29" t="n">
        <f aca="false">MIN(Params!$B$9,AD492*Params!$B$8/Params!$B$4)</f>
        <v>0.0158004572865</v>
      </c>
      <c r="AK492" s="28" t="n">
        <f aca="false">IF($R492&gt;0,Params!$B$9*Params!$B$4/(Params!$B$6*$R492*Params!$B$8),"n/a")</f>
        <v>11.3920753517554</v>
      </c>
      <c r="AL492" s="27" t="str">
        <f aca="false">IFERROR(ciq($D492,"IQ_PE_EXCL"),"")</f>
        <v/>
      </c>
      <c r="AM492" s="27" t="str">
        <f aca="false">IFERROR(ciq($D492,"IQ_PE_EXCL_FWD_CIQ"),"")</f>
        <v/>
      </c>
      <c r="AN492" s="27" t="str">
        <f aca="false">IFERROR(ciq($D492,"IQ_PBV"),"")</f>
        <v/>
      </c>
      <c r="AO492" s="27" t="str">
        <f aca="false">IFERROR(ciq($D492,"IQ_TEV_EBITDA"),"")</f>
        <v/>
      </c>
      <c r="AP492" s="24" t="str">
        <f aca="false">IFERROR(ciq($D492,"IQ_RETURN_EQUITY"),"")</f>
        <v/>
      </c>
      <c r="AQ492" s="24" t="str">
        <f aca="false">IFERROR(ciq($D492,"IQ_RETURN_CAPITAL"),"")</f>
        <v/>
      </c>
      <c r="AR492" s="24" t="str">
        <f aca="false">IFERROR(ciq($D492,"IQ_TOTAL_REV_1YR_ANN_GROWTH"),"")</f>
        <v/>
      </c>
      <c r="AS492" s="24" t="str">
        <f aca="false">IFERROR(ciq($D492,"IQ_EPS_1YR_ANN_GROWTH"),"")</f>
        <v/>
      </c>
      <c r="AT492" s="24" t="str">
        <f aca="false">IFERROR(ciq($D492,"IQ_DIVIDEND_YIELD"),"")</f>
        <v/>
      </c>
      <c r="AU492" s="24" t="str">
        <f aca="false">IFERROR(ciq($D492,"IQ_NET_DEBT"),"")</f>
        <v/>
      </c>
    </row>
    <row r="493" customFormat="false" ht="15" hidden="false" customHeight="false" outlineLevel="0" collapsed="false">
      <c r="A493" s="8" t="s">
        <v>438</v>
      </c>
      <c r="B493" s="6" t="s">
        <v>439</v>
      </c>
      <c r="C493" s="8" t="s">
        <v>73</v>
      </c>
      <c r="D493" s="8" t="s">
        <v>2332</v>
      </c>
      <c r="E493" s="8" t="s">
        <v>2333</v>
      </c>
      <c r="F493" s="8"/>
      <c r="G493" s="8" t="s">
        <v>58</v>
      </c>
      <c r="H493" s="8" t="s">
        <v>67</v>
      </c>
      <c r="I493" s="8" t="s">
        <v>508</v>
      </c>
      <c r="J493" s="8"/>
      <c r="K493" s="8"/>
      <c r="L493" s="8" t="s">
        <v>394</v>
      </c>
      <c r="M493" s="23" t="n">
        <v>45550</v>
      </c>
      <c r="N493" s="23" t="n">
        <v>2766.9151635</v>
      </c>
      <c r="O493" s="23" t="n">
        <v>3454.088111625</v>
      </c>
      <c r="P493" s="24" t="n">
        <v>56.201184775</v>
      </c>
      <c r="Q493" s="24" t="n">
        <v>59.9693006625</v>
      </c>
      <c r="R493" s="24" t="n">
        <v>56.201184775</v>
      </c>
      <c r="S493" s="25" t="n">
        <v>0.0203118568709235</v>
      </c>
      <c r="T493" s="26" t="n">
        <v>1.33286697746891</v>
      </c>
      <c r="U493" s="23" t="n">
        <v>6</v>
      </c>
      <c r="V493" s="26" t="n">
        <v>-0.04</v>
      </c>
      <c r="W493" s="26" t="n">
        <v>-0.301150999374686</v>
      </c>
      <c r="X493" s="26" t="n">
        <v>-0.371470056164263</v>
      </c>
      <c r="Y493" s="26" t="n">
        <v>-0.667286242775825</v>
      </c>
      <c r="Z493" s="26" t="n">
        <v>0.0404603198925515</v>
      </c>
      <c r="AA493" s="26" t="n">
        <v>2.74377924620791</v>
      </c>
      <c r="AB493" s="26" t="n">
        <v>-0.731699626174425</v>
      </c>
      <c r="AC493" s="27" t="n">
        <v>0.375313044125796</v>
      </c>
      <c r="AD493" s="28" t="n">
        <f aca="false">Params!$B$6*Params!$B$7*$R493</f>
        <v>33.720710865</v>
      </c>
      <c r="AE493" s="29" t="n">
        <f aca="false">MIN(Params!$B$9,AD493/Params!$B$4)</f>
        <v>0.06</v>
      </c>
      <c r="AF493" s="29" t="n">
        <f aca="false">MIN(Params!$B$9,AD493/Params!$B$5)</f>
        <v>0.033720710865</v>
      </c>
      <c r="AG493" s="28" t="n">
        <f aca="false">IF($R493&gt;0,Params!$B$9*Params!$B$4/(Params!$B$6*$R493),"n/a")</f>
        <v>2.66898287999659</v>
      </c>
      <c r="AH493" s="28" t="n">
        <f aca="false">IF($R493&gt;0,Params!$B$9*Params!$B$5/(Params!$B$6*$R493),"n/a")</f>
        <v>5.33796575999318</v>
      </c>
      <c r="AI493" s="28" t="n">
        <f aca="false">IF($R493&gt;0,Params!$B$15*Params!$B$4/(Params!$B$6*$R493),"n/a")</f>
        <v>0.889660959998863</v>
      </c>
      <c r="AJ493" s="29" t="n">
        <f aca="false">MIN(Params!$B$9,AD493*Params!$B$8/Params!$B$4)</f>
        <v>0.033720710865</v>
      </c>
      <c r="AK493" s="28" t="n">
        <f aca="false">IF($R493&gt;0,Params!$B$9*Params!$B$4/(Params!$B$6*$R493*Params!$B$8),"n/a")</f>
        <v>5.33796575999318</v>
      </c>
      <c r="AL493" s="27" t="str">
        <f aca="false">IFERROR(ciq($D493,"IQ_PE_EXCL"),"")</f>
        <v/>
      </c>
      <c r="AM493" s="27" t="str">
        <f aca="false">IFERROR(ciq($D493,"IQ_PE_EXCL_FWD_CIQ"),"")</f>
        <v/>
      </c>
      <c r="AN493" s="27" t="str">
        <f aca="false">IFERROR(ciq($D493,"IQ_PBV"),"")</f>
        <v/>
      </c>
      <c r="AO493" s="27" t="str">
        <f aca="false">IFERROR(ciq($D493,"IQ_TEV_EBITDA"),"")</f>
        <v/>
      </c>
      <c r="AP493" s="24" t="str">
        <f aca="false">IFERROR(ciq($D493,"IQ_RETURN_EQUITY"),"")</f>
        <v/>
      </c>
      <c r="AQ493" s="24" t="str">
        <f aca="false">IFERROR(ciq($D493,"IQ_RETURN_CAPITAL"),"")</f>
        <v/>
      </c>
      <c r="AR493" s="24" t="str">
        <f aca="false">IFERROR(ciq($D493,"IQ_TOTAL_REV_1YR_ANN_GROWTH"),"")</f>
        <v/>
      </c>
      <c r="AS493" s="24" t="str">
        <f aca="false">IFERROR(ciq($D493,"IQ_EPS_1YR_ANN_GROWTH"),"")</f>
        <v/>
      </c>
      <c r="AT493" s="24" t="str">
        <f aca="false">IFERROR(ciq($D493,"IQ_DIVIDEND_YIELD"),"")</f>
        <v/>
      </c>
      <c r="AU493" s="24" t="str">
        <f aca="false">IFERROR(ciq($D493,"IQ_NET_DEBT"),"")</f>
        <v/>
      </c>
    </row>
    <row r="494" customFormat="false" ht="15" hidden="false" customHeight="false" outlineLevel="0" collapsed="false">
      <c r="A494" s="8" t="s">
        <v>2334</v>
      </c>
      <c r="B494" s="6" t="s">
        <v>2335</v>
      </c>
      <c r="C494" s="8" t="s">
        <v>73</v>
      </c>
      <c r="D494" s="8" t="s">
        <v>2336</v>
      </c>
      <c r="E494" s="8" t="s">
        <v>2337</v>
      </c>
      <c r="F494" s="6" t="s">
        <v>627</v>
      </c>
      <c r="G494" s="8" t="s">
        <v>58</v>
      </c>
      <c r="H494" s="8" t="s">
        <v>67</v>
      </c>
      <c r="I494" s="8"/>
      <c r="J494" s="8"/>
      <c r="K494" s="8"/>
      <c r="L494" s="8" t="s">
        <v>115</v>
      </c>
      <c r="M494" s="23" t="n">
        <v>22750</v>
      </c>
      <c r="N494" s="23" t="n">
        <v>2485.2652825</v>
      </c>
      <c r="O494" s="23" t="n">
        <v>3083.640692825</v>
      </c>
      <c r="P494" s="24" t="n">
        <v>53.161851025</v>
      </c>
      <c r="Q494" s="24" t="n">
        <v>68.4143194416667</v>
      </c>
      <c r="R494" s="24" t="n">
        <v>53.161851025</v>
      </c>
      <c r="S494" s="25" t="n">
        <v>0.0213908154591541</v>
      </c>
      <c r="T494" s="26" t="n">
        <v>1.44707531618498</v>
      </c>
      <c r="U494" s="23" t="n">
        <v>4</v>
      </c>
      <c r="V494" s="26" t="n">
        <v>-0.04</v>
      </c>
      <c r="W494" s="26" t="n">
        <v>-0.289012159760174</v>
      </c>
      <c r="X494" s="26" t="n">
        <v>-0.476431654486011</v>
      </c>
      <c r="Y494" s="26" t="n">
        <v>0.0857652628681906</v>
      </c>
      <c r="Z494" s="26" t="n">
        <v>0.557851970166287</v>
      </c>
      <c r="AA494" s="26" t="n">
        <v>0.825029205689809</v>
      </c>
      <c r="AB494" s="26" t="n">
        <v>-0.510753150472928</v>
      </c>
      <c r="AC494" s="27" t="n">
        <v>0.713624581500534</v>
      </c>
      <c r="AD494" s="28" t="n">
        <f aca="false">Params!$B$6*Params!$B$7*$R494</f>
        <v>31.897110615</v>
      </c>
      <c r="AE494" s="29" t="n">
        <f aca="false">MIN(Params!$B$9,AD494/Params!$B$4)</f>
        <v>0.06</v>
      </c>
      <c r="AF494" s="29" t="n">
        <f aca="false">MIN(Params!$B$9,AD494/Params!$B$5)</f>
        <v>0.031897110615</v>
      </c>
      <c r="AG494" s="28" t="n">
        <f aca="false">IF($R494&gt;0,Params!$B$9*Params!$B$4/(Params!$B$6*$R494),"n/a")</f>
        <v>2.8215721820796</v>
      </c>
      <c r="AH494" s="28" t="n">
        <f aca="false">IF($R494&gt;0,Params!$B$9*Params!$B$5/(Params!$B$6*$R494),"n/a")</f>
        <v>5.6431443641592</v>
      </c>
      <c r="AI494" s="28" t="n">
        <f aca="false">IF($R494&gt;0,Params!$B$15*Params!$B$4/(Params!$B$6*$R494),"n/a")</f>
        <v>0.940524060693201</v>
      </c>
      <c r="AJ494" s="29" t="n">
        <f aca="false">MIN(Params!$B$9,AD494*Params!$B$8/Params!$B$4)</f>
        <v>0.031897110615</v>
      </c>
      <c r="AK494" s="28" t="n">
        <f aca="false">IF($R494&gt;0,Params!$B$9*Params!$B$4/(Params!$B$6*$R494*Params!$B$8),"n/a")</f>
        <v>5.6431443641592</v>
      </c>
      <c r="AL494" s="27" t="str">
        <f aca="false">IFERROR(ciq($D494,"IQ_PE_EXCL"),"")</f>
        <v/>
      </c>
      <c r="AM494" s="27" t="str">
        <f aca="false">IFERROR(ciq($D494,"IQ_PE_EXCL_FWD_CIQ"),"")</f>
        <v/>
      </c>
      <c r="AN494" s="27" t="str">
        <f aca="false">IFERROR(ciq($D494,"IQ_PBV"),"")</f>
        <v/>
      </c>
      <c r="AO494" s="27" t="str">
        <f aca="false">IFERROR(ciq($D494,"IQ_TEV_EBITDA"),"")</f>
        <v/>
      </c>
      <c r="AP494" s="24" t="str">
        <f aca="false">IFERROR(ciq($D494,"IQ_RETURN_EQUITY"),"")</f>
        <v/>
      </c>
      <c r="AQ494" s="24" t="str">
        <f aca="false">IFERROR(ciq($D494,"IQ_RETURN_CAPITAL"),"")</f>
        <v/>
      </c>
      <c r="AR494" s="24" t="str">
        <f aca="false">IFERROR(ciq($D494,"IQ_TOTAL_REV_1YR_ANN_GROWTH"),"")</f>
        <v/>
      </c>
      <c r="AS494" s="24" t="str">
        <f aca="false">IFERROR(ciq($D494,"IQ_EPS_1YR_ANN_GROWTH"),"")</f>
        <v/>
      </c>
      <c r="AT494" s="24" t="str">
        <f aca="false">IFERROR(ciq($D494,"IQ_DIVIDEND_YIELD"),"")</f>
        <v/>
      </c>
      <c r="AU494" s="24" t="str">
        <f aca="false">IFERROR(ciq($D494,"IQ_NET_DEBT"),"")</f>
        <v/>
      </c>
    </row>
    <row r="495" customFormat="false" ht="15" hidden="false" customHeight="false" outlineLevel="0" collapsed="false">
      <c r="A495" s="8" t="s">
        <v>2338</v>
      </c>
      <c r="B495" s="6" t="s">
        <v>2339</v>
      </c>
      <c r="C495" s="8" t="s">
        <v>72</v>
      </c>
      <c r="D495" s="8" t="s">
        <v>2340</v>
      </c>
      <c r="E495" s="8" t="s">
        <v>2341</v>
      </c>
      <c r="F495" s="8"/>
      <c r="G495" s="8" t="s">
        <v>58</v>
      </c>
      <c r="H495" s="8" t="s">
        <v>67</v>
      </c>
      <c r="I495" s="8"/>
      <c r="J495" s="8"/>
      <c r="K495" s="8"/>
      <c r="L495" s="8"/>
      <c r="M495" s="23" t="n">
        <v>2365</v>
      </c>
      <c r="N495" s="23" t="n">
        <v>955.46</v>
      </c>
      <c r="O495" s="23" t="n">
        <v>3542.575</v>
      </c>
      <c r="P495" s="24" t="n">
        <v>20.4106258595</v>
      </c>
      <c r="Q495" s="24" t="n">
        <v>17.4761291506667</v>
      </c>
      <c r="R495" s="24" t="n">
        <v>17.4761291506667</v>
      </c>
      <c r="S495" s="25" t="n">
        <v>0.021362093504176</v>
      </c>
      <c r="T495" s="26" t="n">
        <v>0.165334782707334</v>
      </c>
      <c r="U495" s="23" t="n">
        <v>0</v>
      </c>
      <c r="V495" s="26" t="n">
        <v>-0.06</v>
      </c>
      <c r="W495" s="26" t="n">
        <v>0.0499000633580418</v>
      </c>
      <c r="X495" s="26" t="n">
        <v>0.133037217931267</v>
      </c>
      <c r="Y495" s="26" t="n">
        <v>0.249455758739489</v>
      </c>
      <c r="Z495" s="26" t="n">
        <v>0.298125119849005</v>
      </c>
      <c r="AA495" s="26" t="n">
        <v>0.937854215948922</v>
      </c>
      <c r="AB495" s="26" t="n">
        <v>-0.00210882000000001</v>
      </c>
      <c r="AC495" s="27" t="n">
        <v>1.17691482993032</v>
      </c>
      <c r="AD495" s="28" t="n">
        <f aca="false">Params!$B$6*Params!$B$7*$R495</f>
        <v>10.4856774904</v>
      </c>
      <c r="AE495" s="29" t="n">
        <f aca="false">MIN(Params!$B$9,AD495/Params!$B$4)</f>
        <v>0.0209713549808</v>
      </c>
      <c r="AF495" s="29" t="n">
        <f aca="false">MIN(Params!$B$9,AD495/Params!$B$5)</f>
        <v>0.0104856774904</v>
      </c>
      <c r="AG495" s="28" t="n">
        <f aca="false">IF($R495&gt;0,Params!$B$9*Params!$B$4/(Params!$B$6*$R495),"n/a")</f>
        <v>8.58313638602733</v>
      </c>
      <c r="AH495" s="28" t="n">
        <f aca="false">IF($R495&gt;0,Params!$B$9*Params!$B$5/(Params!$B$6*$R495),"n/a")</f>
        <v>17.1662727720547</v>
      </c>
      <c r="AI495" s="28" t="n">
        <f aca="false">IF($R495&gt;0,Params!$B$15*Params!$B$4/(Params!$B$6*$R495),"n/a")</f>
        <v>2.86104546200911</v>
      </c>
      <c r="AJ495" s="29" t="n">
        <f aca="false">MIN(Params!$B$9,AD495*Params!$B$8/Params!$B$4)</f>
        <v>0.0104856774904</v>
      </c>
      <c r="AK495" s="28" t="n">
        <f aca="false">IF($R495&gt;0,Params!$B$9*Params!$B$4/(Params!$B$6*$R495*Params!$B$8),"n/a")</f>
        <v>17.1662727720547</v>
      </c>
      <c r="AL495" s="27" t="str">
        <f aca="false">IFERROR(ciq($D495,"IQ_PE_EXCL"),"")</f>
        <v/>
      </c>
      <c r="AM495" s="27" t="str">
        <f aca="false">IFERROR(ciq($D495,"IQ_PE_EXCL_FWD_CIQ"),"")</f>
        <v/>
      </c>
      <c r="AN495" s="27" t="str">
        <f aca="false">IFERROR(ciq($D495,"IQ_PBV"),"")</f>
        <v/>
      </c>
      <c r="AO495" s="27" t="str">
        <f aca="false">IFERROR(ciq($D495,"IQ_TEV_EBITDA"),"")</f>
        <v/>
      </c>
      <c r="AP495" s="24" t="str">
        <f aca="false">IFERROR(ciq($D495,"IQ_RETURN_EQUITY"),"")</f>
        <v/>
      </c>
      <c r="AQ495" s="24" t="str">
        <f aca="false">IFERROR(ciq($D495,"IQ_RETURN_CAPITAL"),"")</f>
        <v/>
      </c>
      <c r="AR495" s="24" t="str">
        <f aca="false">IFERROR(ciq($D495,"IQ_TOTAL_REV_1YR_ANN_GROWTH"),"")</f>
        <v/>
      </c>
      <c r="AS495" s="24" t="str">
        <f aca="false">IFERROR(ciq($D495,"IQ_EPS_1YR_ANN_GROWTH"),"")</f>
        <v/>
      </c>
      <c r="AT495" s="24" t="str">
        <f aca="false">IFERROR(ciq($D495,"IQ_DIVIDEND_YIELD"),"")</f>
        <v/>
      </c>
      <c r="AU495" s="24" t="str">
        <f aca="false">IFERROR(ciq($D495,"IQ_NET_DEBT"),"")</f>
        <v/>
      </c>
    </row>
  </sheetData>
  <autoFilter ref="A3:AU495"/>
  <conditionalFormatting sqref="A4:AU495">
    <cfRule type="expression" priority="2" aboveAverage="0" equalAverage="0" bottom="0" percent="0" rank="0" text="" dxfId="5">
      <formula>$I4="Y"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"/>
    <col collapsed="false" customWidth="true" hidden="false" outlineLevel="0" max="3" min="3" style="0" width="14"/>
    <col collapsed="false" customWidth="true" hidden="false" outlineLevel="0" max="4" min="4" style="0" width="9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10" min="8" style="0" width="10"/>
    <col collapsed="false" customWidth="true" hidden="false" outlineLevel="0" max="12" min="11" style="0" width="22"/>
    <col collapsed="false" customWidth="true" hidden="false" outlineLevel="0" max="14" min="13" style="0" width="10"/>
    <col collapsed="false" customWidth="true" hidden="false" outlineLevel="0" max="15" min="15" style="0" width="12"/>
  </cols>
  <sheetData>
    <row r="1" customFormat="false" ht="15" hidden="false" customHeight="false" outlineLevel="0" collapsed="false">
      <c r="A1" s="14" t="s">
        <v>2342</v>
      </c>
    </row>
    <row r="3" customFormat="false" ht="34.3" hidden="false" customHeight="false" outlineLevel="0" collapsed="false">
      <c r="A3" s="7" t="s">
        <v>2343</v>
      </c>
      <c r="B3" s="7" t="s">
        <v>2344</v>
      </c>
      <c r="C3" s="7" t="s">
        <v>2345</v>
      </c>
      <c r="D3" s="7" t="s">
        <v>2346</v>
      </c>
      <c r="E3" s="7" t="s">
        <v>2347</v>
      </c>
      <c r="F3" s="7" t="s">
        <v>2348</v>
      </c>
      <c r="G3" s="7" t="s">
        <v>2349</v>
      </c>
      <c r="H3" s="7" t="s">
        <v>2350</v>
      </c>
      <c r="I3" s="7" t="s">
        <v>2351</v>
      </c>
      <c r="J3" s="7" t="s">
        <v>2352</v>
      </c>
      <c r="K3" s="7" t="s">
        <v>2353</v>
      </c>
      <c r="L3" s="7" t="s">
        <v>2354</v>
      </c>
      <c r="M3" s="7" t="s">
        <v>2355</v>
      </c>
      <c r="N3" s="7" t="s">
        <v>2356</v>
      </c>
      <c r="O3" s="7" t="s">
        <v>2357</v>
      </c>
    </row>
    <row r="4" customFormat="false" ht="15" hidden="false" customHeight="false" outlineLevel="0" collapsed="false">
      <c r="A4" s="19" t="s">
        <v>403</v>
      </c>
      <c r="B4" s="15" t="s">
        <v>402</v>
      </c>
      <c r="C4" s="19" t="s">
        <v>243</v>
      </c>
      <c r="D4" s="15" t="s">
        <v>242</v>
      </c>
      <c r="E4" s="9" t="n">
        <v>40350</v>
      </c>
      <c r="F4" s="9" t="n">
        <v>133700</v>
      </c>
      <c r="G4" s="10" t="n">
        <v>-0.698204936424832</v>
      </c>
      <c r="H4" s="9" t="n">
        <v>5922.0133455</v>
      </c>
      <c r="I4" s="11" t="n">
        <v>28.97005365625</v>
      </c>
      <c r="J4" s="11" t="n">
        <v>581.1737042025</v>
      </c>
      <c r="K4" s="15" t="s">
        <v>58</v>
      </c>
      <c r="L4" s="15" t="s">
        <v>55</v>
      </c>
      <c r="M4" s="10" t="n">
        <v>0.0243860767202791</v>
      </c>
      <c r="N4" s="10" t="n">
        <v>0.06</v>
      </c>
      <c r="O4" s="10" t="n">
        <f aca="false">(1+$B$30)/(1+G4)-1</f>
        <v>0.822428748451054</v>
      </c>
    </row>
    <row r="5" customFormat="false" ht="15" hidden="false" customHeight="false" outlineLevel="0" collapsed="false">
      <c r="A5" s="19" t="s">
        <v>2358</v>
      </c>
      <c r="B5" s="15" t="s">
        <v>2359</v>
      </c>
      <c r="C5" s="19" t="s">
        <v>785</v>
      </c>
      <c r="D5" s="15" t="s">
        <v>784</v>
      </c>
      <c r="E5" s="9" t="n">
        <v>45300</v>
      </c>
      <c r="F5" s="9" t="n">
        <v>142500</v>
      </c>
      <c r="G5" s="10" t="n">
        <v>-0.682105263157895</v>
      </c>
      <c r="H5" s="9" t="n">
        <v>4782.69699</v>
      </c>
      <c r="I5" s="11" t="n">
        <v>7.0589084025</v>
      </c>
      <c r="J5" s="11" t="n">
        <v>428.032414462</v>
      </c>
      <c r="K5" s="15" t="s">
        <v>2360</v>
      </c>
      <c r="L5" s="15" t="s">
        <v>55</v>
      </c>
      <c r="M5" s="10" t="n">
        <v>0.008470690083</v>
      </c>
      <c r="N5" s="10" t="n">
        <v>0.06</v>
      </c>
      <c r="O5" s="10" t="n">
        <f aca="false">(1+$B$30)/(1+G5)-1</f>
        <v>0.730132450331126</v>
      </c>
    </row>
    <row r="6" customFormat="false" ht="15" hidden="false" customHeight="false" outlineLevel="0" collapsed="false">
      <c r="A6" s="19" t="s">
        <v>328</v>
      </c>
      <c r="B6" s="15" t="s">
        <v>327</v>
      </c>
      <c r="C6" s="19" t="s">
        <v>647</v>
      </c>
      <c r="D6" s="15" t="s">
        <v>646</v>
      </c>
      <c r="E6" s="9" t="n">
        <v>10650</v>
      </c>
      <c r="F6" s="9" t="n">
        <v>33200</v>
      </c>
      <c r="G6" s="10" t="n">
        <v>-0.67921686746988</v>
      </c>
      <c r="H6" s="9" t="n">
        <v>13554.377475</v>
      </c>
      <c r="I6" s="11" t="n">
        <v>21.46631276</v>
      </c>
      <c r="J6" s="11" t="n">
        <v>481.588427475</v>
      </c>
      <c r="K6" s="15" t="s">
        <v>57</v>
      </c>
      <c r="L6" s="15" t="s">
        <v>55</v>
      </c>
      <c r="M6" s="10" t="n">
        <v>0.025759575312</v>
      </c>
      <c r="N6" s="10" t="n">
        <v>0.06</v>
      </c>
      <c r="O6" s="10" t="n">
        <f aca="false">(1+$B$30)/(1+G6)-1</f>
        <v>0.714553990610329</v>
      </c>
    </row>
    <row r="7" customFormat="false" ht="15" hidden="false" customHeight="false" outlineLevel="0" collapsed="false">
      <c r="A7" s="19" t="s">
        <v>322</v>
      </c>
      <c r="B7" s="15" t="s">
        <v>321</v>
      </c>
      <c r="C7" s="19" t="s">
        <v>207</v>
      </c>
      <c r="D7" s="15" t="s">
        <v>206</v>
      </c>
      <c r="E7" s="9" t="n">
        <v>399500</v>
      </c>
      <c r="F7" s="9" t="n">
        <v>1125000</v>
      </c>
      <c r="G7" s="10" t="n">
        <v>-0.644888888888889</v>
      </c>
      <c r="H7" s="9" t="n">
        <v>15965.86569</v>
      </c>
      <c r="I7" s="11" t="n">
        <v>30.855464875</v>
      </c>
      <c r="J7" s="11" t="n">
        <v>674.278294322</v>
      </c>
      <c r="K7" s="15" t="s">
        <v>57</v>
      </c>
      <c r="L7" s="15" t="s">
        <v>55</v>
      </c>
      <c r="M7" s="10" t="n">
        <v>0.03702655785</v>
      </c>
      <c r="N7" s="10" t="n">
        <v>0.06</v>
      </c>
      <c r="O7" s="10" t="n">
        <f aca="false">(1+$B$30)/(1+G7)-1</f>
        <v>0.548811013767209</v>
      </c>
    </row>
    <row r="8" customFormat="false" ht="15" hidden="false" customHeight="false" outlineLevel="0" collapsed="false">
      <c r="A8" s="15" t="s">
        <v>2361</v>
      </c>
      <c r="B8" s="15" t="s">
        <v>2362</v>
      </c>
      <c r="C8" s="15" t="s">
        <v>918</v>
      </c>
      <c r="D8" s="15" t="s">
        <v>917</v>
      </c>
      <c r="E8" s="9" t="n">
        <v>105200</v>
      </c>
      <c r="F8" s="9" t="n">
        <v>291500</v>
      </c>
      <c r="G8" s="10" t="n">
        <v>-0.639108061749571</v>
      </c>
      <c r="H8" s="9" t="n">
        <v>2205.264468</v>
      </c>
      <c r="I8" s="11" t="n">
        <v>11.81433475</v>
      </c>
      <c r="J8" s="11" t="n">
        <v>303.2608285465</v>
      </c>
      <c r="K8" s="15" t="s">
        <v>2363</v>
      </c>
      <c r="L8" s="15" t="s">
        <v>55</v>
      </c>
      <c r="M8" s="10" t="n">
        <v>0.0113674386</v>
      </c>
      <c r="N8" s="10" t="n">
        <v>0.06</v>
      </c>
      <c r="O8" s="10" t="n">
        <f aca="false">(1+$B$30)/(1+G8)-1</f>
        <v>0.524001901140685</v>
      </c>
    </row>
    <row r="9" customFormat="false" ht="15" hidden="false" customHeight="false" outlineLevel="0" collapsed="false">
      <c r="A9" s="19" t="s">
        <v>284</v>
      </c>
      <c r="B9" s="15" t="s">
        <v>283</v>
      </c>
      <c r="C9" s="19" t="s">
        <v>520</v>
      </c>
      <c r="D9" s="15" t="s">
        <v>519</v>
      </c>
      <c r="E9" s="9" t="n">
        <v>494000</v>
      </c>
      <c r="F9" s="9" t="n">
        <v>1348000</v>
      </c>
      <c r="G9" s="10" t="n">
        <v>-0.63353115727003</v>
      </c>
      <c r="H9" s="9" t="n">
        <v>14360.50096</v>
      </c>
      <c r="I9" s="11" t="n">
        <v>181.173613125</v>
      </c>
      <c r="J9" s="11" t="n">
        <v>10329.3195705805</v>
      </c>
      <c r="K9" s="15" t="s">
        <v>55</v>
      </c>
      <c r="L9" s="15" t="s">
        <v>55</v>
      </c>
      <c r="M9" s="10" t="n">
        <v>0.06</v>
      </c>
      <c r="N9" s="10" t="n">
        <v>0.06</v>
      </c>
      <c r="O9" s="10" t="n">
        <f aca="false">(1+$B$30)/(1+G9)-1</f>
        <v>0.500809716599191</v>
      </c>
    </row>
    <row r="10" customFormat="false" ht="15" hidden="false" customHeight="false" outlineLevel="0" collapsed="false">
      <c r="A10" s="15" t="s">
        <v>303</v>
      </c>
      <c r="B10" s="15" t="s">
        <v>302</v>
      </c>
      <c r="C10" s="15" t="s">
        <v>161</v>
      </c>
      <c r="D10" s="15" t="s">
        <v>160</v>
      </c>
      <c r="E10" s="9" t="n">
        <v>73900</v>
      </c>
      <c r="F10" s="9" t="n">
        <v>199700</v>
      </c>
      <c r="G10" s="10" t="n">
        <v>-0.629944917376064</v>
      </c>
      <c r="H10" s="9" t="n">
        <v>12696.979961</v>
      </c>
      <c r="I10" s="11" t="n">
        <v>58.683901202</v>
      </c>
      <c r="J10" s="11" t="n">
        <v>1985.214909084</v>
      </c>
      <c r="K10" s="15" t="s">
        <v>56</v>
      </c>
      <c r="L10" s="15" t="s">
        <v>55</v>
      </c>
      <c r="M10" s="10" t="n">
        <v>0.06</v>
      </c>
      <c r="N10" s="10" t="n">
        <v>0.06</v>
      </c>
      <c r="O10" s="10" t="n">
        <f aca="false">(1+$B$30)/(1+G10)-1</f>
        <v>0.486265223274696</v>
      </c>
    </row>
    <row r="11" customFormat="false" ht="15" hidden="false" customHeight="false" outlineLevel="0" collapsed="false">
      <c r="A11" s="19" t="s">
        <v>2364</v>
      </c>
      <c r="B11" s="15" t="s">
        <v>2365</v>
      </c>
      <c r="C11" s="19" t="s">
        <v>562</v>
      </c>
      <c r="D11" s="15" t="s">
        <v>561</v>
      </c>
      <c r="E11" s="9" t="n">
        <v>214000</v>
      </c>
      <c r="F11" s="9" t="n">
        <v>539000</v>
      </c>
      <c r="G11" s="10" t="n">
        <v>-0.602968460111317</v>
      </c>
      <c r="H11" s="9" t="n">
        <v>3462.29744</v>
      </c>
      <c r="I11" s="11" t="n">
        <v>15.189171225</v>
      </c>
      <c r="J11" s="11" t="n">
        <v>2474.878236815</v>
      </c>
      <c r="K11" s="15" t="s">
        <v>2360</v>
      </c>
      <c r="L11" s="15" t="s">
        <v>55</v>
      </c>
      <c r="M11" s="10" t="n">
        <v>0.01822700547</v>
      </c>
      <c r="N11" s="10" t="n">
        <v>0.06</v>
      </c>
      <c r="O11" s="10" t="n">
        <f aca="false">(1+$B$30)/(1+G11)-1</f>
        <v>0.385280373831776</v>
      </c>
    </row>
    <row r="12" customFormat="false" ht="15" hidden="false" customHeight="false" outlineLevel="0" collapsed="false">
      <c r="A12" s="19" t="s">
        <v>2366</v>
      </c>
      <c r="B12" s="15" t="s">
        <v>2367</v>
      </c>
      <c r="C12" s="19" t="s">
        <v>337</v>
      </c>
      <c r="D12" s="15" t="s">
        <v>336</v>
      </c>
      <c r="E12" s="9" t="n">
        <v>2690</v>
      </c>
      <c r="F12" s="9" t="n">
        <v>6190</v>
      </c>
      <c r="G12" s="10" t="n">
        <v>-0.565428109854604</v>
      </c>
      <c r="H12" s="9" t="n">
        <v>635.892866</v>
      </c>
      <c r="I12" s="11" t="n">
        <v>165.1926979525</v>
      </c>
      <c r="J12" s="11" t="n">
        <v>516.904253375</v>
      </c>
      <c r="K12" s="15" t="s">
        <v>2363</v>
      </c>
      <c r="L12" s="15" t="s">
        <v>58</v>
      </c>
      <c r="M12" s="10" t="n">
        <v>0.06</v>
      </c>
      <c r="N12" s="10" t="n">
        <v>0.06</v>
      </c>
      <c r="O12" s="10" t="n">
        <f aca="false">(1+$B$30)/(1+G12)-1</f>
        <v>0.265613382899628</v>
      </c>
    </row>
    <row r="13" customFormat="false" ht="15" hidden="false" customHeight="false" outlineLevel="0" collapsed="false">
      <c r="A13" s="15" t="s">
        <v>387</v>
      </c>
      <c r="B13" s="15" t="s">
        <v>386</v>
      </c>
      <c r="C13" s="15" t="s">
        <v>195</v>
      </c>
      <c r="D13" s="15" t="s">
        <v>194</v>
      </c>
      <c r="E13" s="9" t="n">
        <v>130000</v>
      </c>
      <c r="F13" s="9" t="n">
        <v>287000</v>
      </c>
      <c r="G13" s="10" t="n">
        <v>-0.547038327526132</v>
      </c>
      <c r="H13" s="9" t="n">
        <v>9995.44</v>
      </c>
      <c r="I13" s="11" t="n">
        <v>21.774642528</v>
      </c>
      <c r="J13" s="11" t="n">
        <v>451.730975758</v>
      </c>
      <c r="K13" s="15" t="s">
        <v>57</v>
      </c>
      <c r="L13" s="15" t="s">
        <v>55</v>
      </c>
      <c r="M13" s="10" t="n">
        <v>0.0261295710336</v>
      </c>
      <c r="N13" s="10" t="n">
        <v>0.06</v>
      </c>
      <c r="O13" s="10" t="n">
        <f aca="false">(1+$B$30)/(1+G13)-1</f>
        <v>0.214230769230769</v>
      </c>
    </row>
    <row r="14" customFormat="false" ht="15" hidden="false" customHeight="false" outlineLevel="0" collapsed="false">
      <c r="A14" s="15" t="s">
        <v>2368</v>
      </c>
      <c r="B14" s="15" t="s">
        <v>2369</v>
      </c>
      <c r="C14" s="15" t="s">
        <v>666</v>
      </c>
      <c r="D14" s="15" t="s">
        <v>665</v>
      </c>
      <c r="E14" s="9" t="n">
        <v>68800</v>
      </c>
      <c r="F14" s="9" t="n">
        <v>147900</v>
      </c>
      <c r="G14" s="10" t="n">
        <v>-0.534820824881677</v>
      </c>
      <c r="H14" s="9" t="n">
        <v>2767.085776</v>
      </c>
      <c r="I14" s="11" t="n">
        <v>11.492975975</v>
      </c>
      <c r="J14" s="11" t="n">
        <v>521.85308425</v>
      </c>
      <c r="K14" s="15" t="s">
        <v>2363</v>
      </c>
      <c r="L14" s="15" t="s">
        <v>55</v>
      </c>
      <c r="M14" s="10" t="n">
        <v>0.01379157117</v>
      </c>
      <c r="N14" s="10" t="n">
        <v>0.06</v>
      </c>
      <c r="O14" s="10" t="n">
        <f aca="false">(1+$B$30)/(1+G14)-1</f>
        <v>0.18234011627907</v>
      </c>
    </row>
    <row r="15" customFormat="false" ht="15" hidden="false" customHeight="false" outlineLevel="0" collapsed="false">
      <c r="A15" s="19" t="s">
        <v>2370</v>
      </c>
      <c r="B15" s="15" t="s">
        <v>2371</v>
      </c>
      <c r="C15" s="19" t="s">
        <v>117</v>
      </c>
      <c r="D15" s="15" t="s">
        <v>116</v>
      </c>
      <c r="E15" s="9" t="n">
        <v>181500</v>
      </c>
      <c r="F15" s="9" t="n">
        <v>383500</v>
      </c>
      <c r="G15" s="10" t="n">
        <v>-0.526727509778357</v>
      </c>
      <c r="H15" s="9" t="n">
        <v>4224.32538</v>
      </c>
      <c r="I15" s="11" t="n">
        <v>16.320627075</v>
      </c>
      <c r="J15" s="11" t="n">
        <v>2447.330505425</v>
      </c>
      <c r="K15" s="15" t="s">
        <v>2360</v>
      </c>
      <c r="L15" s="15" t="s">
        <v>55</v>
      </c>
      <c r="M15" s="10" t="n">
        <v>0.01958475249</v>
      </c>
      <c r="N15" s="10" t="n">
        <v>0.06</v>
      </c>
      <c r="O15" s="10" t="n">
        <f aca="false">(1+$B$30)/(1+G15)-1</f>
        <v>0.162121212121212</v>
      </c>
    </row>
    <row r="16" customFormat="false" ht="15" hidden="false" customHeight="false" outlineLevel="0" collapsed="false">
      <c r="A16" s="19" t="s">
        <v>256</v>
      </c>
      <c r="B16" s="15" t="s">
        <v>255</v>
      </c>
      <c r="C16" s="19" t="s">
        <v>117</v>
      </c>
      <c r="D16" s="15" t="s">
        <v>116</v>
      </c>
      <c r="E16" s="9" t="n">
        <v>184600</v>
      </c>
      <c r="F16" s="9" t="n">
        <v>383500</v>
      </c>
      <c r="G16" s="10" t="n">
        <v>-0.51864406779661</v>
      </c>
      <c r="H16" s="9" t="n">
        <v>64543.41478</v>
      </c>
      <c r="I16" s="11" t="n">
        <v>216.616284977</v>
      </c>
      <c r="J16" s="11" t="n">
        <v>2447.330505425</v>
      </c>
      <c r="K16" s="15" t="s">
        <v>55</v>
      </c>
      <c r="L16" s="15" t="s">
        <v>55</v>
      </c>
      <c r="M16" s="10" t="n">
        <v>0.06</v>
      </c>
      <c r="N16" s="10" t="n">
        <v>0.06</v>
      </c>
      <c r="O16" s="10" t="n">
        <f aca="false">(1+$B$30)/(1+G16)-1</f>
        <v>0.142605633802817</v>
      </c>
    </row>
    <row r="17" customFormat="false" ht="15" hidden="false" customHeight="false" outlineLevel="0" collapsed="false">
      <c r="A17" s="19" t="s">
        <v>348</v>
      </c>
      <c r="B17" s="15" t="s">
        <v>347</v>
      </c>
      <c r="C17" s="19" t="s">
        <v>117</v>
      </c>
      <c r="D17" s="15" t="s">
        <v>116</v>
      </c>
      <c r="E17" s="9" t="n">
        <v>184800</v>
      </c>
      <c r="F17" s="9" t="n">
        <v>383500</v>
      </c>
      <c r="G17" s="10" t="n">
        <v>-0.518122555410691</v>
      </c>
      <c r="H17" s="9" t="n">
        <v>43134.09408</v>
      </c>
      <c r="I17" s="11" t="n">
        <v>139.061386335</v>
      </c>
      <c r="J17" s="11" t="n">
        <v>2447.330505425</v>
      </c>
      <c r="K17" s="15" t="s">
        <v>55</v>
      </c>
      <c r="L17" s="15" t="s">
        <v>55</v>
      </c>
      <c r="M17" s="10" t="n">
        <v>0.06</v>
      </c>
      <c r="N17" s="10" t="n">
        <v>0.06</v>
      </c>
      <c r="O17" s="10" t="n">
        <f aca="false">(1+$B$30)/(1+G17)-1</f>
        <v>0.141369047619048</v>
      </c>
    </row>
    <row r="18" customFormat="false" ht="15" hidden="false" customHeight="false" outlineLevel="0" collapsed="false">
      <c r="A18" s="15" t="s">
        <v>2372</v>
      </c>
      <c r="B18" s="15" t="s">
        <v>2373</v>
      </c>
      <c r="C18" s="15" t="s">
        <v>723</v>
      </c>
      <c r="D18" s="15" t="s">
        <v>722</v>
      </c>
      <c r="E18" s="9" t="n">
        <v>61900</v>
      </c>
      <c r="F18" s="9" t="n">
        <v>118900</v>
      </c>
      <c r="G18" s="10" t="n">
        <v>-0.479394449116905</v>
      </c>
      <c r="H18" s="9" t="n">
        <v>1101.619444</v>
      </c>
      <c r="I18" s="11" t="n">
        <v>5.10849095</v>
      </c>
      <c r="J18" s="11" t="n">
        <v>625.08875905</v>
      </c>
      <c r="K18" s="15" t="s">
        <v>2363</v>
      </c>
      <c r="L18" s="15" t="s">
        <v>55</v>
      </c>
      <c r="M18" s="10" t="n">
        <v>0.00534560383</v>
      </c>
      <c r="N18" s="10" t="n">
        <v>0.06</v>
      </c>
      <c r="O18" s="10" t="n">
        <f aca="false">(1+$B$30)/(1+G18)-1</f>
        <v>0.0564620355411956</v>
      </c>
    </row>
    <row r="19" customFormat="false" ht="15" hidden="false" customHeight="false" outlineLevel="0" collapsed="false">
      <c r="A19" s="15" t="s">
        <v>2374</v>
      </c>
      <c r="B19" s="15" t="s">
        <v>2375</v>
      </c>
      <c r="C19" s="15" t="s">
        <v>215</v>
      </c>
      <c r="D19" s="15" t="s">
        <v>214</v>
      </c>
      <c r="E19" s="9" t="n">
        <v>70500</v>
      </c>
      <c r="F19" s="9" t="n">
        <v>118300</v>
      </c>
      <c r="G19" s="10" t="n">
        <v>-0.404057480980558</v>
      </c>
      <c r="H19" s="9" t="n">
        <v>2122.895295</v>
      </c>
      <c r="I19" s="11" t="n">
        <v>5.1976311</v>
      </c>
      <c r="J19" s="11" t="n">
        <v>355.884426425</v>
      </c>
      <c r="K19" s="15" t="s">
        <v>2363</v>
      </c>
      <c r="L19" s="15" t="s">
        <v>55</v>
      </c>
      <c r="M19" s="10" t="n">
        <v>0.00623715732</v>
      </c>
      <c r="N19" s="10" t="n">
        <v>0.06</v>
      </c>
      <c r="O19" s="10" t="n">
        <f aca="false">(1+$B$30)/(1+G19)-1</f>
        <v>-0.0770921985815601</v>
      </c>
    </row>
    <row r="20" customFormat="false" ht="15" hidden="false" customHeight="false" outlineLevel="0" collapsed="false">
      <c r="A20" s="19" t="s">
        <v>383</v>
      </c>
      <c r="B20" s="15" t="s">
        <v>382</v>
      </c>
      <c r="C20" s="19" t="s">
        <v>579</v>
      </c>
      <c r="D20" s="15" t="s">
        <v>578</v>
      </c>
      <c r="E20" s="9" t="n">
        <v>441500</v>
      </c>
      <c r="F20" s="9" t="n">
        <v>702000</v>
      </c>
      <c r="G20" s="10" t="n">
        <v>-0.371082621082621</v>
      </c>
      <c r="H20" s="9" t="n">
        <v>13275.9933</v>
      </c>
      <c r="I20" s="11" t="n">
        <v>47.015985097</v>
      </c>
      <c r="J20" s="11" t="n">
        <v>726.829344654</v>
      </c>
      <c r="K20" s="15" t="s">
        <v>57</v>
      </c>
      <c r="L20" s="15" t="s">
        <v>55</v>
      </c>
      <c r="M20" s="10" t="n">
        <v>0.0564191821164</v>
      </c>
      <c r="N20" s="10" t="n">
        <v>0.06</v>
      </c>
      <c r="O20" s="10" t="n">
        <f aca="false">(1+$B$30)/(1+G20)-1</f>
        <v>-0.125481313703284</v>
      </c>
    </row>
    <row r="21" customFormat="false" ht="15" hidden="false" customHeight="false" outlineLevel="0" collapsed="false">
      <c r="A21" s="19" t="s">
        <v>2376</v>
      </c>
      <c r="B21" s="15" t="s">
        <v>2377</v>
      </c>
      <c r="C21" s="19" t="s">
        <v>133</v>
      </c>
      <c r="D21" s="15" t="s">
        <v>132</v>
      </c>
      <c r="E21" s="9" t="n">
        <v>236000</v>
      </c>
      <c r="F21" s="9" t="n">
        <v>372000</v>
      </c>
      <c r="G21" s="10" t="n">
        <v>-0.365591397849462</v>
      </c>
      <c r="H21" s="9" t="n">
        <v>3463.5124</v>
      </c>
      <c r="I21" s="11" t="n">
        <v>13.831122375</v>
      </c>
      <c r="J21" s="11" t="n">
        <v>1345.576650153</v>
      </c>
      <c r="K21" s="15" t="s">
        <v>2360</v>
      </c>
      <c r="L21" s="15" t="s">
        <v>55</v>
      </c>
      <c r="M21" s="10" t="n">
        <v>0.01659734685</v>
      </c>
      <c r="N21" s="10" t="n">
        <v>0.06</v>
      </c>
      <c r="O21" s="10" t="n">
        <f aca="false">(1+$B$30)/(1+G21)-1</f>
        <v>-0.133050847457627</v>
      </c>
    </row>
    <row r="22" customFormat="false" ht="15" hidden="false" customHeight="false" outlineLevel="0" collapsed="false">
      <c r="A22" s="15" t="s">
        <v>2378</v>
      </c>
      <c r="B22" s="15" t="s">
        <v>2379</v>
      </c>
      <c r="C22" s="15" t="s">
        <v>151</v>
      </c>
      <c r="D22" s="15" t="s">
        <v>150</v>
      </c>
      <c r="E22" s="9" t="n">
        <v>395000</v>
      </c>
      <c r="F22" s="9" t="n">
        <v>545000</v>
      </c>
      <c r="G22" s="10" t="n">
        <v>-0.275229357798165</v>
      </c>
      <c r="H22" s="9" t="n">
        <v>2236.23325</v>
      </c>
      <c r="I22" s="11" t="n">
        <v>6.32558225</v>
      </c>
      <c r="J22" s="11" t="n">
        <v>831.894247</v>
      </c>
      <c r="K22" s="15" t="s">
        <v>2363</v>
      </c>
      <c r="L22" s="15" t="s">
        <v>55</v>
      </c>
      <c r="M22" s="10" t="n">
        <v>0.0075906987</v>
      </c>
      <c r="N22" s="10" t="n">
        <v>0.06</v>
      </c>
      <c r="O22" s="10" t="n">
        <f aca="false">(1+$B$30)/(1+G22)-1</f>
        <v>-0.241139240506329</v>
      </c>
    </row>
    <row r="23" customFormat="false" ht="15" hidden="false" customHeight="false" outlineLevel="0" collapsed="false">
      <c r="A23" s="19" t="s">
        <v>108</v>
      </c>
      <c r="B23" s="15" t="s">
        <v>107</v>
      </c>
      <c r="C23" s="19" t="s">
        <v>104</v>
      </c>
      <c r="D23" s="15" t="s">
        <v>103</v>
      </c>
      <c r="E23" s="9" t="n">
        <v>184100</v>
      </c>
      <c r="F23" s="9" t="n">
        <v>250000</v>
      </c>
      <c r="G23" s="10" t="n">
        <v>-0.2636</v>
      </c>
      <c r="H23" s="9" t="n">
        <v>1477165.384723</v>
      </c>
      <c r="I23" s="11" t="n">
        <v>7627.759418075</v>
      </c>
      <c r="J23" s="11" t="n">
        <v>56440.60708501</v>
      </c>
      <c r="K23" s="15" t="s">
        <v>55</v>
      </c>
      <c r="L23" s="15" t="s">
        <v>55</v>
      </c>
      <c r="M23" s="10" t="n">
        <v>0.06</v>
      </c>
      <c r="N23" s="10" t="n">
        <v>0.06</v>
      </c>
      <c r="O23" s="10" t="n">
        <f aca="false">(1+$B$30)/(1+G23)-1</f>
        <v>-0.25312330255296</v>
      </c>
    </row>
    <row r="24" customFormat="false" ht="15" hidden="false" customHeight="false" outlineLevel="0" collapsed="false">
      <c r="A24" s="19" t="s">
        <v>2380</v>
      </c>
      <c r="B24" s="15" t="s">
        <v>2381</v>
      </c>
      <c r="C24" s="19" t="s">
        <v>1699</v>
      </c>
      <c r="D24" s="15" t="s">
        <v>1698</v>
      </c>
      <c r="E24" s="9" t="n">
        <v>20400</v>
      </c>
      <c r="F24" s="9" t="n">
        <v>26350</v>
      </c>
      <c r="G24" s="10" t="n">
        <v>-0.225806451612903</v>
      </c>
      <c r="H24" s="9" t="n">
        <v>4974.200136</v>
      </c>
      <c r="I24" s="11" t="n">
        <v>6.921898185</v>
      </c>
      <c r="J24" s="11" t="n">
        <v>16.897388825</v>
      </c>
      <c r="K24" s="15" t="s">
        <v>2360</v>
      </c>
      <c r="L24" s="15" t="s">
        <v>57</v>
      </c>
      <c r="M24" s="10" t="n">
        <v>0.008306277822</v>
      </c>
      <c r="N24" s="10" t="n">
        <v>0.02027686659</v>
      </c>
      <c r="O24" s="10" t="n">
        <f aca="false">(1+$B$30)/(1+G24)-1</f>
        <v>-0.289583333333333</v>
      </c>
    </row>
    <row r="25" customFormat="false" ht="15" hidden="false" customHeight="false" outlineLevel="0" collapsed="false">
      <c r="A25" s="19" t="s">
        <v>2382</v>
      </c>
      <c r="B25" s="15" t="s">
        <v>2383</v>
      </c>
      <c r="C25" s="19" t="s">
        <v>1275</v>
      </c>
      <c r="D25" s="15" t="s">
        <v>1274</v>
      </c>
      <c r="E25" s="9" t="n">
        <v>9730</v>
      </c>
      <c r="F25" s="9" t="n">
        <v>12440</v>
      </c>
      <c r="G25" s="10" t="n">
        <v>-0.217845659163987</v>
      </c>
      <c r="H25" s="9" t="n">
        <v>255.04276</v>
      </c>
      <c r="I25" s="11" t="n">
        <v>7.393659615</v>
      </c>
      <c r="J25" s="11" t="n">
        <v>961.985487975</v>
      </c>
      <c r="K25" s="15" t="s">
        <v>2363</v>
      </c>
      <c r="L25" s="15" t="s">
        <v>55</v>
      </c>
      <c r="M25" s="10" t="n">
        <v>0.008872391538</v>
      </c>
      <c r="N25" s="10" t="n">
        <v>0.06</v>
      </c>
      <c r="O25" s="10" t="n">
        <f aca="false">(1+$B$30)/(1+G25)-1</f>
        <v>-0.296813977389517</v>
      </c>
    </row>
    <row r="26" customFormat="false" ht="15" hidden="false" customHeight="false" outlineLevel="0" collapsed="false">
      <c r="A26" s="15" t="s">
        <v>2384</v>
      </c>
      <c r="B26" s="15" t="s">
        <v>2385</v>
      </c>
      <c r="C26" s="15" t="s">
        <v>760</v>
      </c>
      <c r="D26" s="15" t="s">
        <v>759</v>
      </c>
      <c r="E26" s="9" t="n">
        <v>23200</v>
      </c>
      <c r="F26" s="9" t="n">
        <v>26300</v>
      </c>
      <c r="G26" s="10" t="n">
        <v>-0.11787072243346</v>
      </c>
      <c r="H26" s="9" t="n">
        <v>4378.064576</v>
      </c>
      <c r="I26" s="11" t="n">
        <v>9.575836175</v>
      </c>
      <c r="J26" s="11" t="n">
        <v>123.5611701875</v>
      </c>
      <c r="K26" s="15" t="s">
        <v>2360</v>
      </c>
      <c r="L26" s="15" t="s">
        <v>55</v>
      </c>
      <c r="M26" s="10" t="n">
        <v>0.01149100341</v>
      </c>
      <c r="N26" s="10" t="n">
        <v>0.06</v>
      </c>
      <c r="O26" s="10" t="n">
        <f aca="false">(1+$B$30)/(1+G26)-1</f>
        <v>-0.376508620689655</v>
      </c>
    </row>
    <row r="27" customFormat="false" ht="15" hidden="false" customHeight="false" outlineLevel="0" collapsed="false">
      <c r="A27" s="15" t="s">
        <v>2386</v>
      </c>
      <c r="B27" s="15" t="s">
        <v>2387</v>
      </c>
      <c r="C27" s="15" t="s">
        <v>269</v>
      </c>
      <c r="D27" s="15" t="s">
        <v>268</v>
      </c>
      <c r="E27" s="9" t="n">
        <v>126900</v>
      </c>
      <c r="F27" s="9" t="n">
        <v>128500</v>
      </c>
      <c r="G27" s="10" t="n">
        <v>-0.0124513618677042</v>
      </c>
      <c r="H27" s="9" t="n">
        <v>5363.443728</v>
      </c>
      <c r="I27" s="11" t="n">
        <v>7.205001625</v>
      </c>
      <c r="J27" s="11" t="n">
        <v>166.411955897</v>
      </c>
      <c r="K27" s="15" t="s">
        <v>2360</v>
      </c>
      <c r="L27" s="15" t="s">
        <v>55</v>
      </c>
      <c r="M27" s="10" t="n">
        <v>0.00864600195</v>
      </c>
      <c r="N27" s="10" t="n">
        <v>0.06</v>
      </c>
      <c r="O27" s="10" t="n">
        <f aca="false">(1+$B$30)/(1+G27)-1</f>
        <v>-0.443065405831363</v>
      </c>
    </row>
    <row r="28" customFormat="false" ht="15" hidden="false" customHeight="false" outlineLevel="0" collapsed="false">
      <c r="A28" s="19" t="s">
        <v>2388</v>
      </c>
      <c r="B28" s="15" t="s">
        <v>2389</v>
      </c>
      <c r="C28" s="19" t="s">
        <v>332</v>
      </c>
      <c r="D28" s="15" t="s">
        <v>331</v>
      </c>
      <c r="E28" s="9" t="n">
        <v>20000</v>
      </c>
      <c r="F28" s="9" t="n">
        <v>16510</v>
      </c>
      <c r="G28" s="10" t="n">
        <v>0.211387038158692</v>
      </c>
      <c r="H28" s="9" t="n">
        <v>58.4532</v>
      </c>
      <c r="I28" s="11" t="n">
        <v>6.916481525</v>
      </c>
      <c r="J28" s="11" t="n">
        <v>2095.3241452</v>
      </c>
      <c r="K28" s="15" t="s">
        <v>2363</v>
      </c>
      <c r="L28" s="15" t="s">
        <v>58</v>
      </c>
      <c r="M28" s="10" t="n">
        <v>0.00829977783</v>
      </c>
      <c r="N28" s="10" t="n">
        <v>0.06</v>
      </c>
      <c r="O28" s="10" t="n">
        <f aca="false">(1+$B$30)/(1+G28)-1</f>
        <v>-0.545975</v>
      </c>
    </row>
    <row r="30" customFormat="false" ht="15" hidden="false" customHeight="false" outlineLevel="0" collapsed="false">
      <c r="A30" s="8" t="s">
        <v>2390</v>
      </c>
      <c r="B30" s="21" t="n">
        <v>-0.45</v>
      </c>
    </row>
    <row r="31" customFormat="false" ht="15" hidden="false" customHeight="false" outlineLevel="0" collapsed="false">
      <c r="A31" s="8" t="s">
        <v>2391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9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9" min="8" style="0" width="12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2" min="12" style="0" width="14"/>
  </cols>
  <sheetData>
    <row r="1" customFormat="false" ht="15" hidden="false" customHeight="false" outlineLevel="0" collapsed="false">
      <c r="A1" s="14" t="s">
        <v>2392</v>
      </c>
    </row>
    <row r="3" customFormat="false" ht="23.85" hidden="false" customHeight="false" outlineLevel="0" collapsed="false">
      <c r="A3" s="7" t="s">
        <v>2393</v>
      </c>
      <c r="B3" s="7" t="s">
        <v>2394</v>
      </c>
      <c r="C3" s="7" t="s">
        <v>2395</v>
      </c>
      <c r="D3" s="7" t="s">
        <v>2396</v>
      </c>
      <c r="E3" s="7" t="s">
        <v>2397</v>
      </c>
      <c r="F3" s="7" t="s">
        <v>2398</v>
      </c>
      <c r="G3" s="7" t="s">
        <v>2399</v>
      </c>
      <c r="H3" s="7" t="s">
        <v>2400</v>
      </c>
      <c r="I3" s="7" t="s">
        <v>2401</v>
      </c>
      <c r="J3" s="7" t="s">
        <v>2402</v>
      </c>
      <c r="K3" s="7" t="s">
        <v>2403</v>
      </c>
      <c r="L3" s="7" t="s">
        <v>2404</v>
      </c>
    </row>
    <row r="4" customFormat="false" ht="15" hidden="false" customHeight="false" outlineLevel="0" collapsed="false">
      <c r="A4" s="15" t="s">
        <v>111</v>
      </c>
      <c r="B4" s="15" t="s">
        <v>112</v>
      </c>
      <c r="C4" s="9" t="n">
        <v>1294174.42038</v>
      </c>
      <c r="D4" s="15" t="s">
        <v>55</v>
      </c>
      <c r="E4" s="15" t="s">
        <v>509</v>
      </c>
      <c r="F4" s="15" t="s">
        <v>510</v>
      </c>
      <c r="G4" s="30" t="n">
        <v>0.201</v>
      </c>
      <c r="H4" s="9" t="n">
        <v>11658658.1454</v>
      </c>
      <c r="I4" s="9" t="n">
        <f aca="false">G4*H4</f>
        <v>2343390.2872254</v>
      </c>
      <c r="J4" s="9" t="n">
        <f aca="false">SUM($I$4:$I$4)</f>
        <v>2343390.2872254</v>
      </c>
      <c r="K4" s="31" t="n">
        <f aca="false">J4/C4</f>
        <v>1.81072214867091</v>
      </c>
      <c r="L4" s="10" t="n">
        <f aca="false">1-C4/J4</f>
        <v>0.447734153617101</v>
      </c>
    </row>
    <row r="6" customFormat="false" ht="15" hidden="false" customHeight="false" outlineLevel="0" collapsed="false">
      <c r="A6" s="15" t="s">
        <v>132</v>
      </c>
      <c r="B6" s="19" t="s">
        <v>133</v>
      </c>
      <c r="C6" s="9" t="n">
        <v>603263.40132</v>
      </c>
      <c r="D6" s="15" t="s">
        <v>55</v>
      </c>
      <c r="E6" s="15" t="s">
        <v>103</v>
      </c>
      <c r="F6" s="19" t="s">
        <v>104</v>
      </c>
      <c r="G6" s="30" t="n">
        <v>0.0501</v>
      </c>
      <c r="H6" s="9" t="n">
        <v>14615696.52</v>
      </c>
      <c r="I6" s="9" t="n">
        <f aca="false">G6*H6</f>
        <v>732246.395652</v>
      </c>
      <c r="J6" s="9" t="n">
        <f aca="false">SUM($I$6:$I$10)</f>
        <v>1211814.48317563</v>
      </c>
      <c r="K6" s="31" t="n">
        <f aca="false">J6/C6</f>
        <v>2.0087651273458</v>
      </c>
      <c r="L6" s="10" t="n">
        <f aca="false">1-C6/J6</f>
        <v>0.502181720308282</v>
      </c>
    </row>
    <row r="7" customFormat="false" ht="15" hidden="false" customHeight="false" outlineLevel="0" collapsed="false">
      <c r="A7" s="15" t="s">
        <v>132</v>
      </c>
      <c r="B7" s="19" t="s">
        <v>133</v>
      </c>
      <c r="C7" s="9" t="n">
        <v>603263.40132</v>
      </c>
      <c r="D7" s="15" t="s">
        <v>55</v>
      </c>
      <c r="E7" s="15" t="s">
        <v>120</v>
      </c>
      <c r="F7" s="19" t="s">
        <v>121</v>
      </c>
      <c r="G7" s="30" t="n">
        <v>0.4306</v>
      </c>
      <c r="H7" s="9" t="n">
        <v>683717.34627</v>
      </c>
      <c r="I7" s="9" t="n">
        <f aca="false">G7*H7</f>
        <v>294408.689303862</v>
      </c>
      <c r="J7" s="9" t="n">
        <f aca="false">SUM($I$6:$I$10)</f>
        <v>1211814.48317563</v>
      </c>
      <c r="K7" s="31" t="n">
        <f aca="false">J7/C7</f>
        <v>2.0087651273458</v>
      </c>
      <c r="L7" s="10" t="n">
        <f aca="false">1-C7/J7</f>
        <v>0.502181720308282</v>
      </c>
    </row>
    <row r="8" customFormat="false" ht="15" hidden="false" customHeight="false" outlineLevel="0" collapsed="false">
      <c r="A8" s="15" t="s">
        <v>132</v>
      </c>
      <c r="B8" s="19" t="s">
        <v>133</v>
      </c>
      <c r="C8" s="9" t="n">
        <v>603263.40132</v>
      </c>
      <c r="D8" s="15" t="s">
        <v>55</v>
      </c>
      <c r="E8" s="15" t="s">
        <v>237</v>
      </c>
      <c r="F8" s="19" t="s">
        <v>238</v>
      </c>
      <c r="G8" s="30" t="n">
        <v>0.4306</v>
      </c>
      <c r="H8" s="9" t="n">
        <v>88459.239195</v>
      </c>
      <c r="I8" s="9" t="n">
        <f aca="false">G8*H8</f>
        <v>38090.548397367</v>
      </c>
      <c r="J8" s="9" t="n">
        <f aca="false">SUM($I$6:$I$10)</f>
        <v>1211814.48317563</v>
      </c>
      <c r="K8" s="31" t="n">
        <f aca="false">J8/C8</f>
        <v>2.0087651273458</v>
      </c>
      <c r="L8" s="10" t="n">
        <f aca="false">1-C8/J8</f>
        <v>0.502181720308282</v>
      </c>
    </row>
    <row r="9" customFormat="false" ht="15" hidden="false" customHeight="false" outlineLevel="0" collapsed="false">
      <c r="A9" s="15" t="s">
        <v>132</v>
      </c>
      <c r="B9" s="19" t="s">
        <v>133</v>
      </c>
      <c r="C9" s="9" t="n">
        <v>603263.40132</v>
      </c>
      <c r="D9" s="15" t="s">
        <v>55</v>
      </c>
      <c r="E9" s="15" t="s">
        <v>128</v>
      </c>
      <c r="F9" s="19" t="s">
        <v>129</v>
      </c>
      <c r="G9" s="30" t="n">
        <v>0.1934</v>
      </c>
      <c r="H9" s="9" t="n">
        <v>606000</v>
      </c>
      <c r="I9" s="9" t="n">
        <f aca="false">G9*H9</f>
        <v>117200.4</v>
      </c>
      <c r="J9" s="9" t="n">
        <f aca="false">SUM($I$6:$I$10)</f>
        <v>1211814.48317563</v>
      </c>
      <c r="K9" s="31" t="n">
        <f aca="false">J9/C9</f>
        <v>2.0087651273458</v>
      </c>
      <c r="L9" s="10" t="n">
        <f aca="false">1-C9/J9</f>
        <v>0.502181720308282</v>
      </c>
    </row>
    <row r="10" customFormat="false" ht="15" hidden="false" customHeight="false" outlineLevel="0" collapsed="false">
      <c r="A10" s="15" t="s">
        <v>132</v>
      </c>
      <c r="B10" s="19" t="s">
        <v>133</v>
      </c>
      <c r="C10" s="9" t="n">
        <v>603263.40132</v>
      </c>
      <c r="D10" s="15" t="s">
        <v>55</v>
      </c>
      <c r="E10" s="15" t="s">
        <v>653</v>
      </c>
      <c r="F10" s="19" t="s">
        <v>654</v>
      </c>
      <c r="G10" s="30" t="n">
        <v>0.1708</v>
      </c>
      <c r="H10" s="9" t="n">
        <v>174873.828</v>
      </c>
      <c r="I10" s="9" t="n">
        <f aca="false">G10*H10</f>
        <v>29868.4498224</v>
      </c>
      <c r="J10" s="9" t="n">
        <f aca="false">SUM($I$6:$I$10)</f>
        <v>1211814.48317563</v>
      </c>
      <c r="K10" s="31" t="n">
        <f aca="false">J10/C10</f>
        <v>2.0087651273458</v>
      </c>
      <c r="L10" s="10" t="n">
        <f aca="false">1-C10/J10</f>
        <v>0.502181720308282</v>
      </c>
    </row>
    <row r="12" customFormat="false" ht="15" hidden="false" customHeight="false" outlineLevel="0" collapsed="false">
      <c r="A12" s="15" t="s">
        <v>206</v>
      </c>
      <c r="B12" s="19" t="s">
        <v>207</v>
      </c>
      <c r="C12" s="9" t="n">
        <v>182180.64375</v>
      </c>
      <c r="D12" s="15" t="s">
        <v>55</v>
      </c>
      <c r="E12" s="15" t="s">
        <v>142</v>
      </c>
      <c r="F12" s="19" t="s">
        <v>143</v>
      </c>
      <c r="G12" s="30" t="n">
        <v>0.304</v>
      </c>
      <c r="H12" s="9" t="n">
        <v>507324.427632</v>
      </c>
      <c r="I12" s="9" t="n">
        <f aca="false">G12*H12</f>
        <v>154226.626000128</v>
      </c>
      <c r="J12" s="9" t="n">
        <f aca="false">SUM($I$12:$I$14)</f>
        <v>183491.809850448</v>
      </c>
      <c r="K12" s="31" t="n">
        <f aca="false">J12/C12</f>
        <v>1.00719706590919</v>
      </c>
      <c r="L12" s="10" t="n">
        <f aca="false">1-C12/J12</f>
        <v>0.00714563827953219</v>
      </c>
    </row>
    <row r="13" customFormat="false" ht="15" hidden="false" customHeight="false" outlineLevel="0" collapsed="false">
      <c r="A13" s="15" t="s">
        <v>206</v>
      </c>
      <c r="B13" s="19" t="s">
        <v>207</v>
      </c>
      <c r="C13" s="9" t="n">
        <v>182180.64375</v>
      </c>
      <c r="D13" s="15" t="s">
        <v>55</v>
      </c>
      <c r="E13" s="15" t="s">
        <v>265</v>
      </c>
      <c r="F13" s="19" t="s">
        <v>266</v>
      </c>
      <c r="G13" s="30" t="n">
        <v>0.682</v>
      </c>
      <c r="H13" s="9" t="n">
        <v>42910.82676</v>
      </c>
      <c r="I13" s="9" t="n">
        <f aca="false">G13*H13</f>
        <v>29265.18385032</v>
      </c>
      <c r="J13" s="9" t="n">
        <f aca="false">SUM($I$12:$I$14)</f>
        <v>183491.809850448</v>
      </c>
      <c r="K13" s="31" t="n">
        <f aca="false">J13/C13</f>
        <v>1.00719706590919</v>
      </c>
      <c r="L13" s="10" t="n">
        <f aca="false">1-C13/J13</f>
        <v>0.00714563827953219</v>
      </c>
    </row>
    <row r="14" customFormat="false" ht="15" hidden="false" customHeight="false" outlineLevel="0" collapsed="false">
      <c r="A14" s="15" t="s">
        <v>206</v>
      </c>
      <c r="B14" s="19" t="s">
        <v>207</v>
      </c>
      <c r="C14" s="9" t="n">
        <v>182180.64375</v>
      </c>
      <c r="D14" s="15" t="s">
        <v>55</v>
      </c>
      <c r="E14" s="15" t="s">
        <v>1204</v>
      </c>
      <c r="F14" s="19" t="s">
        <v>1205</v>
      </c>
      <c r="G14" s="30" t="n">
        <v>0</v>
      </c>
      <c r="H14" s="9" t="n">
        <v>14476.101262</v>
      </c>
      <c r="I14" s="9" t="n">
        <f aca="false">G14*H14</f>
        <v>0</v>
      </c>
      <c r="J14" s="9" t="n">
        <f aca="false">SUM($I$12:$I$14)</f>
        <v>183491.809850448</v>
      </c>
      <c r="K14" s="31" t="n">
        <f aca="false">J14/C14</f>
        <v>1.00719706590919</v>
      </c>
      <c r="L14" s="10" t="n">
        <f aca="false">1-C14/J14</f>
        <v>0.00714563827953219</v>
      </c>
    </row>
    <row r="16" customFormat="false" ht="15" hidden="false" customHeight="false" outlineLevel="0" collapsed="false">
      <c r="A16" s="15" t="s">
        <v>214</v>
      </c>
      <c r="B16" s="15" t="s">
        <v>215</v>
      </c>
      <c r="C16" s="9" t="n">
        <v>178860.140732</v>
      </c>
      <c r="D16" s="15" t="s">
        <v>55</v>
      </c>
      <c r="E16" s="15" t="s">
        <v>194</v>
      </c>
      <c r="F16" s="15" t="s">
        <v>195</v>
      </c>
      <c r="G16" s="30" t="n">
        <v>0.333</v>
      </c>
      <c r="H16" s="9" t="n">
        <v>202600.02441</v>
      </c>
      <c r="I16" s="9" t="n">
        <f aca="false">G16*H16</f>
        <v>67465.80812853</v>
      </c>
      <c r="J16" s="9" t="n">
        <f aca="false">SUM($I$16:$I$20)</f>
        <v>250711.02427083</v>
      </c>
      <c r="K16" s="31" t="n">
        <f aca="false">J16/C16</f>
        <v>1.401715459044</v>
      </c>
      <c r="L16" s="10" t="n">
        <f aca="false">1-C16/J16</f>
        <v>0.286588448784021</v>
      </c>
    </row>
    <row r="17" customFormat="false" ht="15" hidden="false" customHeight="false" outlineLevel="0" collapsed="false">
      <c r="A17" s="15" t="s">
        <v>214</v>
      </c>
      <c r="B17" s="15" t="s">
        <v>215</v>
      </c>
      <c r="C17" s="9" t="n">
        <v>178860.140732</v>
      </c>
      <c r="D17" s="15" t="s">
        <v>55</v>
      </c>
      <c r="E17" s="15" t="s">
        <v>160</v>
      </c>
      <c r="F17" s="15" t="s">
        <v>161</v>
      </c>
      <c r="G17" s="30" t="n">
        <v>0.337</v>
      </c>
      <c r="H17" s="9" t="n">
        <v>325280.622086</v>
      </c>
      <c r="I17" s="9" t="n">
        <f aca="false">G17*H17</f>
        <v>109619.569642982</v>
      </c>
      <c r="J17" s="9" t="n">
        <f aca="false">SUM($I$16:$I$20)</f>
        <v>250711.02427083</v>
      </c>
      <c r="K17" s="31" t="n">
        <f aca="false">J17/C17</f>
        <v>1.401715459044</v>
      </c>
      <c r="L17" s="10" t="n">
        <f aca="false">1-C17/J17</f>
        <v>0.286588448784021</v>
      </c>
    </row>
    <row r="18" customFormat="false" ht="15" hidden="false" customHeight="false" outlineLevel="0" collapsed="false">
      <c r="A18" s="15" t="s">
        <v>214</v>
      </c>
      <c r="B18" s="15" t="s">
        <v>215</v>
      </c>
      <c r="C18" s="9" t="n">
        <v>178860.140732</v>
      </c>
      <c r="D18" s="15" t="s">
        <v>55</v>
      </c>
      <c r="E18" s="15" t="s">
        <v>917</v>
      </c>
      <c r="F18" s="15" t="s">
        <v>918</v>
      </c>
      <c r="G18" s="30" t="n">
        <v>0.34</v>
      </c>
      <c r="H18" s="9" t="n">
        <v>43653.649545</v>
      </c>
      <c r="I18" s="9" t="n">
        <f aca="false">G18*H18</f>
        <v>14842.2408453</v>
      </c>
      <c r="J18" s="9" t="n">
        <f aca="false">SUM($I$16:$I$20)</f>
        <v>250711.02427083</v>
      </c>
      <c r="K18" s="31" t="n">
        <f aca="false">J18/C18</f>
        <v>1.401715459044</v>
      </c>
      <c r="L18" s="10" t="n">
        <f aca="false">1-C18/J18</f>
        <v>0.286588448784021</v>
      </c>
    </row>
    <row r="19" customFormat="false" ht="15" hidden="false" customHeight="false" outlineLevel="0" collapsed="false">
      <c r="A19" s="15" t="s">
        <v>214</v>
      </c>
      <c r="B19" s="15" t="s">
        <v>215</v>
      </c>
      <c r="C19" s="9" t="n">
        <v>178860.140732</v>
      </c>
      <c r="D19" s="15" t="s">
        <v>55</v>
      </c>
      <c r="E19" s="15" t="s">
        <v>837</v>
      </c>
      <c r="F19" s="15" t="s">
        <v>838</v>
      </c>
      <c r="G19" s="30" t="n">
        <v>0.377</v>
      </c>
      <c r="H19" s="9" t="n">
        <v>62857.7471092</v>
      </c>
      <c r="I19" s="9" t="n">
        <f aca="false">G19*H19</f>
        <v>23697.3706601684</v>
      </c>
      <c r="J19" s="9" t="n">
        <f aca="false">SUM($I$16:$I$20)</f>
        <v>250711.02427083</v>
      </c>
      <c r="K19" s="31" t="n">
        <f aca="false">J19/C19</f>
        <v>1.401715459044</v>
      </c>
      <c r="L19" s="10" t="n">
        <f aca="false">1-C19/J19</f>
        <v>0.286588448784021</v>
      </c>
    </row>
    <row r="20" customFormat="false" ht="15" hidden="false" customHeight="false" outlineLevel="0" collapsed="false">
      <c r="A20" s="15" t="s">
        <v>214</v>
      </c>
      <c r="B20" s="15" t="s">
        <v>215</v>
      </c>
      <c r="C20" s="9" t="n">
        <v>178860.140732</v>
      </c>
      <c r="D20" s="15" t="s">
        <v>55</v>
      </c>
      <c r="E20" s="15" t="s">
        <v>815</v>
      </c>
      <c r="F20" s="15" t="s">
        <v>816</v>
      </c>
      <c r="G20" s="30" t="n">
        <v>0.4995</v>
      </c>
      <c r="H20" s="9" t="n">
        <v>70242.3123</v>
      </c>
      <c r="I20" s="9" t="n">
        <f aca="false">G20*H20</f>
        <v>35086.03499385</v>
      </c>
      <c r="J20" s="9" t="n">
        <f aca="false">SUM($I$16:$I$20)</f>
        <v>250711.02427083</v>
      </c>
      <c r="K20" s="31" t="n">
        <f aca="false">J20/C20</f>
        <v>1.401715459044</v>
      </c>
      <c r="L20" s="10" t="n">
        <f aca="false">1-C20/J20</f>
        <v>0.286588448784021</v>
      </c>
    </row>
    <row r="22" customFormat="false" ht="15" hidden="false" customHeight="false" outlineLevel="0" collapsed="false">
      <c r="A22" s="15" t="s">
        <v>150</v>
      </c>
      <c r="B22" s="15" t="s">
        <v>151</v>
      </c>
      <c r="C22" s="9" t="n">
        <v>395139.73135</v>
      </c>
      <c r="D22" s="15" t="s">
        <v>55</v>
      </c>
      <c r="E22" s="15" t="s">
        <v>190</v>
      </c>
      <c r="F22" s="15" t="s">
        <v>191</v>
      </c>
      <c r="G22" s="30" t="n">
        <v>0.559</v>
      </c>
      <c r="H22" s="9" t="n">
        <v>221121.046704</v>
      </c>
      <c r="I22" s="9" t="n">
        <f aca="false">G22*H22</f>
        <v>123606.665107536</v>
      </c>
      <c r="J22" s="9" t="n">
        <f aca="false">SUM($I$22:$I$27)</f>
        <v>643946.001972385</v>
      </c>
      <c r="K22" s="31" t="n">
        <f aca="false">J22/C22</f>
        <v>1.62966654801413</v>
      </c>
      <c r="L22" s="10" t="n">
        <f aca="false">1-C22/J22</f>
        <v>0.386377537651138</v>
      </c>
    </row>
    <row r="23" customFormat="false" ht="15" hidden="false" customHeight="false" outlineLevel="0" collapsed="false">
      <c r="A23" s="15" t="s">
        <v>150</v>
      </c>
      <c r="B23" s="15" t="s">
        <v>151</v>
      </c>
      <c r="C23" s="9" t="n">
        <v>395139.73135</v>
      </c>
      <c r="D23" s="15" t="s">
        <v>55</v>
      </c>
      <c r="E23" s="15" t="s">
        <v>202</v>
      </c>
      <c r="F23" s="15" t="s">
        <v>203</v>
      </c>
      <c r="G23" s="30" t="n">
        <v>0.306</v>
      </c>
      <c r="H23" s="9" t="n">
        <v>191163.14717</v>
      </c>
      <c r="I23" s="9" t="n">
        <f aca="false">G23*H23</f>
        <v>58495.92303402</v>
      </c>
      <c r="J23" s="9" t="n">
        <f aca="false">SUM($I$22:$I$27)</f>
        <v>643946.001972385</v>
      </c>
      <c r="K23" s="31" t="n">
        <f aca="false">J23/C23</f>
        <v>1.62966654801413</v>
      </c>
      <c r="L23" s="10" t="n">
        <f aca="false">1-C23/J23</f>
        <v>0.386377537651138</v>
      </c>
    </row>
    <row r="24" customFormat="false" ht="15" hidden="false" customHeight="false" outlineLevel="0" collapsed="false">
      <c r="A24" s="15" t="s">
        <v>150</v>
      </c>
      <c r="B24" s="15" t="s">
        <v>151</v>
      </c>
      <c r="C24" s="9" t="n">
        <v>395139.73135</v>
      </c>
      <c r="D24" s="15" t="s">
        <v>55</v>
      </c>
      <c r="E24" s="15" t="s">
        <v>111</v>
      </c>
      <c r="F24" s="15" t="s">
        <v>112</v>
      </c>
      <c r="G24" s="30" t="n">
        <v>0.306</v>
      </c>
      <c r="H24" s="9" t="n">
        <v>1294174.42038</v>
      </c>
      <c r="I24" s="9" t="n">
        <f aca="false">G24*H24</f>
        <v>396017.37263628</v>
      </c>
      <c r="J24" s="9" t="n">
        <f aca="false">SUM($I$22:$I$27)</f>
        <v>643946.001972385</v>
      </c>
      <c r="K24" s="31" t="n">
        <f aca="false">J24/C24</f>
        <v>1.62966654801413</v>
      </c>
      <c r="L24" s="10" t="n">
        <f aca="false">1-C24/J24</f>
        <v>0.386377537651138</v>
      </c>
    </row>
    <row r="25" customFormat="false" ht="15" hidden="false" customHeight="false" outlineLevel="0" collapsed="false">
      <c r="A25" s="15" t="s">
        <v>150</v>
      </c>
      <c r="B25" s="15" t="s">
        <v>151</v>
      </c>
      <c r="C25" s="9" t="n">
        <v>395139.73135</v>
      </c>
      <c r="D25" s="15" t="s">
        <v>55</v>
      </c>
      <c r="E25" s="15" t="s">
        <v>349</v>
      </c>
      <c r="F25" s="15" t="s">
        <v>350</v>
      </c>
      <c r="G25" s="30" t="n">
        <v>0.406</v>
      </c>
      <c r="H25" s="9" t="n">
        <v>41612.972022</v>
      </c>
      <c r="I25" s="9" t="n">
        <f aca="false">G25*H25</f>
        <v>16894.866640932</v>
      </c>
      <c r="J25" s="9" t="n">
        <f aca="false">SUM($I$22:$I$27)</f>
        <v>643946.001972385</v>
      </c>
      <c r="K25" s="31" t="n">
        <f aca="false">J25/C25</f>
        <v>1.62966654801413</v>
      </c>
      <c r="L25" s="10" t="n">
        <f aca="false">1-C25/J25</f>
        <v>0.386377537651138</v>
      </c>
    </row>
    <row r="26" customFormat="false" ht="15" hidden="false" customHeight="false" outlineLevel="0" collapsed="false">
      <c r="A26" s="15" t="s">
        <v>150</v>
      </c>
      <c r="B26" s="15" t="s">
        <v>151</v>
      </c>
      <c r="C26" s="9" t="n">
        <v>395139.73135</v>
      </c>
      <c r="D26" s="15" t="s">
        <v>55</v>
      </c>
      <c r="E26" s="15" t="s">
        <v>1429</v>
      </c>
      <c r="F26" s="15" t="s">
        <v>1430</v>
      </c>
      <c r="G26" s="30" t="n">
        <v>0.439</v>
      </c>
      <c r="H26" s="9" t="n">
        <v>12817.9495071</v>
      </c>
      <c r="I26" s="9" t="n">
        <f aca="false">G26*H26</f>
        <v>5627.0798336169</v>
      </c>
      <c r="J26" s="9" t="n">
        <f aca="false">SUM($I$22:$I$27)</f>
        <v>643946.001972385</v>
      </c>
      <c r="K26" s="31" t="n">
        <f aca="false">J26/C26</f>
        <v>1.62966654801413</v>
      </c>
      <c r="L26" s="10" t="n">
        <f aca="false">1-C26/J26</f>
        <v>0.386377537651138</v>
      </c>
    </row>
    <row r="27" customFormat="false" ht="15" hidden="false" customHeight="false" outlineLevel="0" collapsed="false">
      <c r="A27" s="15" t="s">
        <v>150</v>
      </c>
      <c r="B27" s="15" t="s">
        <v>151</v>
      </c>
      <c r="C27" s="9" t="n">
        <v>395139.73135</v>
      </c>
      <c r="D27" s="15" t="s">
        <v>55</v>
      </c>
      <c r="E27" s="15" t="s">
        <v>827</v>
      </c>
      <c r="F27" s="15" t="s">
        <v>828</v>
      </c>
      <c r="G27" s="30" t="n">
        <v>0.64</v>
      </c>
      <c r="H27" s="9" t="n">
        <v>67662.648</v>
      </c>
      <c r="I27" s="9" t="n">
        <f aca="false">G27*H27</f>
        <v>43304.09472</v>
      </c>
      <c r="J27" s="9" t="n">
        <f aca="false">SUM($I$22:$I$27)</f>
        <v>643946.001972385</v>
      </c>
      <c r="K27" s="31" t="n">
        <f aca="false">J27/C27</f>
        <v>1.62966654801413</v>
      </c>
      <c r="L27" s="10" t="n">
        <f aca="false">1-C27/J27</f>
        <v>0.386377537651138</v>
      </c>
    </row>
    <row r="29" customFormat="false" ht="15" hidden="false" customHeight="false" outlineLevel="0" collapsed="false">
      <c r="A29" s="15" t="s">
        <v>217</v>
      </c>
      <c r="B29" s="15" t="s">
        <v>218</v>
      </c>
      <c r="C29" s="9" t="n">
        <v>168650.236475</v>
      </c>
      <c r="D29" s="15" t="s">
        <v>55</v>
      </c>
      <c r="E29" s="15" t="s">
        <v>604</v>
      </c>
      <c r="F29" s="15" t="s">
        <v>605</v>
      </c>
      <c r="G29" s="30" t="n">
        <v>0.37</v>
      </c>
      <c r="H29" s="9" t="n">
        <v>243459.51904</v>
      </c>
      <c r="I29" s="9" t="n">
        <f aca="false">G29*H29</f>
        <v>90080.0220448</v>
      </c>
      <c r="J29" s="9" t="n">
        <f aca="false">SUM($I$29:$I$32)</f>
        <v>260816.1574701</v>
      </c>
      <c r="K29" s="31" t="n">
        <f aca="false">J29/C29</f>
        <v>1.54649150171077</v>
      </c>
      <c r="L29" s="10" t="n">
        <f aca="false">1-C29/J29</f>
        <v>0.353375043513805</v>
      </c>
    </row>
    <row r="30" customFormat="false" ht="15" hidden="false" customHeight="false" outlineLevel="0" collapsed="false">
      <c r="A30" s="15" t="s">
        <v>217</v>
      </c>
      <c r="B30" s="15" t="s">
        <v>218</v>
      </c>
      <c r="C30" s="9" t="n">
        <v>168650.236475</v>
      </c>
      <c r="D30" s="15" t="s">
        <v>55</v>
      </c>
      <c r="E30" s="15" t="s">
        <v>598</v>
      </c>
      <c r="F30" s="15" t="s">
        <v>599</v>
      </c>
      <c r="G30" s="30" t="n">
        <v>0.37</v>
      </c>
      <c r="H30" s="9" t="n">
        <v>254492.7731</v>
      </c>
      <c r="I30" s="9" t="n">
        <f aca="false">G30*H30</f>
        <v>94162.326047</v>
      </c>
      <c r="J30" s="9" t="n">
        <f aca="false">SUM($I$29:$I$32)</f>
        <v>260816.1574701</v>
      </c>
      <c r="K30" s="31" t="n">
        <f aca="false">J30/C30</f>
        <v>1.54649150171077</v>
      </c>
      <c r="L30" s="10" t="n">
        <f aca="false">1-C30/J30</f>
        <v>0.353375043513805</v>
      </c>
    </row>
    <row r="31" customFormat="false" ht="15" hidden="false" customHeight="false" outlineLevel="0" collapsed="false">
      <c r="A31" s="15" t="s">
        <v>217</v>
      </c>
      <c r="B31" s="15" t="s">
        <v>218</v>
      </c>
      <c r="C31" s="9" t="n">
        <v>168650.236475</v>
      </c>
      <c r="D31" s="15" t="s">
        <v>55</v>
      </c>
      <c r="E31" s="15" t="s">
        <v>763</v>
      </c>
      <c r="F31" s="15" t="s">
        <v>764</v>
      </c>
      <c r="G31" s="30" t="n">
        <v>0.62</v>
      </c>
      <c r="H31" s="9" t="n">
        <v>92132.7603</v>
      </c>
      <c r="I31" s="9" t="n">
        <f aca="false">G31*H31</f>
        <v>57122.311386</v>
      </c>
      <c r="J31" s="9" t="n">
        <f aca="false">SUM($I$29:$I$32)</f>
        <v>260816.1574701</v>
      </c>
      <c r="K31" s="31" t="n">
        <f aca="false">J31/C31</f>
        <v>1.54649150171077</v>
      </c>
      <c r="L31" s="10" t="n">
        <f aca="false">1-C31/J31</f>
        <v>0.353375043513805</v>
      </c>
    </row>
    <row r="32" customFormat="false" ht="15" hidden="false" customHeight="false" outlineLevel="0" collapsed="false">
      <c r="A32" s="15" t="s">
        <v>217</v>
      </c>
      <c r="B32" s="15" t="s">
        <v>218</v>
      </c>
      <c r="C32" s="9" t="n">
        <v>168650.236475</v>
      </c>
      <c r="D32" s="15" t="s">
        <v>55</v>
      </c>
      <c r="E32" s="15" t="s">
        <v>251</v>
      </c>
      <c r="F32" s="15" t="s">
        <v>252</v>
      </c>
      <c r="G32" s="30" t="n">
        <v>0.3</v>
      </c>
      <c r="H32" s="9" t="n">
        <v>64838.326641</v>
      </c>
      <c r="I32" s="9" t="n">
        <f aca="false">G32*H32</f>
        <v>19451.4979923</v>
      </c>
      <c r="J32" s="9" t="n">
        <f aca="false">SUM($I$29:$I$32)</f>
        <v>260816.1574701</v>
      </c>
      <c r="K32" s="31" t="n">
        <f aca="false">J32/C32</f>
        <v>1.54649150171077</v>
      </c>
      <c r="L32" s="10" t="n">
        <f aca="false">1-C32/J32</f>
        <v>0.353375043513805</v>
      </c>
    </row>
    <row r="34" customFormat="false" ht="15" hidden="false" customHeight="false" outlineLevel="0" collapsed="false">
      <c r="A34" s="15" t="s">
        <v>233</v>
      </c>
      <c r="B34" s="19" t="s">
        <v>234</v>
      </c>
      <c r="C34" s="9" t="n">
        <v>89327.929302</v>
      </c>
      <c r="D34" s="15" t="s">
        <v>55</v>
      </c>
      <c r="E34" s="15" t="s">
        <v>229</v>
      </c>
      <c r="F34" s="19" t="s">
        <v>230</v>
      </c>
      <c r="G34" s="30" t="n">
        <v>0.261</v>
      </c>
      <c r="H34" s="9" t="n">
        <v>107336.3226815</v>
      </c>
      <c r="I34" s="9" t="n">
        <f aca="false">G34*H34</f>
        <v>28014.7802198715</v>
      </c>
      <c r="J34" s="9" t="n">
        <f aca="false">SUM($I$34:$I$34)</f>
        <v>28014.7802198715</v>
      </c>
      <c r="K34" s="31" t="n">
        <f aca="false">J34/C34</f>
        <v>0.313617257656999</v>
      </c>
      <c r="L34" s="10" t="n">
        <f aca="false">1-C34/J34</f>
        <v>-2.18860003901218</v>
      </c>
    </row>
    <row r="36" customFormat="false" ht="15" hidden="false" customHeight="false" outlineLevel="0" collapsed="false">
      <c r="A36" s="15" t="s">
        <v>2405</v>
      </c>
      <c r="B36" s="19" t="s">
        <v>2406</v>
      </c>
      <c r="C36" s="9" t="n">
        <v>7364.2732</v>
      </c>
      <c r="D36" s="15" t="s">
        <v>2360</v>
      </c>
      <c r="E36" s="15" t="s">
        <v>176</v>
      </c>
      <c r="F36" s="19" t="s">
        <v>177</v>
      </c>
      <c r="G36" s="30" t="n">
        <v>0.254</v>
      </c>
      <c r="H36" s="9" t="n">
        <v>255485.14056</v>
      </c>
      <c r="I36" s="9" t="n">
        <f aca="false">G36*H36</f>
        <v>64893.22570224</v>
      </c>
      <c r="J36" s="9" t="n">
        <f aca="false">SUM($I$36:$I$36)</f>
        <v>64893.22570224</v>
      </c>
      <c r="K36" s="31" t="n">
        <f aca="false">J36/C36</f>
        <v>8.81189819278296</v>
      </c>
      <c r="L36" s="10" t="n">
        <f aca="false">1-C36/J36</f>
        <v>0.886517072925444</v>
      </c>
    </row>
    <row r="38" customFormat="false" ht="15" hidden="false" customHeight="false" outlineLevel="0" collapsed="false">
      <c r="A38" s="15" t="s">
        <v>268</v>
      </c>
      <c r="B38" s="15" t="s">
        <v>269</v>
      </c>
      <c r="C38" s="9" t="n">
        <v>37492.44243</v>
      </c>
      <c r="D38" s="15" t="s">
        <v>55</v>
      </c>
      <c r="E38" s="15" t="s">
        <v>1055</v>
      </c>
      <c r="F38" s="15" t="s">
        <v>1056</v>
      </c>
      <c r="G38" s="30" t="n">
        <v>0.446</v>
      </c>
      <c r="H38" s="9" t="n">
        <v>27985.731774</v>
      </c>
      <c r="I38" s="9" t="n">
        <f aca="false">G38*H38</f>
        <v>12481.636371204</v>
      </c>
      <c r="J38" s="9" t="n">
        <f aca="false">SUM($I$38:$I$39)</f>
        <v>15454.396345752</v>
      </c>
      <c r="K38" s="31" t="n">
        <f aca="false">J38/C38</f>
        <v>0.412200308758386</v>
      </c>
      <c r="L38" s="10" t="n">
        <f aca="false">1-C38/J38</f>
        <v>-1.42600497562014</v>
      </c>
    </row>
    <row r="39" customFormat="false" ht="15" hidden="false" customHeight="false" outlineLevel="0" collapsed="false">
      <c r="A39" s="15" t="s">
        <v>268</v>
      </c>
      <c r="B39" s="15" t="s">
        <v>269</v>
      </c>
      <c r="C39" s="9" t="n">
        <v>37492.44243</v>
      </c>
      <c r="D39" s="15" t="s">
        <v>55</v>
      </c>
      <c r="E39" s="15" t="s">
        <v>1813</v>
      </c>
      <c r="F39" s="15" t="s">
        <v>1814</v>
      </c>
      <c r="G39" s="30" t="n">
        <v>0.421</v>
      </c>
      <c r="H39" s="9" t="n">
        <v>7061.187588</v>
      </c>
      <c r="I39" s="9" t="n">
        <f aca="false">G39*H39</f>
        <v>2972.759974548</v>
      </c>
      <c r="J39" s="9" t="n">
        <f aca="false">SUM($I$38:$I$39)</f>
        <v>15454.396345752</v>
      </c>
      <c r="K39" s="31" t="n">
        <f aca="false">J39/C39</f>
        <v>0.412200308758386</v>
      </c>
      <c r="L39" s="10" t="n">
        <f aca="false">1-C39/J39</f>
        <v>-1.42600497562014</v>
      </c>
    </row>
    <row r="41" customFormat="false" ht="15" hidden="false" customHeight="false" outlineLevel="0" collapsed="false">
      <c r="A41" s="15" t="s">
        <v>309</v>
      </c>
      <c r="B41" s="19" t="s">
        <v>310</v>
      </c>
      <c r="C41" s="9" t="n">
        <v>24766.448336</v>
      </c>
      <c r="D41" s="15" t="s">
        <v>57</v>
      </c>
      <c r="E41" s="15" t="s">
        <v>295</v>
      </c>
      <c r="F41" s="19" t="s">
        <v>296</v>
      </c>
      <c r="G41" s="30" t="n">
        <v>0.253</v>
      </c>
      <c r="H41" s="9" t="n">
        <v>26093.00559</v>
      </c>
      <c r="I41" s="9" t="n">
        <f aca="false">G41*H41</f>
        <v>6601.53041427</v>
      </c>
      <c r="J41" s="9" t="n">
        <f aca="false">SUM($I$41:$I$44)</f>
        <v>29098.34298999</v>
      </c>
      <c r="K41" s="31" t="n">
        <f aca="false">J41/C41</f>
        <v>1.17490980520179</v>
      </c>
      <c r="L41" s="10" t="n">
        <f aca="false">1-C41/J41</f>
        <v>0.148870836235596</v>
      </c>
    </row>
    <row r="42" customFormat="false" ht="15" hidden="false" customHeight="false" outlineLevel="0" collapsed="false">
      <c r="A42" s="15" t="s">
        <v>309</v>
      </c>
      <c r="B42" s="19" t="s">
        <v>310</v>
      </c>
      <c r="C42" s="9" t="n">
        <v>24766.448336</v>
      </c>
      <c r="D42" s="15" t="s">
        <v>57</v>
      </c>
      <c r="E42" s="15" t="s">
        <v>1035</v>
      </c>
      <c r="F42" s="19" t="s">
        <v>1036</v>
      </c>
      <c r="G42" s="30" t="n">
        <v>0.4</v>
      </c>
      <c r="H42" s="9" t="n">
        <v>29788.059015</v>
      </c>
      <c r="I42" s="9" t="n">
        <f aca="false">G42*H42</f>
        <v>11915.223606</v>
      </c>
      <c r="J42" s="9" t="n">
        <f aca="false">SUM($I$41:$I$44)</f>
        <v>29098.34298999</v>
      </c>
      <c r="K42" s="31" t="n">
        <f aca="false">J42/C42</f>
        <v>1.17490980520179</v>
      </c>
      <c r="L42" s="10" t="n">
        <f aca="false">1-C42/J42</f>
        <v>0.148870836235596</v>
      </c>
    </row>
    <row r="43" customFormat="false" ht="15" hidden="false" customHeight="false" outlineLevel="0" collapsed="false">
      <c r="A43" s="15" t="s">
        <v>309</v>
      </c>
      <c r="B43" s="19" t="s">
        <v>310</v>
      </c>
      <c r="C43" s="9" t="n">
        <v>24766.448336</v>
      </c>
      <c r="D43" s="15" t="s">
        <v>57</v>
      </c>
      <c r="E43" s="15" t="s">
        <v>1735</v>
      </c>
      <c r="F43" s="19" t="s">
        <v>1736</v>
      </c>
      <c r="G43" s="30" t="n">
        <v>0.45</v>
      </c>
      <c r="H43" s="9" t="n">
        <v>9121.142972</v>
      </c>
      <c r="I43" s="9" t="n">
        <f aca="false">G43*H43</f>
        <v>4104.5143374</v>
      </c>
      <c r="J43" s="9" t="n">
        <f aca="false">SUM($I$41:$I$44)</f>
        <v>29098.34298999</v>
      </c>
      <c r="K43" s="31" t="n">
        <f aca="false">J43/C43</f>
        <v>1.17490980520179</v>
      </c>
      <c r="L43" s="10" t="n">
        <f aca="false">1-C43/J43</f>
        <v>0.148870836235596</v>
      </c>
    </row>
    <row r="44" customFormat="false" ht="15" hidden="false" customHeight="false" outlineLevel="0" collapsed="false">
      <c r="A44" s="15" t="s">
        <v>309</v>
      </c>
      <c r="B44" s="19" t="s">
        <v>310</v>
      </c>
      <c r="C44" s="9" t="n">
        <v>24766.448336</v>
      </c>
      <c r="D44" s="15" t="s">
        <v>57</v>
      </c>
      <c r="E44" s="15" t="s">
        <v>1680</v>
      </c>
      <c r="F44" s="19" t="s">
        <v>1681</v>
      </c>
      <c r="G44" s="30" t="n">
        <v>0.48</v>
      </c>
      <c r="H44" s="9" t="n">
        <v>13493.905484</v>
      </c>
      <c r="I44" s="9" t="n">
        <f aca="false">G44*H44</f>
        <v>6477.07463232</v>
      </c>
      <c r="J44" s="9" t="n">
        <f aca="false">SUM($I$41:$I$44)</f>
        <v>29098.34298999</v>
      </c>
      <c r="K44" s="31" t="n">
        <f aca="false">J44/C44</f>
        <v>1.17490980520179</v>
      </c>
      <c r="L44" s="10" t="n">
        <f aca="false">1-C44/J44</f>
        <v>0.148870836235596</v>
      </c>
    </row>
    <row r="46" customFormat="false" ht="15" hidden="false" customHeight="false" outlineLevel="0" collapsed="false">
      <c r="A46" s="15" t="s">
        <v>1626</v>
      </c>
      <c r="B46" s="19" t="s">
        <v>1627</v>
      </c>
      <c r="C46" s="9" t="n">
        <v>20146.73043</v>
      </c>
      <c r="D46" s="15" t="s">
        <v>57</v>
      </c>
      <c r="E46" s="15" t="s">
        <v>784</v>
      </c>
      <c r="F46" s="19" t="s">
        <v>785</v>
      </c>
      <c r="G46" s="30" t="n">
        <v>0.372</v>
      </c>
      <c r="H46" s="9" t="n">
        <v>83352.181575</v>
      </c>
      <c r="I46" s="9" t="n">
        <f aca="false">G46*H46</f>
        <v>31007.0115459</v>
      </c>
      <c r="J46" s="9" t="n">
        <f aca="false">SUM($I$46:$I$46)</f>
        <v>31007.0115459</v>
      </c>
      <c r="K46" s="31" t="n">
        <f aca="false">J46/C46</f>
        <v>1.53905923611944</v>
      </c>
      <c r="L46" s="10" t="n">
        <f aca="false">1-C46/J46</f>
        <v>0.350252429190843</v>
      </c>
    </row>
    <row r="48" customFormat="false" ht="15" hidden="false" customHeight="false" outlineLevel="0" collapsed="false">
      <c r="A48" s="15" t="s">
        <v>324</v>
      </c>
      <c r="B48" s="19" t="s">
        <v>325</v>
      </c>
      <c r="C48" s="9" t="n">
        <v>15219.632956</v>
      </c>
      <c r="D48" s="15" t="s">
        <v>57</v>
      </c>
      <c r="E48" s="15" t="s">
        <v>261</v>
      </c>
      <c r="F48" s="19" t="s">
        <v>262</v>
      </c>
      <c r="G48" s="30" t="n">
        <v>0.374</v>
      </c>
      <c r="H48" s="9" t="n">
        <v>51110.722884</v>
      </c>
      <c r="I48" s="9" t="n">
        <f aca="false">G48*H48</f>
        <v>19115.410358616</v>
      </c>
      <c r="J48" s="9" t="n">
        <f aca="false">SUM($I$48:$I$48)</f>
        <v>19115.410358616</v>
      </c>
      <c r="K48" s="31" t="n">
        <f aca="false">J48/C48</f>
        <v>1.25597052267152</v>
      </c>
      <c r="L48" s="10" t="n">
        <f aca="false">1-C48/J48</f>
        <v>0.203802969935199</v>
      </c>
    </row>
    <row r="50" customFormat="false" ht="15" hidden="false" customHeight="false" outlineLevel="0" collapsed="false">
      <c r="A50" s="15" t="s">
        <v>279</v>
      </c>
      <c r="B50" s="19" t="s">
        <v>280</v>
      </c>
      <c r="C50" s="9" t="n">
        <v>35221.64825</v>
      </c>
      <c r="D50" s="15" t="s">
        <v>55</v>
      </c>
      <c r="E50" s="15" t="s">
        <v>258</v>
      </c>
      <c r="F50" s="19" t="s">
        <v>259</v>
      </c>
      <c r="G50" s="30" t="n">
        <v>0.414</v>
      </c>
      <c r="H50" s="9" t="n">
        <v>58994.613555</v>
      </c>
      <c r="I50" s="9" t="n">
        <f aca="false">G50*H50</f>
        <v>24423.77001177</v>
      </c>
      <c r="J50" s="9" t="n">
        <f aca="false">SUM($I$50:$I$50)</f>
        <v>24423.77001177</v>
      </c>
      <c r="K50" s="31" t="n">
        <f aca="false">J50/C50</f>
        <v>0.693430637839897</v>
      </c>
      <c r="L50" s="10" t="n">
        <f aca="false">1-C50/J50</f>
        <v>-0.44210530286792</v>
      </c>
    </row>
    <row r="52" customFormat="false" ht="15" hidden="false" customHeight="false" outlineLevel="0" collapsed="false">
      <c r="A52" s="15" t="s">
        <v>1610</v>
      </c>
      <c r="B52" s="19" t="s">
        <v>1611</v>
      </c>
      <c r="C52" s="9" t="n">
        <v>22007.66388</v>
      </c>
      <c r="D52" s="15" t="s">
        <v>57</v>
      </c>
      <c r="E52" s="15" t="s">
        <v>1146</v>
      </c>
      <c r="F52" s="19" t="s">
        <v>1147</v>
      </c>
      <c r="G52" s="30" t="n">
        <v>0.37</v>
      </c>
      <c r="H52" s="9" t="n">
        <v>20400.406752</v>
      </c>
      <c r="I52" s="9" t="n">
        <f aca="false">G52*H52</f>
        <v>7548.15049824</v>
      </c>
      <c r="J52" s="9" t="n">
        <f aca="false">SUM($I$52:$I$53)</f>
        <v>9947.1513458</v>
      </c>
      <c r="K52" s="31" t="n">
        <f aca="false">J52/C52</f>
        <v>0.451985790042882</v>
      </c>
      <c r="L52" s="10" t="n">
        <f aca="false">1-C52/J52</f>
        <v>-1.21245893572257</v>
      </c>
    </row>
    <row r="53" customFormat="false" ht="15" hidden="false" customHeight="false" outlineLevel="0" collapsed="false">
      <c r="A53" s="15" t="s">
        <v>1610</v>
      </c>
      <c r="B53" s="19" t="s">
        <v>1611</v>
      </c>
      <c r="C53" s="9" t="n">
        <v>22007.66388</v>
      </c>
      <c r="D53" s="15" t="s">
        <v>57</v>
      </c>
      <c r="E53" s="15" t="s">
        <v>2407</v>
      </c>
      <c r="F53" s="19" t="s">
        <v>2408</v>
      </c>
      <c r="G53" s="30" t="n">
        <v>0.4</v>
      </c>
      <c r="H53" s="9" t="n">
        <v>5997.5021189</v>
      </c>
      <c r="I53" s="9" t="n">
        <f aca="false">G53*H53</f>
        <v>2399.00084756</v>
      </c>
      <c r="J53" s="9" t="n">
        <f aca="false">SUM($I$52:$I$53)</f>
        <v>9947.1513458</v>
      </c>
      <c r="K53" s="31" t="n">
        <f aca="false">J53/C53</f>
        <v>0.451985790042882</v>
      </c>
      <c r="L53" s="10" t="n">
        <f aca="false">1-C53/J53</f>
        <v>-1.21245893572257</v>
      </c>
    </row>
    <row r="55" customFormat="false" ht="15" hidden="false" customHeight="false" outlineLevel="0" collapsed="false">
      <c r="A55" s="15" t="s">
        <v>305</v>
      </c>
      <c r="B55" s="19" t="s">
        <v>306</v>
      </c>
      <c r="C55" s="9" t="n">
        <v>26617.24713</v>
      </c>
      <c r="D55" s="15" t="s">
        <v>57</v>
      </c>
      <c r="E55" s="15" t="s">
        <v>184</v>
      </c>
      <c r="F55" s="19" t="s">
        <v>185</v>
      </c>
      <c r="G55" s="30" t="n">
        <v>0.325</v>
      </c>
      <c r="H55" s="9" t="n">
        <v>254093.933</v>
      </c>
      <c r="I55" s="9" t="n">
        <f aca="false">G55*H55</f>
        <v>82580.528225</v>
      </c>
      <c r="J55" s="9" t="n">
        <f aca="false">SUM($I$55:$I$56)</f>
        <v>85694.87966107</v>
      </c>
      <c r="K55" s="31" t="n">
        <f aca="false">J55/C55</f>
        <v>3.2195245151586</v>
      </c>
      <c r="L55" s="10" t="n">
        <f aca="false">1-C55/J55</f>
        <v>0.689395127978786</v>
      </c>
    </row>
    <row r="56" customFormat="false" ht="15" hidden="false" customHeight="false" outlineLevel="0" collapsed="false">
      <c r="A56" s="15" t="s">
        <v>305</v>
      </c>
      <c r="B56" s="19" t="s">
        <v>306</v>
      </c>
      <c r="C56" s="9" t="n">
        <v>26617.24713</v>
      </c>
      <c r="D56" s="15" t="s">
        <v>57</v>
      </c>
      <c r="E56" s="15" t="s">
        <v>1413</v>
      </c>
      <c r="F56" s="19" t="s">
        <v>1414</v>
      </c>
      <c r="G56" s="30" t="n">
        <v>0.203</v>
      </c>
      <c r="H56" s="9" t="n">
        <v>15341.63269</v>
      </c>
      <c r="I56" s="9" t="n">
        <f aca="false">G56*H56</f>
        <v>3114.35143607</v>
      </c>
      <c r="J56" s="9" t="n">
        <f aca="false">SUM($I$55:$I$56)</f>
        <v>85694.87966107</v>
      </c>
      <c r="K56" s="31" t="n">
        <f aca="false">J56/C56</f>
        <v>3.2195245151586</v>
      </c>
      <c r="L56" s="10" t="n">
        <f aca="false">1-C56/J56</f>
        <v>0.689395127978786</v>
      </c>
    </row>
    <row r="59" customFormat="false" ht="15" hidden="false" customHeight="false" outlineLevel="0" collapsed="false">
      <c r="A59" s="32" t="s">
        <v>2409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6" min="6" style="0" width="60"/>
    <col collapsed="false" customWidth="true" hidden="false" outlineLevel="0" max="7" min="7" style="0" width="30"/>
    <col collapsed="false" customWidth="true" hidden="false" outlineLevel="0" max="8" min="8" style="0" width="20"/>
    <col collapsed="false" customWidth="true" hidden="false" outlineLevel="0" max="10" min="9" style="0" width="26"/>
    <col collapsed="false" customWidth="true" hidden="false" outlineLevel="0" max="11" min="11" style="0" width="30"/>
    <col collapsed="false" customWidth="true" hidden="false" outlineLevel="0" max="12" min="12" style="0" width="40"/>
    <col collapsed="false" customWidth="true" hidden="false" outlineLevel="0" max="13" min="13" style="0" width="26"/>
  </cols>
  <sheetData>
    <row r="1" customFormat="false" ht="15" hidden="false" customHeight="false" outlineLevel="0" collapsed="false">
      <c r="A1" s="14" t="s">
        <v>2410</v>
      </c>
    </row>
    <row r="3" customFormat="false" ht="15" hidden="false" customHeight="false" outlineLevel="0" collapsed="false">
      <c r="A3" s="7" t="s">
        <v>2411</v>
      </c>
      <c r="B3" s="7" t="s">
        <v>2412</v>
      </c>
      <c r="C3" s="7" t="s">
        <v>2413</v>
      </c>
      <c r="D3" s="7" t="s">
        <v>2414</v>
      </c>
      <c r="E3" s="7" t="s">
        <v>2415</v>
      </c>
      <c r="F3" s="7" t="s">
        <v>2416</v>
      </c>
      <c r="G3" s="7" t="s">
        <v>2417</v>
      </c>
      <c r="H3" s="7" t="s">
        <v>2418</v>
      </c>
      <c r="I3" s="7" t="s">
        <v>2419</v>
      </c>
      <c r="J3" s="7" t="s">
        <v>2420</v>
      </c>
      <c r="K3" s="7" t="s">
        <v>2421</v>
      </c>
      <c r="L3" s="7" t="s">
        <v>2422</v>
      </c>
      <c r="M3" s="7" t="s">
        <v>2423</v>
      </c>
    </row>
    <row r="4" customFormat="false" ht="120" hidden="false" customHeight="true" outlineLevel="0" collapsed="false">
      <c r="A4" s="33" t="n">
        <v>1</v>
      </c>
      <c r="B4" s="34" t="s">
        <v>2424</v>
      </c>
      <c r="C4" s="33" t="s">
        <v>2425</v>
      </c>
      <c r="D4" s="33" t="s">
        <v>2426</v>
      </c>
      <c r="E4" s="33" t="s">
        <v>2427</v>
      </c>
      <c r="F4" s="34" t="s">
        <v>2428</v>
      </c>
      <c r="G4" s="34" t="s">
        <v>2429</v>
      </c>
      <c r="H4" s="33" t="s">
        <v>2430</v>
      </c>
      <c r="I4" s="34" t="s">
        <v>2431</v>
      </c>
      <c r="J4" s="34" t="s">
        <v>2432</v>
      </c>
      <c r="K4" s="34" t="s">
        <v>2433</v>
      </c>
      <c r="L4" s="34" t="s">
        <v>2434</v>
      </c>
      <c r="M4" s="34" t="s">
        <v>2435</v>
      </c>
    </row>
    <row r="5" customFormat="false" ht="120" hidden="false" customHeight="true" outlineLevel="0" collapsed="false">
      <c r="A5" s="33" t="n">
        <v>2</v>
      </c>
      <c r="B5" s="34" t="s">
        <v>2436</v>
      </c>
      <c r="C5" s="33" t="s">
        <v>2425</v>
      </c>
      <c r="D5" s="33" t="s">
        <v>2437</v>
      </c>
      <c r="E5" s="33" t="s">
        <v>2427</v>
      </c>
      <c r="F5" s="34" t="s">
        <v>2438</v>
      </c>
      <c r="G5" s="34" t="s">
        <v>2439</v>
      </c>
      <c r="H5" s="33" t="s">
        <v>2440</v>
      </c>
      <c r="I5" s="33" t="s">
        <v>2441</v>
      </c>
      <c r="J5" s="33" t="s">
        <v>2442</v>
      </c>
      <c r="K5" s="34" t="s">
        <v>2443</v>
      </c>
      <c r="L5" s="34" t="s">
        <v>2444</v>
      </c>
      <c r="M5" s="34" t="s">
        <v>2445</v>
      </c>
    </row>
    <row r="6" customFormat="false" ht="120" hidden="false" customHeight="true" outlineLevel="0" collapsed="false">
      <c r="A6" s="33" t="n">
        <v>3</v>
      </c>
      <c r="B6" s="33" t="s">
        <v>2446</v>
      </c>
      <c r="C6" s="33" t="s">
        <v>2447</v>
      </c>
      <c r="D6" s="33" t="s">
        <v>2448</v>
      </c>
      <c r="E6" s="33" t="s">
        <v>2449</v>
      </c>
      <c r="F6" s="33" t="s">
        <v>2450</v>
      </c>
      <c r="G6" s="34" t="s">
        <v>2451</v>
      </c>
      <c r="H6" s="33" t="s">
        <v>2452</v>
      </c>
      <c r="I6" s="34" t="s">
        <v>2453</v>
      </c>
      <c r="J6" s="34" t="s">
        <v>2454</v>
      </c>
      <c r="K6" s="34" t="s">
        <v>2455</v>
      </c>
      <c r="L6" s="34" t="s">
        <v>2456</v>
      </c>
      <c r="M6" s="34" t="s">
        <v>2457</v>
      </c>
    </row>
    <row r="7" customFormat="false" ht="120" hidden="false" customHeight="true" outlineLevel="0" collapsed="false">
      <c r="A7" s="33" t="n">
        <v>4</v>
      </c>
      <c r="B7" s="34" t="s">
        <v>2458</v>
      </c>
      <c r="C7" s="33" t="s">
        <v>2459</v>
      </c>
      <c r="D7" s="33" t="s">
        <v>2460</v>
      </c>
      <c r="E7" s="33" t="s">
        <v>2449</v>
      </c>
      <c r="F7" s="33" t="s">
        <v>2461</v>
      </c>
      <c r="G7" s="34" t="s">
        <v>2462</v>
      </c>
      <c r="H7" s="33" t="s">
        <v>2463</v>
      </c>
      <c r="I7" s="34" t="s">
        <v>2464</v>
      </c>
      <c r="J7" s="34" t="s">
        <v>2465</v>
      </c>
      <c r="K7" s="34" t="s">
        <v>2466</v>
      </c>
      <c r="L7" s="34" t="s">
        <v>2467</v>
      </c>
      <c r="M7" s="34" t="s">
        <v>2468</v>
      </c>
    </row>
    <row r="8" customFormat="false" ht="120" hidden="false" customHeight="true" outlineLevel="0" collapsed="false">
      <c r="A8" s="33" t="n">
        <v>5</v>
      </c>
      <c r="B8" s="34" t="s">
        <v>2469</v>
      </c>
      <c r="C8" s="33" t="s">
        <v>2470</v>
      </c>
      <c r="D8" s="33" t="s">
        <v>2471</v>
      </c>
      <c r="E8" s="33" t="s">
        <v>2472</v>
      </c>
      <c r="F8" s="33" t="s">
        <v>2473</v>
      </c>
      <c r="G8" s="34" t="s">
        <v>2474</v>
      </c>
      <c r="H8" s="33" t="s">
        <v>2440</v>
      </c>
      <c r="I8" s="33" t="s">
        <v>2475</v>
      </c>
      <c r="J8" s="34" t="s">
        <v>2476</v>
      </c>
      <c r="K8" s="34" t="s">
        <v>2477</v>
      </c>
      <c r="L8" s="33" t="s">
        <v>2478</v>
      </c>
      <c r="M8" s="33" t="s">
        <v>2479</v>
      </c>
    </row>
    <row r="9" customFormat="false" ht="120" hidden="false" customHeight="true" outlineLevel="0" collapsed="false">
      <c r="A9" s="33" t="n">
        <v>6</v>
      </c>
      <c r="B9" s="34" t="s">
        <v>2480</v>
      </c>
      <c r="C9" s="33" t="s">
        <v>2481</v>
      </c>
      <c r="D9" s="33" t="s">
        <v>2482</v>
      </c>
      <c r="E9" s="33" t="s">
        <v>2483</v>
      </c>
      <c r="F9" s="33" t="s">
        <v>2484</v>
      </c>
      <c r="G9" s="34" t="s">
        <v>2485</v>
      </c>
      <c r="H9" s="33" t="s">
        <v>2486</v>
      </c>
      <c r="I9" s="34" t="s">
        <v>2487</v>
      </c>
      <c r="J9" s="34" t="s">
        <v>2488</v>
      </c>
      <c r="K9" s="34" t="s">
        <v>2489</v>
      </c>
      <c r="L9" s="34" t="s">
        <v>2490</v>
      </c>
      <c r="M9" s="34" t="s">
        <v>2491</v>
      </c>
    </row>
    <row r="10" customFormat="false" ht="120" hidden="false" customHeight="true" outlineLevel="0" collapsed="false">
      <c r="A10" s="33" t="n">
        <v>7</v>
      </c>
      <c r="B10" s="34" t="s">
        <v>2492</v>
      </c>
      <c r="C10" s="33" t="s">
        <v>2493</v>
      </c>
      <c r="D10" s="33" t="s">
        <v>313</v>
      </c>
      <c r="E10" s="33" t="s">
        <v>2494</v>
      </c>
      <c r="F10" s="34" t="s">
        <v>2495</v>
      </c>
      <c r="G10" s="34" t="s">
        <v>2496</v>
      </c>
      <c r="H10" s="33" t="s">
        <v>2497</v>
      </c>
      <c r="I10" s="34" t="s">
        <v>2498</v>
      </c>
      <c r="J10" s="34" t="s">
        <v>2499</v>
      </c>
      <c r="K10" s="34" t="s">
        <v>2500</v>
      </c>
      <c r="L10" s="34" t="s">
        <v>2501</v>
      </c>
      <c r="M10" s="33" t="s">
        <v>2502</v>
      </c>
    </row>
    <row r="11" customFormat="false" ht="120" hidden="false" customHeight="true" outlineLevel="0" collapsed="false">
      <c r="A11" s="33" t="n">
        <v>8</v>
      </c>
      <c r="B11" s="33" t="s">
        <v>2503</v>
      </c>
      <c r="C11" s="33" t="s">
        <v>2504</v>
      </c>
      <c r="D11" s="33" t="s">
        <v>251</v>
      </c>
      <c r="E11" s="33" t="s">
        <v>2505</v>
      </c>
      <c r="F11" s="33" t="s">
        <v>2506</v>
      </c>
      <c r="G11" s="34" t="s">
        <v>2507</v>
      </c>
      <c r="H11" s="33" t="s">
        <v>2508</v>
      </c>
      <c r="I11" s="34" t="s">
        <v>2509</v>
      </c>
      <c r="J11" s="34" t="s">
        <v>2510</v>
      </c>
      <c r="K11" s="34" t="s">
        <v>2511</v>
      </c>
      <c r="L11" s="34" t="s">
        <v>2512</v>
      </c>
      <c r="M11" s="34" t="s">
        <v>2513</v>
      </c>
    </row>
    <row r="12" customFormat="false" ht="120" hidden="false" customHeight="true" outlineLevel="0" collapsed="false">
      <c r="A12" s="33" t="n">
        <v>9</v>
      </c>
      <c r="B12" s="34" t="s">
        <v>2514</v>
      </c>
      <c r="C12" s="33" t="s">
        <v>2515</v>
      </c>
      <c r="D12" s="33" t="s">
        <v>2516</v>
      </c>
      <c r="E12" s="33" t="s">
        <v>2517</v>
      </c>
      <c r="F12" s="33" t="s">
        <v>2518</v>
      </c>
      <c r="G12" s="34" t="s">
        <v>2519</v>
      </c>
      <c r="H12" s="34" t="s">
        <v>2520</v>
      </c>
      <c r="I12" s="33" t="s">
        <v>2521</v>
      </c>
      <c r="J12" s="34" t="s">
        <v>2522</v>
      </c>
      <c r="K12" s="33" t="s">
        <v>2523</v>
      </c>
      <c r="L12" s="34" t="s">
        <v>2524</v>
      </c>
      <c r="M12" s="33" t="s">
        <v>2525</v>
      </c>
    </row>
    <row r="13" customFormat="false" ht="120" hidden="false" customHeight="true" outlineLevel="0" collapsed="false">
      <c r="A13" s="33" t="n">
        <v>10</v>
      </c>
      <c r="B13" s="34" t="s">
        <v>2526</v>
      </c>
      <c r="C13" s="33" t="s">
        <v>2527</v>
      </c>
      <c r="D13" s="33" t="s">
        <v>2528</v>
      </c>
      <c r="E13" s="33" t="s">
        <v>2529</v>
      </c>
      <c r="F13" s="34" t="s">
        <v>2530</v>
      </c>
      <c r="G13" s="34" t="s">
        <v>2531</v>
      </c>
      <c r="H13" s="33" t="s">
        <v>2532</v>
      </c>
      <c r="I13" s="34" t="s">
        <v>2533</v>
      </c>
      <c r="J13" s="34" t="s">
        <v>2534</v>
      </c>
      <c r="K13" s="34" t="s">
        <v>2535</v>
      </c>
      <c r="L13" s="34" t="s">
        <v>2536</v>
      </c>
      <c r="M13" s="34" t="s">
        <v>2537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8"/>
    <col collapsed="false" customWidth="true" hidden="false" outlineLevel="0" max="3" min="3" style="0" width="10"/>
    <col collapsed="false" customWidth="true" hidden="false" outlineLevel="0" max="7" min="4" style="0" width="12"/>
    <col collapsed="false" customWidth="true" hidden="false" outlineLevel="0" max="8" min="8" style="0" width="10"/>
    <col collapsed="false" customWidth="true" hidden="false" outlineLevel="0" max="9" min="9" style="0" width="16"/>
    <col collapsed="false" customWidth="true" hidden="false" outlineLevel="0" max="10" min="10" style="0" width="50"/>
  </cols>
  <sheetData>
    <row r="1" customFormat="false" ht="15" hidden="false" customHeight="false" outlineLevel="0" collapsed="false">
      <c r="A1" s="14" t="s">
        <v>2538</v>
      </c>
    </row>
    <row r="3" customFormat="false" ht="15" hidden="false" customHeight="false" outlineLevel="0" collapsed="false">
      <c r="A3" s="7" t="s">
        <v>2539</v>
      </c>
      <c r="B3" s="7" t="s">
        <v>36</v>
      </c>
    </row>
    <row r="4" customFormat="false" ht="15" hidden="false" customHeight="false" outlineLevel="0" collapsed="false">
      <c r="A4" s="6" t="s">
        <v>2540</v>
      </c>
      <c r="B4" s="23" t="n">
        <v>1809</v>
      </c>
    </row>
    <row r="5" customFormat="false" ht="15" hidden="false" customHeight="false" outlineLevel="0" collapsed="false">
      <c r="A5" s="8" t="s">
        <v>2541</v>
      </c>
      <c r="B5" s="23" t="n">
        <v>672</v>
      </c>
    </row>
    <row r="6" customFormat="false" ht="15" hidden="false" customHeight="false" outlineLevel="0" collapsed="false">
      <c r="A6" s="6" t="s">
        <v>2542</v>
      </c>
      <c r="B6" s="23" t="n">
        <v>163</v>
      </c>
    </row>
    <row r="7" customFormat="false" ht="15" hidden="false" customHeight="false" outlineLevel="0" collapsed="false">
      <c r="A7" s="8" t="s">
        <v>2543</v>
      </c>
      <c r="B7" s="23" t="n">
        <v>108</v>
      </c>
    </row>
    <row r="8" customFormat="false" ht="15" hidden="false" customHeight="false" outlineLevel="0" collapsed="false">
      <c r="A8" s="8" t="s">
        <v>2544</v>
      </c>
      <c r="B8" s="23" t="n">
        <v>70</v>
      </c>
    </row>
    <row r="9" customFormat="false" ht="15" hidden="false" customHeight="false" outlineLevel="0" collapsed="false">
      <c r="A9" s="6" t="s">
        <v>2545</v>
      </c>
      <c r="B9" s="23" t="n">
        <v>50</v>
      </c>
    </row>
    <row r="11" customFormat="false" ht="15" hidden="false" customHeight="false" outlineLevel="0" collapsed="false">
      <c r="A11" s="7" t="s">
        <v>35</v>
      </c>
      <c r="B11" s="7" t="s">
        <v>36</v>
      </c>
    </row>
    <row r="12" customFormat="false" ht="15" hidden="false" customHeight="false" outlineLevel="0" collapsed="false">
      <c r="A12" s="8" t="s">
        <v>2363</v>
      </c>
      <c r="B12" s="23" t="n">
        <v>1809</v>
      </c>
    </row>
    <row r="13" customFormat="false" ht="15" hidden="false" customHeight="false" outlineLevel="0" collapsed="false">
      <c r="A13" s="8" t="s">
        <v>2546</v>
      </c>
      <c r="B13" s="23" t="n">
        <v>391</v>
      </c>
    </row>
    <row r="14" customFormat="false" ht="15" hidden="false" customHeight="false" outlineLevel="0" collapsed="false">
      <c r="A14" s="8" t="s">
        <v>55</v>
      </c>
      <c r="B14" s="23" t="n">
        <v>221</v>
      </c>
    </row>
    <row r="15" customFormat="false" ht="15" hidden="false" customHeight="false" outlineLevel="0" collapsed="false">
      <c r="A15" s="8" t="s">
        <v>2360</v>
      </c>
      <c r="B15" s="23" t="n">
        <v>180</v>
      </c>
    </row>
    <row r="16" customFormat="false" ht="15" hidden="false" customHeight="false" outlineLevel="0" collapsed="false">
      <c r="A16" s="8" t="s">
        <v>58</v>
      </c>
      <c r="B16" s="23" t="n">
        <v>138</v>
      </c>
    </row>
    <row r="17" customFormat="false" ht="15" hidden="false" customHeight="false" outlineLevel="0" collapsed="false">
      <c r="A17" s="8" t="s">
        <v>57</v>
      </c>
      <c r="B17" s="23" t="n">
        <v>72</v>
      </c>
    </row>
    <row r="18" customFormat="false" ht="15" hidden="false" customHeight="false" outlineLevel="0" collapsed="false">
      <c r="A18" s="8" t="s">
        <v>56</v>
      </c>
      <c r="B18" s="23" t="n">
        <v>61</v>
      </c>
    </row>
    <row r="21" customFormat="false" ht="15" hidden="false" customHeight="false" outlineLevel="0" collapsed="false">
      <c r="A21" s="14" t="s">
        <v>2547</v>
      </c>
    </row>
    <row r="22" customFormat="false" ht="15" hidden="false" customHeight="false" outlineLevel="0" collapsed="false">
      <c r="A22" s="7" t="s">
        <v>87</v>
      </c>
      <c r="B22" s="7" t="s">
        <v>88</v>
      </c>
      <c r="C22" s="7" t="s">
        <v>71</v>
      </c>
      <c r="D22" s="7" t="s">
        <v>92</v>
      </c>
      <c r="E22" s="7" t="s">
        <v>93</v>
      </c>
      <c r="F22" s="7" t="s">
        <v>99</v>
      </c>
      <c r="G22" s="7" t="s">
        <v>98</v>
      </c>
      <c r="H22" s="7" t="s">
        <v>101</v>
      </c>
      <c r="I22" s="7" t="s">
        <v>89</v>
      </c>
      <c r="J22" s="7" t="s">
        <v>2548</v>
      </c>
    </row>
    <row r="23" customFormat="false" ht="15" hidden="false" customHeight="false" outlineLevel="0" collapsed="false">
      <c r="A23" s="15" t="s">
        <v>2549</v>
      </c>
      <c r="B23" s="19" t="s">
        <v>2550</v>
      </c>
      <c r="C23" s="15" t="s">
        <v>72</v>
      </c>
      <c r="D23" s="9" t="n">
        <v>1592.7932592</v>
      </c>
      <c r="E23" s="11" t="n">
        <v>915.3005917775</v>
      </c>
      <c r="F23" s="10" t="n">
        <v>3.94130390378067</v>
      </c>
      <c r="G23" s="10" t="n">
        <v>2.48777469285653</v>
      </c>
      <c r="H23" s="13" t="n">
        <v>3.57574873937044</v>
      </c>
      <c r="I23" s="15"/>
      <c r="J23" s="19" t="s">
        <v>2551</v>
      </c>
    </row>
    <row r="24" customFormat="false" ht="15" hidden="false" customHeight="false" outlineLevel="0" collapsed="false">
      <c r="A24" s="15" t="s">
        <v>2552</v>
      </c>
      <c r="B24" s="19" t="s">
        <v>2553</v>
      </c>
      <c r="C24" s="15" t="s">
        <v>73</v>
      </c>
      <c r="D24" s="9" t="n">
        <v>677.11431</v>
      </c>
      <c r="E24" s="11" t="n">
        <v>794.88604013125</v>
      </c>
      <c r="F24" s="10"/>
      <c r="G24" s="10"/>
      <c r="H24" s="13" t="n">
        <v>1</v>
      </c>
      <c r="I24" s="15"/>
      <c r="J24" s="19" t="s">
        <v>367</v>
      </c>
    </row>
    <row r="25" customFormat="false" ht="15" hidden="false" customHeight="false" outlineLevel="0" collapsed="false">
      <c r="A25" s="15" t="s">
        <v>2554</v>
      </c>
      <c r="B25" s="19" t="s">
        <v>2555</v>
      </c>
      <c r="C25" s="15" t="s">
        <v>73</v>
      </c>
      <c r="D25" s="9" t="n">
        <v>1565.717676</v>
      </c>
      <c r="E25" s="11" t="n">
        <v>643.969624361111</v>
      </c>
      <c r="F25" s="10"/>
      <c r="G25" s="10"/>
      <c r="H25" s="13" t="n">
        <v>1</v>
      </c>
      <c r="I25" s="15"/>
      <c r="J25" s="19" t="s">
        <v>339</v>
      </c>
    </row>
    <row r="26" customFormat="false" ht="15" hidden="false" customHeight="false" outlineLevel="0" collapsed="false">
      <c r="A26" s="15" t="s">
        <v>2556</v>
      </c>
      <c r="B26" s="19" t="s">
        <v>2557</v>
      </c>
      <c r="C26" s="15" t="s">
        <v>73</v>
      </c>
      <c r="D26" s="9" t="n">
        <v>732.6269748</v>
      </c>
      <c r="E26" s="11" t="n">
        <v>570.308175533333</v>
      </c>
      <c r="F26" s="10"/>
      <c r="G26" s="10"/>
      <c r="H26" s="13" t="n">
        <v>1</v>
      </c>
      <c r="I26" s="15"/>
      <c r="J26" s="19" t="s">
        <v>2558</v>
      </c>
    </row>
    <row r="27" customFormat="false" ht="15" hidden="false" customHeight="false" outlineLevel="0" collapsed="false">
      <c r="A27" s="15" t="s">
        <v>2559</v>
      </c>
      <c r="B27" s="15" t="s">
        <v>2560</v>
      </c>
      <c r="C27" s="15" t="s">
        <v>73</v>
      </c>
      <c r="D27" s="9" t="n">
        <v>1922.0726329</v>
      </c>
      <c r="E27" s="11" t="n">
        <v>447.000084818</v>
      </c>
      <c r="F27" s="10" t="n">
        <v>0.610046526011114</v>
      </c>
      <c r="G27" s="10" t="n">
        <v>0.710362546983957</v>
      </c>
      <c r="H27" s="13" t="n">
        <v>2.11740024020703</v>
      </c>
      <c r="I27" s="15"/>
      <c r="J27" s="15" t="s">
        <v>397</v>
      </c>
    </row>
    <row r="28" customFormat="false" ht="15" hidden="false" customHeight="false" outlineLevel="0" collapsed="false">
      <c r="A28" s="15" t="s">
        <v>2561</v>
      </c>
      <c r="B28" s="15" t="s">
        <v>2562</v>
      </c>
      <c r="C28" s="15" t="s">
        <v>73</v>
      </c>
      <c r="D28" s="9" t="n">
        <v>2203.5239124</v>
      </c>
      <c r="E28" s="11" t="n">
        <v>409.4701802525</v>
      </c>
      <c r="F28" s="10" t="n">
        <v>1.91751985276819</v>
      </c>
      <c r="G28" s="10" t="n">
        <v>0.0209320778174935</v>
      </c>
      <c r="H28" s="13" t="n">
        <v>1.28804059384945</v>
      </c>
      <c r="I28" s="15"/>
      <c r="J28" s="15" t="s">
        <v>514</v>
      </c>
    </row>
    <row r="29" customFormat="false" ht="15" hidden="false" customHeight="false" outlineLevel="0" collapsed="false">
      <c r="A29" s="15" t="s">
        <v>2563</v>
      </c>
      <c r="B29" s="19" t="s">
        <v>2564</v>
      </c>
      <c r="C29" s="15" t="s">
        <v>73</v>
      </c>
      <c r="D29" s="9" t="n">
        <v>1165.9834439</v>
      </c>
      <c r="E29" s="11" t="n">
        <v>363.900444715</v>
      </c>
      <c r="F29" s="10"/>
      <c r="G29" s="10" t="n">
        <v>0.660073086515181</v>
      </c>
      <c r="H29" s="13" t="n">
        <v>0.70702841339411</v>
      </c>
      <c r="I29" s="15"/>
      <c r="J29" s="19" t="s">
        <v>2565</v>
      </c>
    </row>
    <row r="30" customFormat="false" ht="15" hidden="false" customHeight="false" outlineLevel="0" collapsed="false">
      <c r="A30" s="15" t="s">
        <v>2566</v>
      </c>
      <c r="B30" s="19" t="s">
        <v>2567</v>
      </c>
      <c r="C30" s="15" t="s">
        <v>73</v>
      </c>
      <c r="D30" s="9" t="n">
        <v>1514</v>
      </c>
      <c r="E30" s="11" t="n">
        <v>330.0785134615</v>
      </c>
      <c r="F30" s="10" t="n">
        <v>4.30991151372429</v>
      </c>
      <c r="G30" s="10" t="n">
        <v>0.716540387369012</v>
      </c>
      <c r="H30" s="13" t="n">
        <v>1.68108635818793</v>
      </c>
      <c r="I30" s="15"/>
      <c r="J30" s="15" t="s">
        <v>397</v>
      </c>
    </row>
    <row r="31" customFormat="false" ht="15" hidden="false" customHeight="false" outlineLevel="0" collapsed="false">
      <c r="A31" s="15" t="s">
        <v>2568</v>
      </c>
      <c r="B31" s="19" t="s">
        <v>2569</v>
      </c>
      <c r="C31" s="15" t="s">
        <v>73</v>
      </c>
      <c r="D31" s="9" t="n">
        <v>754.2729909</v>
      </c>
      <c r="E31" s="11" t="n">
        <v>300.902438435</v>
      </c>
      <c r="F31" s="10"/>
      <c r="G31" s="10"/>
      <c r="H31" s="13" t="n">
        <v>1</v>
      </c>
      <c r="I31" s="15"/>
      <c r="J31" s="19" t="s">
        <v>367</v>
      </c>
    </row>
    <row r="32" customFormat="false" ht="15" hidden="false" customHeight="false" outlineLevel="0" collapsed="false">
      <c r="A32" s="15" t="s">
        <v>2570</v>
      </c>
      <c r="B32" s="19" t="s">
        <v>2571</v>
      </c>
      <c r="C32" s="15" t="s">
        <v>72</v>
      </c>
      <c r="D32" s="9" t="n">
        <v>2891.416</v>
      </c>
      <c r="E32" s="11" t="n">
        <v>294.3392002525</v>
      </c>
      <c r="F32" s="10" t="n">
        <v>0.304469704145011</v>
      </c>
      <c r="G32" s="10" t="n">
        <v>0.511699465936542</v>
      </c>
      <c r="H32" s="13" t="n">
        <v>4.67421087376202</v>
      </c>
      <c r="I32" s="15"/>
      <c r="J32" s="19" t="s">
        <v>2572</v>
      </c>
    </row>
    <row r="33" customFormat="false" ht="15" hidden="false" customHeight="false" outlineLevel="0" collapsed="false">
      <c r="A33" s="15" t="s">
        <v>2573</v>
      </c>
      <c r="B33" s="19" t="s">
        <v>2574</v>
      </c>
      <c r="C33" s="15" t="s">
        <v>73</v>
      </c>
      <c r="D33" s="9" t="n">
        <v>1472.61942</v>
      </c>
      <c r="E33" s="11" t="n">
        <v>285.88737237</v>
      </c>
      <c r="F33" s="10"/>
      <c r="G33" s="10" t="n">
        <v>0.0236642549165269</v>
      </c>
      <c r="H33" s="13" t="n">
        <v>0.424233152037244</v>
      </c>
      <c r="I33" s="15"/>
      <c r="J33" s="19" t="s">
        <v>367</v>
      </c>
    </row>
    <row r="34" customFormat="false" ht="15" hidden="false" customHeight="false" outlineLevel="0" collapsed="false">
      <c r="A34" s="15" t="s">
        <v>2575</v>
      </c>
      <c r="B34" s="19" t="s">
        <v>2576</v>
      </c>
      <c r="C34" s="15" t="s">
        <v>73</v>
      </c>
      <c r="D34" s="9" t="n">
        <v>1301.43294</v>
      </c>
      <c r="E34" s="11" t="n">
        <v>285.57792045</v>
      </c>
      <c r="F34" s="10"/>
      <c r="G34" s="10" t="n">
        <v>0.274883729023556</v>
      </c>
      <c r="H34" s="13" t="n">
        <v>0.673831776744803</v>
      </c>
      <c r="I34" s="15"/>
      <c r="J34" s="19" t="s">
        <v>367</v>
      </c>
    </row>
    <row r="35" customFormat="false" ht="15" hidden="false" customHeight="false" outlineLevel="0" collapsed="false">
      <c r="A35" s="15" t="s">
        <v>2577</v>
      </c>
      <c r="B35" s="19" t="s">
        <v>2578</v>
      </c>
      <c r="C35" s="15" t="s">
        <v>72</v>
      </c>
      <c r="D35" s="9" t="n">
        <v>2457.6</v>
      </c>
      <c r="E35" s="11" t="n">
        <v>277.4936735</v>
      </c>
      <c r="F35" s="10" t="n">
        <v>-0.0992070002531466</v>
      </c>
      <c r="G35" s="10" t="n">
        <v>0.312635993576261</v>
      </c>
      <c r="H35" s="13" t="n">
        <v>1.29170116234884</v>
      </c>
      <c r="I35" s="15"/>
      <c r="J35" s="15" t="s">
        <v>514</v>
      </c>
    </row>
    <row r="36" customFormat="false" ht="15" hidden="false" customHeight="false" outlineLevel="0" collapsed="false">
      <c r="A36" s="15" t="s">
        <v>2579</v>
      </c>
      <c r="B36" s="19" t="s">
        <v>2580</v>
      </c>
      <c r="C36" s="15" t="s">
        <v>73</v>
      </c>
      <c r="D36" s="9" t="n">
        <v>1803.5897268</v>
      </c>
      <c r="E36" s="11" t="n">
        <v>264.7349908525</v>
      </c>
      <c r="F36" s="10" t="n">
        <v>0.207968917274481</v>
      </c>
      <c r="G36" s="10" t="n">
        <v>0.226575883560028</v>
      </c>
      <c r="H36" s="13" t="n">
        <v>1.43678627392818</v>
      </c>
      <c r="I36" s="15"/>
      <c r="J36" s="15" t="s">
        <v>514</v>
      </c>
    </row>
    <row r="37" customFormat="false" ht="15" hidden="false" customHeight="false" outlineLevel="0" collapsed="false">
      <c r="A37" s="15" t="s">
        <v>2581</v>
      </c>
      <c r="B37" s="19" t="s">
        <v>2582</v>
      </c>
      <c r="C37" s="15" t="s">
        <v>73</v>
      </c>
      <c r="D37" s="9" t="n">
        <v>1732.9768976</v>
      </c>
      <c r="E37" s="11" t="n">
        <v>236.4106813325</v>
      </c>
      <c r="F37" s="10" t="n">
        <v>0.349888038053365</v>
      </c>
      <c r="G37" s="10" t="n">
        <v>0.478059073784523</v>
      </c>
      <c r="H37" s="13" t="n">
        <v>1.54006803786969</v>
      </c>
      <c r="I37" s="15"/>
      <c r="J37" s="15" t="s">
        <v>514</v>
      </c>
    </row>
    <row r="38" customFormat="false" ht="15" hidden="false" customHeight="false" outlineLevel="0" collapsed="false">
      <c r="A38" s="15" t="s">
        <v>2583</v>
      </c>
      <c r="B38" s="19" t="s">
        <v>2584</v>
      </c>
      <c r="C38" s="15" t="s">
        <v>73</v>
      </c>
      <c r="D38" s="9" t="n">
        <v>605.500155</v>
      </c>
      <c r="E38" s="11" t="n">
        <v>229.2025278375</v>
      </c>
      <c r="F38" s="10"/>
      <c r="G38" s="10" t="n">
        <v>-0.262269258548272</v>
      </c>
      <c r="H38" s="13" t="n">
        <v>0.342288717416303</v>
      </c>
      <c r="I38" s="15"/>
      <c r="J38" s="19" t="s">
        <v>2558</v>
      </c>
    </row>
    <row r="39" customFormat="false" ht="15" hidden="false" customHeight="false" outlineLevel="0" collapsed="false">
      <c r="A39" s="15" t="s">
        <v>2585</v>
      </c>
      <c r="B39" s="19" t="s">
        <v>2586</v>
      </c>
      <c r="C39" s="15" t="s">
        <v>73</v>
      </c>
      <c r="D39" s="9" t="n">
        <v>615.866188</v>
      </c>
      <c r="E39" s="11" t="n">
        <v>220.324501695625</v>
      </c>
      <c r="F39" s="10"/>
      <c r="G39" s="10"/>
      <c r="H39" s="13" t="n">
        <v>1</v>
      </c>
      <c r="I39" s="15"/>
      <c r="J39" s="19" t="s">
        <v>339</v>
      </c>
    </row>
    <row r="40" customFormat="false" ht="15" hidden="false" customHeight="false" outlineLevel="0" collapsed="false">
      <c r="A40" s="15" t="s">
        <v>2587</v>
      </c>
      <c r="B40" s="19" t="s">
        <v>2588</v>
      </c>
      <c r="C40" s="15" t="s">
        <v>73</v>
      </c>
      <c r="D40" s="9" t="n">
        <v>648.1735577</v>
      </c>
      <c r="E40" s="11" t="n">
        <v>208.527652959</v>
      </c>
      <c r="F40" s="10" t="n">
        <v>-0.315120864342614</v>
      </c>
      <c r="G40" s="10" t="n">
        <v>0.409388228951381</v>
      </c>
      <c r="H40" s="13" t="n">
        <v>3.26477766426509</v>
      </c>
      <c r="I40" s="15"/>
      <c r="J40" s="19" t="s">
        <v>413</v>
      </c>
    </row>
    <row r="41" customFormat="false" ht="15" hidden="false" customHeight="false" outlineLevel="0" collapsed="false">
      <c r="A41" s="15" t="s">
        <v>2589</v>
      </c>
      <c r="B41" s="19" t="s">
        <v>2590</v>
      </c>
      <c r="C41" s="15" t="s">
        <v>73</v>
      </c>
      <c r="D41" s="9" t="n">
        <v>1593</v>
      </c>
      <c r="E41" s="11" t="n">
        <v>183.0082400875</v>
      </c>
      <c r="F41" s="10" t="n">
        <v>-0.104259941087265</v>
      </c>
      <c r="G41" s="10" t="n">
        <v>0.0381583010879343</v>
      </c>
      <c r="H41" s="13" t="n">
        <v>0.293168396221726</v>
      </c>
      <c r="I41" s="15"/>
      <c r="J41" s="15" t="s">
        <v>241</v>
      </c>
    </row>
    <row r="42" customFormat="false" ht="15" hidden="false" customHeight="false" outlineLevel="0" collapsed="false">
      <c r="A42" s="15" t="s">
        <v>2591</v>
      </c>
      <c r="B42" s="19" t="s">
        <v>2592</v>
      </c>
      <c r="C42" s="15" t="s">
        <v>73</v>
      </c>
      <c r="D42" s="9" t="n">
        <v>3108.47096</v>
      </c>
      <c r="E42" s="11" t="n">
        <v>171.27571144</v>
      </c>
      <c r="F42" s="10" t="n">
        <v>0.443755746387817</v>
      </c>
      <c r="G42" s="10" t="n">
        <v>0.184593553266433</v>
      </c>
      <c r="H42" s="13" t="n">
        <v>0.879148898468307</v>
      </c>
      <c r="I42" s="15"/>
      <c r="J42" s="15" t="s">
        <v>514</v>
      </c>
    </row>
    <row r="43" customFormat="false" ht="15" hidden="false" customHeight="false" outlineLevel="0" collapsed="false">
      <c r="A43" s="15" t="s">
        <v>2593</v>
      </c>
      <c r="B43" s="19" t="s">
        <v>2594</v>
      </c>
      <c r="C43" s="15" t="s">
        <v>73</v>
      </c>
      <c r="D43" s="9" t="n">
        <v>605.8417634</v>
      </c>
      <c r="E43" s="11" t="n">
        <v>167.68852348</v>
      </c>
      <c r="F43" s="10" t="n">
        <v>-0.00778977970796879</v>
      </c>
      <c r="G43" s="10" t="n">
        <v>0.101305991845695</v>
      </c>
      <c r="H43" s="13" t="n">
        <v>1.37650648168793</v>
      </c>
      <c r="I43" s="15"/>
      <c r="J43" s="15" t="s">
        <v>241</v>
      </c>
    </row>
    <row r="44" customFormat="false" ht="15" hidden="false" customHeight="false" outlineLevel="0" collapsed="false">
      <c r="A44" s="15" t="s">
        <v>2367</v>
      </c>
      <c r="B44" s="19" t="s">
        <v>2366</v>
      </c>
      <c r="C44" s="15" t="s">
        <v>72</v>
      </c>
      <c r="D44" s="9" t="n">
        <v>635.892866</v>
      </c>
      <c r="E44" s="11" t="n">
        <v>165.1926979525</v>
      </c>
      <c r="F44" s="10"/>
      <c r="G44" s="10"/>
      <c r="H44" s="13" t="n">
        <v>1</v>
      </c>
      <c r="I44" s="15"/>
      <c r="J44" s="19" t="s">
        <v>2595</v>
      </c>
    </row>
    <row r="45" customFormat="false" ht="15" hidden="false" customHeight="false" outlineLevel="0" collapsed="false">
      <c r="A45" s="15" t="s">
        <v>2596</v>
      </c>
      <c r="B45" s="19" t="s">
        <v>2597</v>
      </c>
      <c r="C45" s="15" t="s">
        <v>73</v>
      </c>
      <c r="D45" s="9" t="n">
        <v>1525.0568606</v>
      </c>
      <c r="E45" s="11" t="n">
        <v>153.0509833905</v>
      </c>
      <c r="F45" s="10" t="n">
        <v>0.421278191689531</v>
      </c>
      <c r="G45" s="10" t="n">
        <v>0.478880942507422</v>
      </c>
      <c r="H45" s="13" t="n">
        <v>2.33976102941898</v>
      </c>
      <c r="I45" s="15"/>
      <c r="J45" s="15"/>
    </row>
    <row r="46" customFormat="false" ht="15" hidden="false" customHeight="false" outlineLevel="0" collapsed="false">
      <c r="A46" s="15" t="s">
        <v>2598</v>
      </c>
      <c r="B46" s="19" t="s">
        <v>2599</v>
      </c>
      <c r="C46" s="15" t="s">
        <v>72</v>
      </c>
      <c r="D46" s="9" t="n">
        <v>1242.0353819</v>
      </c>
      <c r="E46" s="11" t="n">
        <v>148.111353656</v>
      </c>
      <c r="F46" s="10" t="n">
        <v>0.840084452138214</v>
      </c>
      <c r="G46" s="10" t="n">
        <v>1.12365044409006</v>
      </c>
      <c r="H46" s="13" t="n">
        <v>2.68173326139041</v>
      </c>
      <c r="I46" s="15"/>
      <c r="J46" s="19" t="s">
        <v>335</v>
      </c>
    </row>
    <row r="47" customFormat="false" ht="15" hidden="false" customHeight="false" outlineLevel="0" collapsed="false">
      <c r="A47" s="15" t="s">
        <v>2600</v>
      </c>
      <c r="B47" s="19" t="s">
        <v>2601</v>
      </c>
      <c r="C47" s="15" t="s">
        <v>73</v>
      </c>
      <c r="D47" s="9" t="n">
        <v>736.9504</v>
      </c>
      <c r="E47" s="11" t="n">
        <v>146.702898655</v>
      </c>
      <c r="F47" s="10" t="n">
        <v>-0.516741738404519</v>
      </c>
      <c r="G47" s="10" t="n">
        <v>-0.206388288894682</v>
      </c>
      <c r="H47" s="13" t="n">
        <v>2.91151519328987</v>
      </c>
      <c r="I47" s="15"/>
      <c r="J47" s="19" t="s">
        <v>413</v>
      </c>
    </row>
    <row r="48" customFormat="false" ht="15" hidden="false" customHeight="false" outlineLevel="0" collapsed="false">
      <c r="A48" s="15" t="s">
        <v>2602</v>
      </c>
      <c r="B48" s="19" t="s">
        <v>2603</v>
      </c>
      <c r="C48" s="15" t="s">
        <v>73</v>
      </c>
      <c r="D48" s="9" t="n">
        <v>3423.5463357</v>
      </c>
      <c r="E48" s="11" t="n">
        <v>143.6537417575</v>
      </c>
      <c r="F48" s="10" t="n">
        <v>1.57556404290664</v>
      </c>
      <c r="G48" s="10" t="n">
        <v>0.47772009843338</v>
      </c>
      <c r="H48" s="13" t="n">
        <v>0.837624458757277</v>
      </c>
      <c r="I48" s="15"/>
      <c r="J48" s="19" t="s">
        <v>172</v>
      </c>
    </row>
    <row r="49" customFormat="false" ht="15" hidden="false" customHeight="false" outlineLevel="0" collapsed="false">
      <c r="A49" s="15" t="s">
        <v>2604</v>
      </c>
      <c r="B49" s="19" t="s">
        <v>2605</v>
      </c>
      <c r="C49" s="15" t="s">
        <v>72</v>
      </c>
      <c r="D49" s="9" t="n">
        <v>986.5345196</v>
      </c>
      <c r="E49" s="11" t="n">
        <v>140.2252728325</v>
      </c>
      <c r="F49" s="10" t="n">
        <v>-0.144150399811436</v>
      </c>
      <c r="G49" s="10" t="n">
        <v>0.0669666917960869</v>
      </c>
      <c r="H49" s="13" t="n">
        <v>1.12723994852289</v>
      </c>
      <c r="I49" s="15"/>
      <c r="J49" s="15" t="s">
        <v>514</v>
      </c>
    </row>
    <row r="50" customFormat="false" ht="15" hidden="false" customHeight="false" outlineLevel="0" collapsed="false">
      <c r="A50" s="15" t="s">
        <v>2606</v>
      </c>
      <c r="B50" s="19" t="s">
        <v>2607</v>
      </c>
      <c r="C50" s="15" t="s">
        <v>73</v>
      </c>
      <c r="D50" s="9" t="n">
        <v>1560.9749298</v>
      </c>
      <c r="E50" s="11" t="n">
        <v>139.77085141</v>
      </c>
      <c r="F50" s="10" t="n">
        <v>-0.18883281621751</v>
      </c>
      <c r="G50" s="10" t="n">
        <v>0.4252524025885</v>
      </c>
      <c r="H50" s="13" t="n">
        <v>3.92970824821677</v>
      </c>
      <c r="I50" s="15"/>
      <c r="J50" s="19" t="s">
        <v>282</v>
      </c>
    </row>
    <row r="51" customFormat="false" ht="15" hidden="false" customHeight="false" outlineLevel="0" collapsed="false">
      <c r="A51" s="15" t="s">
        <v>2608</v>
      </c>
      <c r="B51" s="19" t="s">
        <v>2609</v>
      </c>
      <c r="C51" s="15" t="s">
        <v>72</v>
      </c>
      <c r="D51" s="9" t="n">
        <v>750.30884955</v>
      </c>
      <c r="E51" s="11" t="n">
        <v>132.4801769865</v>
      </c>
      <c r="F51" s="10" t="n">
        <v>0.107463998079465</v>
      </c>
      <c r="G51" s="10" t="n">
        <v>0.150691286723767</v>
      </c>
      <c r="H51" s="13" t="n">
        <v>0.871703754896814</v>
      </c>
      <c r="I51" s="15"/>
      <c r="J51" s="15" t="s">
        <v>514</v>
      </c>
    </row>
    <row r="52" customFormat="false" ht="15" hidden="false" customHeight="false" outlineLevel="0" collapsed="false">
      <c r="A52" s="15" t="s">
        <v>2610</v>
      </c>
      <c r="B52" s="19" t="s">
        <v>2611</v>
      </c>
      <c r="C52" s="15" t="s">
        <v>73</v>
      </c>
      <c r="D52" s="9" t="n">
        <v>874.63</v>
      </c>
      <c r="E52" s="11" t="n">
        <v>130.125031462</v>
      </c>
      <c r="F52" s="10" t="n">
        <v>0.841627229356391</v>
      </c>
      <c r="G52" s="10" t="n">
        <v>0.655369912728164</v>
      </c>
      <c r="H52" s="13" t="n">
        <v>1.99288693213234</v>
      </c>
      <c r="I52" s="15"/>
      <c r="J52" s="15" t="s">
        <v>397</v>
      </c>
    </row>
    <row r="53" customFormat="false" ht="15" hidden="false" customHeight="false" outlineLevel="0" collapsed="false">
      <c r="A53" s="15" t="s">
        <v>2612</v>
      </c>
      <c r="B53" s="19" t="s">
        <v>2613</v>
      </c>
      <c r="C53" s="15" t="s">
        <v>73</v>
      </c>
      <c r="D53" s="9" t="n">
        <v>1608.6438972</v>
      </c>
      <c r="E53" s="11" t="n">
        <v>129.89531478</v>
      </c>
      <c r="F53" s="10" t="n">
        <v>-0.22462944366605</v>
      </c>
      <c r="G53" s="10" t="n">
        <v>-0.186781417420769</v>
      </c>
      <c r="H53" s="13" t="n">
        <v>1.0265463531729</v>
      </c>
      <c r="I53" s="15"/>
      <c r="J53" s="15" t="s">
        <v>514</v>
      </c>
    </row>
    <row r="54" customFormat="false" ht="15" hidden="false" customHeight="false" outlineLevel="0" collapsed="false">
      <c r="A54" s="15" t="s">
        <v>2614</v>
      </c>
      <c r="B54" s="19" t="s">
        <v>2615</v>
      </c>
      <c r="C54" s="15" t="s">
        <v>73</v>
      </c>
      <c r="D54" s="9" t="n">
        <v>2414.60699895</v>
      </c>
      <c r="E54" s="11" t="n">
        <v>128.096129575</v>
      </c>
      <c r="F54" s="10" t="n">
        <v>-0.109973381271519</v>
      </c>
      <c r="G54" s="10" t="n">
        <v>0.682307329882961</v>
      </c>
      <c r="H54" s="13" t="n">
        <v>4.16441814153482</v>
      </c>
      <c r="I54" s="15"/>
      <c r="J54" s="19" t="s">
        <v>360</v>
      </c>
    </row>
    <row r="55" customFormat="false" ht="15" hidden="false" customHeight="false" outlineLevel="0" collapsed="false">
      <c r="A55" s="15" t="s">
        <v>2616</v>
      </c>
      <c r="B55" s="19" t="s">
        <v>2617</v>
      </c>
      <c r="C55" s="15" t="s">
        <v>73</v>
      </c>
      <c r="D55" s="9" t="n">
        <v>741.256002</v>
      </c>
      <c r="E55" s="11" t="n">
        <v>118.8603308925</v>
      </c>
      <c r="F55" s="10" t="n">
        <v>-0.156945736141876</v>
      </c>
      <c r="G55" s="10" t="n">
        <v>0.138490330849824</v>
      </c>
      <c r="H55" s="13" t="n">
        <v>3.93731527280194</v>
      </c>
      <c r="I55" s="15"/>
      <c r="J55" s="19" t="s">
        <v>317</v>
      </c>
    </row>
    <row r="56" customFormat="false" ht="15" hidden="false" customHeight="false" outlineLevel="0" collapsed="false">
      <c r="A56" s="15" t="s">
        <v>2618</v>
      </c>
      <c r="B56" s="19" t="s">
        <v>2619</v>
      </c>
      <c r="C56" s="15" t="s">
        <v>73</v>
      </c>
      <c r="D56" s="9" t="n">
        <v>2661.53912</v>
      </c>
      <c r="E56" s="11" t="n">
        <v>115.4993209625</v>
      </c>
      <c r="F56" s="10" t="n">
        <v>1.02024683688219</v>
      </c>
      <c r="G56" s="10" t="n">
        <v>0.287369503136498</v>
      </c>
      <c r="H56" s="13" t="n">
        <v>1.57316607132804</v>
      </c>
      <c r="I56" s="15"/>
      <c r="J56" s="15"/>
    </row>
    <row r="57" customFormat="false" ht="15" hidden="false" customHeight="false" outlineLevel="0" collapsed="false">
      <c r="A57" s="15" t="s">
        <v>2620</v>
      </c>
      <c r="B57" s="19" t="s">
        <v>2621</v>
      </c>
      <c r="C57" s="15" t="s">
        <v>73</v>
      </c>
      <c r="D57" s="9" t="n">
        <v>1496.65675</v>
      </c>
      <c r="E57" s="11" t="n">
        <v>109.0618749345</v>
      </c>
      <c r="F57" s="10" t="n">
        <v>1.37400483590264</v>
      </c>
      <c r="G57" s="10" t="n">
        <v>0.309504023958849</v>
      </c>
      <c r="H57" s="13" t="n">
        <v>1.1618598552156</v>
      </c>
      <c r="I57" s="15"/>
      <c r="J57" s="15" t="s">
        <v>514</v>
      </c>
    </row>
    <row r="58" customFormat="false" ht="15" hidden="false" customHeight="false" outlineLevel="0" collapsed="false">
      <c r="A58" s="15" t="s">
        <v>2622</v>
      </c>
      <c r="B58" s="19" t="s">
        <v>2623</v>
      </c>
      <c r="C58" s="15" t="s">
        <v>73</v>
      </c>
      <c r="D58" s="9" t="n">
        <v>1602.055087</v>
      </c>
      <c r="E58" s="11" t="n">
        <v>108.9815111955</v>
      </c>
      <c r="F58" s="10" t="n">
        <v>2.54499499480484</v>
      </c>
      <c r="G58" s="10" t="n">
        <v>0.026911748961318</v>
      </c>
      <c r="H58" s="13" t="n">
        <v>0.827044436929266</v>
      </c>
      <c r="I58" s="15"/>
      <c r="J58" s="15" t="s">
        <v>514</v>
      </c>
    </row>
    <row r="59" customFormat="false" ht="15" hidden="false" customHeight="false" outlineLevel="0" collapsed="false">
      <c r="A59" s="15" t="s">
        <v>2624</v>
      </c>
      <c r="B59" s="19" t="s">
        <v>2625</v>
      </c>
      <c r="C59" s="15" t="s">
        <v>73</v>
      </c>
      <c r="D59" s="9" t="n">
        <v>2525.062632</v>
      </c>
      <c r="E59" s="11" t="n">
        <v>107.5604687125</v>
      </c>
      <c r="F59" s="10" t="n">
        <v>0.559502897704068</v>
      </c>
      <c r="G59" s="10" t="n">
        <v>-0.188743159413751</v>
      </c>
      <c r="H59" s="13" t="n">
        <v>0.407396655697042</v>
      </c>
      <c r="I59" s="15"/>
      <c r="J59" s="15" t="s">
        <v>115</v>
      </c>
    </row>
    <row r="60" customFormat="false" ht="15" hidden="false" customHeight="false" outlineLevel="0" collapsed="false">
      <c r="A60" s="15" t="s">
        <v>2626</v>
      </c>
      <c r="B60" s="19" t="s">
        <v>2627</v>
      </c>
      <c r="C60" s="15" t="s">
        <v>73</v>
      </c>
      <c r="D60" s="9" t="n">
        <v>1466.57335125</v>
      </c>
      <c r="E60" s="11" t="n">
        <v>106.289278264</v>
      </c>
      <c r="F60" s="10" t="n">
        <v>-0.114423192911627</v>
      </c>
      <c r="G60" s="10" t="n">
        <v>-0.071595536535366</v>
      </c>
      <c r="H60" s="13" t="n">
        <v>0.884513870145279</v>
      </c>
      <c r="I60" s="15"/>
      <c r="J60" s="15" t="s">
        <v>514</v>
      </c>
    </row>
    <row r="61" customFormat="false" ht="15" hidden="false" customHeight="false" outlineLevel="0" collapsed="false">
      <c r="A61" s="15" t="s">
        <v>2628</v>
      </c>
      <c r="B61" s="19" t="s">
        <v>2629</v>
      </c>
      <c r="C61" s="15" t="s">
        <v>73</v>
      </c>
      <c r="D61" s="9" t="n">
        <v>1265.2255606</v>
      </c>
      <c r="E61" s="11" t="n">
        <v>100.4722652375</v>
      </c>
      <c r="F61" s="10" t="n">
        <v>0.501695742307601</v>
      </c>
      <c r="G61" s="10" t="n">
        <v>-0.0102186642815682</v>
      </c>
      <c r="H61" s="13" t="n">
        <v>0.894875274223507</v>
      </c>
      <c r="I61" s="15"/>
      <c r="J61" s="19" t="s">
        <v>172</v>
      </c>
    </row>
    <row r="62" customFormat="false" ht="15" hidden="false" customHeight="false" outlineLevel="0" collapsed="false">
      <c r="A62" s="15" t="s">
        <v>2630</v>
      </c>
      <c r="B62" s="19" t="s">
        <v>2631</v>
      </c>
      <c r="C62" s="15" t="s">
        <v>73</v>
      </c>
      <c r="D62" s="9" t="n">
        <v>2600.4676113</v>
      </c>
      <c r="E62" s="11" t="n">
        <v>100.1130898045</v>
      </c>
      <c r="F62" s="10" t="n">
        <v>-0.101054813408056</v>
      </c>
      <c r="G62" s="10" t="n">
        <v>0.397572668746564</v>
      </c>
      <c r="H62" s="13" t="n">
        <v>2.14430559930491</v>
      </c>
      <c r="I62" s="15"/>
      <c r="J62" s="15"/>
    </row>
    <row r="63" customFormat="false" ht="15" hidden="false" customHeight="false" outlineLevel="0" collapsed="false">
      <c r="A63" s="15" t="s">
        <v>2632</v>
      </c>
      <c r="B63" s="19" t="s">
        <v>2633</v>
      </c>
      <c r="C63" s="15" t="s">
        <v>73</v>
      </c>
      <c r="D63" s="9" t="n">
        <v>975.757536</v>
      </c>
      <c r="E63" s="11" t="n">
        <v>96.7255322</v>
      </c>
      <c r="F63" s="10" t="n">
        <v>1.15412244535328</v>
      </c>
      <c r="G63" s="10" t="n">
        <v>-0.0538203029944209</v>
      </c>
      <c r="H63" s="13" t="n">
        <v>1.54252620246778</v>
      </c>
      <c r="I63" s="15"/>
      <c r="J63" s="19" t="s">
        <v>172</v>
      </c>
    </row>
    <row r="64" customFormat="false" ht="15" hidden="false" customHeight="false" outlineLevel="0" collapsed="false">
      <c r="A64" s="15" t="s">
        <v>2634</v>
      </c>
      <c r="B64" s="19" t="s">
        <v>2635</v>
      </c>
      <c r="C64" s="15" t="s">
        <v>72</v>
      </c>
      <c r="D64" s="9" t="n">
        <v>2378.2163625</v>
      </c>
      <c r="E64" s="11" t="n">
        <v>92.5953625025</v>
      </c>
      <c r="F64" s="10" t="n">
        <v>-0.148314671547786</v>
      </c>
      <c r="G64" s="10" t="n">
        <v>0.214977261416372</v>
      </c>
      <c r="H64" s="13" t="n">
        <v>2.7012925786706</v>
      </c>
      <c r="I64" s="15"/>
      <c r="J64" s="19" t="s">
        <v>317</v>
      </c>
    </row>
    <row r="65" customFormat="false" ht="15" hidden="false" customHeight="false" outlineLevel="0" collapsed="false">
      <c r="A65" s="15" t="s">
        <v>2636</v>
      </c>
      <c r="B65" s="19" t="s">
        <v>2637</v>
      </c>
      <c r="C65" s="15" t="s">
        <v>73</v>
      </c>
      <c r="D65" s="9" t="n">
        <v>2165.4870576</v>
      </c>
      <c r="E65" s="11" t="n">
        <v>89.921195965</v>
      </c>
      <c r="F65" s="10" t="n">
        <v>-0.395873502267673</v>
      </c>
      <c r="G65" s="10" t="n">
        <v>0.0759113435967558</v>
      </c>
      <c r="H65" s="13" t="n">
        <v>2.71500383048948</v>
      </c>
      <c r="I65" s="15"/>
      <c r="J65" s="19" t="s">
        <v>2638</v>
      </c>
    </row>
    <row r="66" customFormat="false" ht="15" hidden="false" customHeight="false" outlineLevel="0" collapsed="false">
      <c r="A66" s="15" t="s">
        <v>2639</v>
      </c>
      <c r="B66" s="19" t="s">
        <v>2640</v>
      </c>
      <c r="C66" s="15" t="s">
        <v>73</v>
      </c>
      <c r="D66" s="9" t="n">
        <v>3395.764911</v>
      </c>
      <c r="E66" s="11" t="n">
        <v>88.060999275</v>
      </c>
      <c r="F66" s="10" t="n">
        <v>1.41820314266842</v>
      </c>
      <c r="G66" s="10" t="n">
        <v>0.660903408411784</v>
      </c>
      <c r="H66" s="13" t="n">
        <v>1.72740860516186</v>
      </c>
      <c r="I66" s="15"/>
      <c r="J66" s="15" t="s">
        <v>397</v>
      </c>
    </row>
    <row r="67" customFormat="false" ht="15" hidden="false" customHeight="false" outlineLevel="0" collapsed="false">
      <c r="A67" s="15" t="s">
        <v>2641</v>
      </c>
      <c r="B67" s="19" t="s">
        <v>2642</v>
      </c>
      <c r="C67" s="15" t="s">
        <v>73</v>
      </c>
      <c r="D67" s="9" t="n">
        <v>2588.495754</v>
      </c>
      <c r="E67" s="11" t="n">
        <v>86.87792372</v>
      </c>
      <c r="F67" s="10" t="n">
        <v>0.153938796484469</v>
      </c>
      <c r="G67" s="10" t="n">
        <v>-0.0458536168333262</v>
      </c>
      <c r="H67" s="13" t="n">
        <v>1.73353760396253</v>
      </c>
      <c r="I67" s="15"/>
      <c r="J67" s="15"/>
    </row>
    <row r="68" customFormat="false" ht="15" hidden="false" customHeight="false" outlineLevel="0" collapsed="false">
      <c r="A68" s="15" t="s">
        <v>2643</v>
      </c>
      <c r="B68" s="15" t="s">
        <v>2644</v>
      </c>
      <c r="C68" s="15" t="s">
        <v>72</v>
      </c>
      <c r="D68" s="9" t="n">
        <v>275.742116</v>
      </c>
      <c r="E68" s="11" t="n">
        <v>85.4122081495</v>
      </c>
      <c r="F68" s="10" t="n">
        <v>-0.325291851034737</v>
      </c>
      <c r="G68" s="10" t="n">
        <v>0.404290941039586</v>
      </c>
      <c r="H68" s="13" t="n">
        <v>1.42784484749814</v>
      </c>
      <c r="I68" s="15"/>
      <c r="J68" s="15" t="s">
        <v>115</v>
      </c>
    </row>
    <row r="69" customFormat="false" ht="15" hidden="false" customHeight="false" outlineLevel="0" collapsed="false">
      <c r="A69" s="15" t="s">
        <v>2645</v>
      </c>
      <c r="B69" s="19" t="s">
        <v>2646</v>
      </c>
      <c r="C69" s="15" t="s">
        <v>73</v>
      </c>
      <c r="D69" s="9" t="n">
        <v>1990.077852</v>
      </c>
      <c r="E69" s="11" t="n">
        <v>84.7731917325</v>
      </c>
      <c r="F69" s="10" t="n">
        <v>-0.186603493901176</v>
      </c>
      <c r="G69" s="10" t="n">
        <v>-0.277722362772769</v>
      </c>
      <c r="H69" s="13" t="n">
        <v>2.218836055317</v>
      </c>
      <c r="I69" s="15"/>
      <c r="J69" s="15" t="s">
        <v>514</v>
      </c>
    </row>
    <row r="70" customFormat="false" ht="15" hidden="false" customHeight="false" outlineLevel="0" collapsed="false">
      <c r="A70" s="15" t="s">
        <v>2647</v>
      </c>
      <c r="B70" s="19" t="s">
        <v>2648</v>
      </c>
      <c r="C70" s="15" t="s">
        <v>73</v>
      </c>
      <c r="D70" s="9" t="n">
        <v>1276.5232212</v>
      </c>
      <c r="E70" s="11" t="n">
        <v>84.746129553</v>
      </c>
      <c r="F70" s="10" t="n">
        <v>0.924533797903121</v>
      </c>
      <c r="G70" s="10" t="n">
        <v>0.904684965941303</v>
      </c>
      <c r="H70" s="13" t="n">
        <v>1.46585574879143</v>
      </c>
      <c r="I70" s="15"/>
      <c r="J70" s="15" t="s">
        <v>397</v>
      </c>
    </row>
    <row r="71" customFormat="false" ht="15" hidden="false" customHeight="false" outlineLevel="0" collapsed="false">
      <c r="A71" s="15" t="s">
        <v>2649</v>
      </c>
      <c r="B71" s="19" t="s">
        <v>2650</v>
      </c>
      <c r="C71" s="15" t="s">
        <v>73</v>
      </c>
      <c r="D71" s="9" t="n">
        <v>1196.208</v>
      </c>
      <c r="E71" s="11" t="n">
        <v>83.7971185475</v>
      </c>
      <c r="F71" s="10" t="n">
        <v>0.609722461113557</v>
      </c>
      <c r="G71" s="10" t="n">
        <v>0.345203394275036</v>
      </c>
      <c r="H71" s="13" t="n">
        <v>1.46653860704079</v>
      </c>
      <c r="I71" s="15"/>
      <c r="J71" s="15"/>
    </row>
    <row r="72" customFormat="false" ht="15" hidden="false" customHeight="false" outlineLevel="0" collapsed="false">
      <c r="A72" s="15" t="s">
        <v>2651</v>
      </c>
      <c r="B72" s="19" t="s">
        <v>2652</v>
      </c>
      <c r="C72" s="15" t="s">
        <v>73</v>
      </c>
      <c r="D72" s="9" t="n">
        <v>3954.391491</v>
      </c>
      <c r="E72" s="11" t="n">
        <v>80.3733782025</v>
      </c>
      <c r="F72" s="10" t="n">
        <v>1.00382400017175</v>
      </c>
      <c r="G72" s="10" t="n">
        <v>0.881591594514828</v>
      </c>
      <c r="H72" s="13" t="n">
        <v>0.940166920100985</v>
      </c>
      <c r="I72" s="15"/>
      <c r="J72" s="15" t="s">
        <v>397</v>
      </c>
    </row>
    <row r="73" customFormat="false" ht="15" hidden="false" customHeight="false" outlineLevel="0" collapsed="false">
      <c r="A73" s="15" t="s">
        <v>2653</v>
      </c>
      <c r="B73" s="19" t="s">
        <v>2654</v>
      </c>
      <c r="C73" s="15" t="s">
        <v>72</v>
      </c>
      <c r="D73" s="9" t="n">
        <v>2377.78835</v>
      </c>
      <c r="E73" s="11" t="n">
        <v>80.2642780025</v>
      </c>
      <c r="F73" s="10" t="n">
        <v>0.207487864880885</v>
      </c>
      <c r="G73" s="10" t="n">
        <v>0.183610357738243</v>
      </c>
      <c r="H73" s="13" t="n">
        <v>0.673488263493523</v>
      </c>
      <c r="I73" s="15"/>
      <c r="J73" s="15" t="s">
        <v>514</v>
      </c>
    </row>
    <row r="74" customFormat="false" ht="15" hidden="false" customHeight="false" outlineLevel="0" collapsed="false">
      <c r="A74" s="15" t="s">
        <v>2655</v>
      </c>
      <c r="B74" s="19" t="s">
        <v>2656</v>
      </c>
      <c r="C74" s="15" t="s">
        <v>73</v>
      </c>
      <c r="D74" s="9" t="n">
        <v>765.0805848</v>
      </c>
      <c r="E74" s="11" t="n">
        <v>79.7660156375</v>
      </c>
      <c r="F74" s="10" t="n">
        <v>-0.405167048808548</v>
      </c>
      <c r="G74" s="10" t="n">
        <v>-0.0516113639560067</v>
      </c>
      <c r="H74" s="13" t="n">
        <v>0.531844454946593</v>
      </c>
      <c r="I74" s="15"/>
      <c r="J74" s="19" t="s">
        <v>351</v>
      </c>
    </row>
    <row r="75" customFormat="false" ht="15" hidden="false" customHeight="false" outlineLevel="0" collapsed="false">
      <c r="A75" s="15" t="s">
        <v>2657</v>
      </c>
      <c r="B75" s="15" t="s">
        <v>2658</v>
      </c>
      <c r="C75" s="15" t="s">
        <v>73</v>
      </c>
      <c r="D75" s="9" t="n">
        <v>578.5458924</v>
      </c>
      <c r="E75" s="11" t="n">
        <v>78.6222979678947</v>
      </c>
      <c r="F75" s="10" t="n">
        <v>-0.3986539632563</v>
      </c>
      <c r="G75" s="10" t="n">
        <v>0.166285690709986</v>
      </c>
      <c r="H75" s="13" t="n">
        <v>2.1075118167656</v>
      </c>
      <c r="I75" s="15"/>
      <c r="J75" s="19" t="s">
        <v>370</v>
      </c>
    </row>
    <row r="76" customFormat="false" ht="15" hidden="false" customHeight="false" outlineLevel="0" collapsed="false">
      <c r="A76" s="15" t="s">
        <v>2659</v>
      </c>
      <c r="B76" s="19" t="s">
        <v>2660</v>
      </c>
      <c r="C76" s="15" t="s">
        <v>73</v>
      </c>
      <c r="D76" s="9" t="n">
        <v>1179.7152836</v>
      </c>
      <c r="E76" s="11" t="n">
        <v>78.330386675</v>
      </c>
      <c r="F76" s="10" t="n">
        <v>-0.00280166395157966</v>
      </c>
      <c r="G76" s="10" t="n">
        <v>0.361559242239001</v>
      </c>
      <c r="H76" s="13" t="n">
        <v>2.49400439844113</v>
      </c>
      <c r="I76" s="15"/>
      <c r="J76" s="15" t="s">
        <v>115</v>
      </c>
    </row>
    <row r="77" customFormat="false" ht="15" hidden="false" customHeight="false" outlineLevel="0" collapsed="false">
      <c r="A77" s="15" t="s">
        <v>2661</v>
      </c>
      <c r="B77" s="19" t="s">
        <v>2662</v>
      </c>
      <c r="C77" s="15" t="s">
        <v>72</v>
      </c>
      <c r="D77" s="9" t="n">
        <v>2426.2884575</v>
      </c>
      <c r="E77" s="11" t="n">
        <v>77.069496005</v>
      </c>
      <c r="F77" s="10" t="n">
        <v>-0.334697494746974</v>
      </c>
      <c r="G77" s="10" t="n">
        <v>-0.267679673697549</v>
      </c>
      <c r="H77" s="13" t="n">
        <v>0.451584080348729</v>
      </c>
      <c r="I77" s="15"/>
      <c r="J77" s="15" t="s">
        <v>115</v>
      </c>
    </row>
    <row r="78" customFormat="false" ht="15" hidden="false" customHeight="false" outlineLevel="0" collapsed="false">
      <c r="A78" s="15" t="s">
        <v>2663</v>
      </c>
      <c r="B78" s="19" t="s">
        <v>2664</v>
      </c>
      <c r="C78" s="15" t="s">
        <v>73</v>
      </c>
      <c r="D78" s="9" t="n">
        <v>915.7118024</v>
      </c>
      <c r="E78" s="11" t="n">
        <v>76.6135320515</v>
      </c>
      <c r="F78" s="10" t="n">
        <v>-0.0470958209795966</v>
      </c>
      <c r="G78" s="10" t="n">
        <v>0.0152258726743793</v>
      </c>
      <c r="H78" s="13" t="n">
        <v>1.13825055418335</v>
      </c>
      <c r="I78" s="15"/>
      <c r="J78" s="15" t="s">
        <v>514</v>
      </c>
    </row>
    <row r="79" customFormat="false" ht="15" hidden="false" customHeight="false" outlineLevel="0" collapsed="false">
      <c r="A79" s="15" t="s">
        <v>2665</v>
      </c>
      <c r="B79" s="19" t="s">
        <v>2666</v>
      </c>
      <c r="C79" s="15" t="s">
        <v>73</v>
      </c>
      <c r="D79" s="9" t="n">
        <v>989.2352368</v>
      </c>
      <c r="E79" s="11" t="n">
        <v>73.2035599185</v>
      </c>
      <c r="F79" s="10" t="n">
        <v>-0.244382099958474</v>
      </c>
      <c r="G79" s="10" t="n">
        <v>0.275216115838071</v>
      </c>
      <c r="H79" s="13" t="n">
        <v>2.44567105347654</v>
      </c>
      <c r="I79" s="15"/>
      <c r="J79" s="15"/>
    </row>
    <row r="80" customFormat="false" ht="15" hidden="false" customHeight="false" outlineLevel="0" collapsed="false">
      <c r="A80" s="15" t="s">
        <v>2667</v>
      </c>
      <c r="B80" s="19" t="s">
        <v>2668</v>
      </c>
      <c r="C80" s="15" t="s">
        <v>73</v>
      </c>
      <c r="D80" s="9" t="n">
        <v>927.937504</v>
      </c>
      <c r="E80" s="11" t="n">
        <v>72.8387853075</v>
      </c>
      <c r="F80" s="10" t="n">
        <v>-0.1839397886646</v>
      </c>
      <c r="G80" s="10" t="n">
        <v>0.00441413779634647</v>
      </c>
      <c r="H80" s="13" t="n">
        <v>1.80607456488477</v>
      </c>
      <c r="I80" s="15"/>
      <c r="J80" s="15"/>
    </row>
    <row r="81" customFormat="false" ht="15" hidden="false" customHeight="false" outlineLevel="0" collapsed="false">
      <c r="A81" s="15" t="s">
        <v>2669</v>
      </c>
      <c r="B81" s="19" t="s">
        <v>2670</v>
      </c>
      <c r="C81" s="15" t="s">
        <v>73</v>
      </c>
      <c r="D81" s="9" t="n">
        <v>2642.9737984</v>
      </c>
      <c r="E81" s="11" t="n">
        <v>69.39899685</v>
      </c>
      <c r="F81" s="10" t="n">
        <v>-0.196824726560363</v>
      </c>
      <c r="G81" s="10" t="n">
        <v>0.475586062892982</v>
      </c>
      <c r="H81" s="13" t="n">
        <v>2.97926322618523</v>
      </c>
      <c r="I81" s="15"/>
      <c r="J81" s="19" t="s">
        <v>282</v>
      </c>
    </row>
    <row r="82" customFormat="false" ht="15" hidden="false" customHeight="false" outlineLevel="0" collapsed="false">
      <c r="A82" s="15" t="s">
        <v>2671</v>
      </c>
      <c r="B82" s="19" t="s">
        <v>2672</v>
      </c>
      <c r="C82" s="15" t="s">
        <v>73</v>
      </c>
      <c r="D82" s="9" t="n">
        <v>817.662976</v>
      </c>
      <c r="E82" s="11" t="n">
        <v>67.9347349685</v>
      </c>
      <c r="F82" s="10" t="n">
        <v>-0.41754557834253</v>
      </c>
      <c r="G82" s="10" t="n">
        <v>0.740774076078129</v>
      </c>
      <c r="H82" s="13" t="n">
        <v>3.15991433485618</v>
      </c>
      <c r="I82" s="15"/>
      <c r="J82" s="19" t="s">
        <v>2673</v>
      </c>
    </row>
    <row r="85" customFormat="false" ht="15" hidden="false" customHeight="false" outlineLevel="0" collapsed="false">
      <c r="A85" s="14" t="s">
        <v>2674</v>
      </c>
    </row>
    <row r="86" customFormat="false" ht="23.85" hidden="false" customHeight="false" outlineLevel="0" collapsed="false">
      <c r="A86" s="7" t="s">
        <v>87</v>
      </c>
      <c r="B86" s="7" t="s">
        <v>88</v>
      </c>
      <c r="C86" s="7" t="s">
        <v>71</v>
      </c>
      <c r="D86" s="7" t="s">
        <v>92</v>
      </c>
      <c r="E86" s="7" t="s">
        <v>93</v>
      </c>
      <c r="F86" s="7" t="s">
        <v>94</v>
      </c>
      <c r="G86" s="7" t="s">
        <v>2675</v>
      </c>
      <c r="H86" s="7" t="s">
        <v>99</v>
      </c>
      <c r="I86" s="7" t="s">
        <v>89</v>
      </c>
      <c r="J86" s="7" t="s">
        <v>2676</v>
      </c>
    </row>
    <row r="87" customFormat="false" ht="15" hidden="false" customHeight="false" outlineLevel="0" collapsed="false">
      <c r="A87" s="15" t="s">
        <v>2677</v>
      </c>
      <c r="B87" s="19" t="s">
        <v>2678</v>
      </c>
      <c r="C87" s="15" t="s">
        <v>72</v>
      </c>
      <c r="D87" s="9" t="n">
        <v>25622.9</v>
      </c>
      <c r="E87" s="11" t="n">
        <v>15.5927413125</v>
      </c>
      <c r="F87" s="10" t="n">
        <v>0.018711289575</v>
      </c>
      <c r="G87" s="11" t="n">
        <v>3.20662024707081</v>
      </c>
      <c r="H87" s="10" t="n">
        <v>-0.0428365719742792</v>
      </c>
      <c r="I87" s="19" t="s">
        <v>2679</v>
      </c>
      <c r="J87" s="19" t="s">
        <v>2680</v>
      </c>
    </row>
    <row r="88" customFormat="false" ht="15" hidden="false" customHeight="false" outlineLevel="0" collapsed="false">
      <c r="A88" s="15" t="s">
        <v>2681</v>
      </c>
      <c r="B88" s="19" t="s">
        <v>2682</v>
      </c>
      <c r="C88" s="15" t="s">
        <v>72</v>
      </c>
      <c r="D88" s="9" t="n">
        <v>24577.8</v>
      </c>
      <c r="E88" s="11" t="n">
        <v>10.502182925</v>
      </c>
      <c r="F88" s="10" t="n">
        <v>0.01260261951</v>
      </c>
      <c r="G88" s="11" t="n">
        <v>4.76091497901614</v>
      </c>
      <c r="H88" s="10" t="n">
        <v>0.114433936398135</v>
      </c>
      <c r="I88" s="15"/>
      <c r="J88" s="15"/>
    </row>
    <row r="89" customFormat="false" ht="15" hidden="false" customHeight="false" outlineLevel="0" collapsed="false">
      <c r="A89" s="15" t="s">
        <v>2683</v>
      </c>
      <c r="B89" s="19" t="s">
        <v>2684</v>
      </c>
      <c r="C89" s="15" t="s">
        <v>72</v>
      </c>
      <c r="D89" s="9" t="n">
        <v>18797.4048</v>
      </c>
      <c r="E89" s="11" t="n">
        <v>15.5800168625</v>
      </c>
      <c r="F89" s="10" t="n">
        <v>0.018696020235</v>
      </c>
      <c r="G89" s="11" t="n">
        <v>3.20923914532766</v>
      </c>
      <c r="H89" s="10" t="n">
        <v>-0.0984648295576587</v>
      </c>
      <c r="I89" s="15"/>
      <c r="J89" s="15"/>
    </row>
    <row r="90" customFormat="false" ht="15" hidden="false" customHeight="false" outlineLevel="0" collapsed="false">
      <c r="A90" s="15" t="s">
        <v>2685</v>
      </c>
      <c r="B90" s="19" t="s">
        <v>2686</v>
      </c>
      <c r="C90" s="15" t="s">
        <v>72</v>
      </c>
      <c r="D90" s="9" t="n">
        <v>16600.684152</v>
      </c>
      <c r="E90" s="11" t="n">
        <v>11.7055649375</v>
      </c>
      <c r="F90" s="10" t="n">
        <v>0.014046677925</v>
      </c>
      <c r="G90" s="11" t="n">
        <v>4.27147260870937</v>
      </c>
      <c r="H90" s="10" t="n">
        <v>-0.0133127345228048</v>
      </c>
      <c r="I90" s="15"/>
      <c r="J90" s="15"/>
    </row>
    <row r="91" customFormat="false" ht="15" hidden="false" customHeight="false" outlineLevel="0" collapsed="false">
      <c r="A91" s="15" t="s">
        <v>2687</v>
      </c>
      <c r="B91" s="15" t="s">
        <v>2688</v>
      </c>
      <c r="C91" s="15" t="s">
        <v>72</v>
      </c>
      <c r="D91" s="9" t="n">
        <v>16104.44267</v>
      </c>
      <c r="E91" s="11" t="n">
        <v>11.4821562525</v>
      </c>
      <c r="F91" s="10" t="n">
        <v>0.013778587503</v>
      </c>
      <c r="G91" s="11" t="n">
        <v>4.35458278919637</v>
      </c>
      <c r="H91" s="10" t="n">
        <v>-0.075947768035147</v>
      </c>
      <c r="I91" s="15"/>
      <c r="J91" s="15"/>
    </row>
    <row r="92" customFormat="false" ht="15" hidden="false" customHeight="false" outlineLevel="0" collapsed="false">
      <c r="A92" s="15" t="s">
        <v>2689</v>
      </c>
      <c r="B92" s="19" t="s">
        <v>2690</v>
      </c>
      <c r="C92" s="15" t="s">
        <v>72</v>
      </c>
      <c r="D92" s="9" t="n">
        <v>16026.0773158</v>
      </c>
      <c r="E92" s="11" t="n">
        <v>9.1321936675</v>
      </c>
      <c r="F92" s="10" t="n">
        <v>0.010958632401</v>
      </c>
      <c r="G92" s="11" t="n">
        <v>5.47513574727854</v>
      </c>
      <c r="H92" s="10" t="n">
        <v>-0.0100345987971433</v>
      </c>
      <c r="I92" s="19" t="s">
        <v>2691</v>
      </c>
      <c r="J92" s="19" t="s">
        <v>2692</v>
      </c>
    </row>
    <row r="93" customFormat="false" ht="15" hidden="false" customHeight="false" outlineLevel="0" collapsed="false">
      <c r="A93" s="15" t="s">
        <v>2693</v>
      </c>
      <c r="B93" s="15" t="s">
        <v>2694</v>
      </c>
      <c r="C93" s="15" t="s">
        <v>72</v>
      </c>
      <c r="D93" s="9" t="n">
        <v>13501.628946</v>
      </c>
      <c r="E93" s="11" t="n">
        <v>13.112328675</v>
      </c>
      <c r="F93" s="10" t="n">
        <v>0.01573479441</v>
      </c>
      <c r="G93" s="11" t="n">
        <v>3.81320520857063</v>
      </c>
      <c r="H93" s="10" t="n">
        <v>0.207426328485238</v>
      </c>
      <c r="I93" s="15"/>
      <c r="J93" s="15"/>
    </row>
    <row r="94" customFormat="false" ht="15" hidden="false" customHeight="false" outlineLevel="0" collapsed="false">
      <c r="A94" s="15" t="s">
        <v>2695</v>
      </c>
      <c r="B94" s="19" t="s">
        <v>2696</v>
      </c>
      <c r="C94" s="15" t="s">
        <v>72</v>
      </c>
      <c r="D94" s="9" t="n">
        <v>13466.3088</v>
      </c>
      <c r="E94" s="11" t="n">
        <v>16.155008875</v>
      </c>
      <c r="F94" s="10" t="n">
        <v>0.01938601065</v>
      </c>
      <c r="G94" s="11" t="n">
        <v>3.09501532229892</v>
      </c>
      <c r="H94" s="10" t="n">
        <v>-0.127667035581075</v>
      </c>
      <c r="I94" s="15"/>
      <c r="J94" s="15"/>
    </row>
    <row r="95" customFormat="false" ht="15" hidden="false" customHeight="false" outlineLevel="0" collapsed="false">
      <c r="A95" s="15" t="s">
        <v>2697</v>
      </c>
      <c r="B95" s="15" t="s">
        <v>2698</v>
      </c>
      <c r="C95" s="15" t="s">
        <v>72</v>
      </c>
      <c r="D95" s="9" t="n">
        <v>13014.3371976</v>
      </c>
      <c r="E95" s="11" t="n">
        <v>12.460971625</v>
      </c>
      <c r="F95" s="10" t="n">
        <v>0.01495316595</v>
      </c>
      <c r="G95" s="11" t="n">
        <v>4.01252819641181</v>
      </c>
      <c r="H95" s="10" t="n">
        <v>0.0600143277983967</v>
      </c>
      <c r="I95" s="15"/>
      <c r="J95" s="15"/>
    </row>
    <row r="96" customFormat="false" ht="15" hidden="false" customHeight="false" outlineLevel="0" collapsed="false">
      <c r="A96" s="15" t="s">
        <v>2699</v>
      </c>
      <c r="B96" s="19" t="s">
        <v>2700</v>
      </c>
      <c r="C96" s="15" t="s">
        <v>72</v>
      </c>
      <c r="D96" s="9" t="n">
        <v>12340.8860702</v>
      </c>
      <c r="E96" s="11" t="n">
        <v>15.77525479</v>
      </c>
      <c r="F96" s="10" t="n">
        <v>0.018930305748</v>
      </c>
      <c r="G96" s="11" t="n">
        <v>3.16952091523081</v>
      </c>
      <c r="H96" s="10" t="n">
        <v>-0.0663168727635194</v>
      </c>
      <c r="I96" s="15"/>
      <c r="J96" s="15"/>
    </row>
    <row r="97" customFormat="false" ht="15" hidden="false" customHeight="false" outlineLevel="0" collapsed="false">
      <c r="A97" s="15" t="s">
        <v>2701</v>
      </c>
      <c r="B97" s="19" t="s">
        <v>2702</v>
      </c>
      <c r="C97" s="15" t="s">
        <v>72</v>
      </c>
      <c r="D97" s="9" t="n">
        <v>11453.2775805</v>
      </c>
      <c r="E97" s="11" t="n">
        <v>4.979367325</v>
      </c>
      <c r="F97" s="10" t="n">
        <v>0.00597524079</v>
      </c>
      <c r="G97" s="11" t="n">
        <v>10.0414363385011</v>
      </c>
      <c r="H97" s="10" t="n">
        <v>0.0618982075825789</v>
      </c>
      <c r="I97" s="15"/>
      <c r="J97" s="15"/>
    </row>
    <row r="98" customFormat="false" ht="15" hidden="false" customHeight="false" outlineLevel="0" collapsed="false">
      <c r="A98" s="15" t="s">
        <v>2703</v>
      </c>
      <c r="B98" s="19" t="s">
        <v>2704</v>
      </c>
      <c r="C98" s="15" t="s">
        <v>72</v>
      </c>
      <c r="D98" s="9" t="n">
        <v>11154.1989224</v>
      </c>
      <c r="E98" s="11" t="n">
        <v>4.9964602105</v>
      </c>
      <c r="F98" s="10" t="n">
        <v>0.0059957522526</v>
      </c>
      <c r="G98" s="11" t="n">
        <v>10.0070845945947</v>
      </c>
      <c r="H98" s="10" t="n">
        <v>-0.0253739099057561</v>
      </c>
      <c r="I98" s="15"/>
      <c r="J98" s="15"/>
    </row>
    <row r="99" customFormat="false" ht="15" hidden="false" customHeight="false" outlineLevel="0" collapsed="false">
      <c r="A99" s="15" t="s">
        <v>2705</v>
      </c>
      <c r="B99" s="19" t="s">
        <v>2706</v>
      </c>
      <c r="C99" s="15" t="s">
        <v>72</v>
      </c>
      <c r="D99" s="9" t="n">
        <v>10933.8299549</v>
      </c>
      <c r="E99" s="11" t="n">
        <v>16.5498476875</v>
      </c>
      <c r="F99" s="10" t="n">
        <v>0.019859817225</v>
      </c>
      <c r="G99" s="11" t="n">
        <v>3.0211758406553</v>
      </c>
      <c r="H99" s="10" t="n">
        <v>-0.154307045651303</v>
      </c>
      <c r="I99" s="15"/>
      <c r="J99" s="15"/>
    </row>
    <row r="100" customFormat="false" ht="15" hidden="false" customHeight="false" outlineLevel="0" collapsed="false">
      <c r="A100" s="15" t="s">
        <v>2707</v>
      </c>
      <c r="B100" s="19" t="s">
        <v>2708</v>
      </c>
      <c r="C100" s="15" t="s">
        <v>72</v>
      </c>
      <c r="D100" s="9" t="n">
        <v>10454.826</v>
      </c>
      <c r="E100" s="11" t="n">
        <v>14.0041635</v>
      </c>
      <c r="F100" s="10" t="n">
        <v>0.0168049962</v>
      </c>
      <c r="G100" s="11" t="n">
        <v>3.57036676985384</v>
      </c>
      <c r="H100" s="10" t="n">
        <v>0.231867351314265</v>
      </c>
      <c r="I100" s="19" t="s">
        <v>212</v>
      </c>
      <c r="J100" s="19" t="s">
        <v>2709</v>
      </c>
    </row>
    <row r="101" customFormat="false" ht="15" hidden="false" customHeight="false" outlineLevel="0" collapsed="false">
      <c r="A101" s="15" t="s">
        <v>2710</v>
      </c>
      <c r="B101" s="19" t="s">
        <v>2711</v>
      </c>
      <c r="C101" s="15" t="s">
        <v>72</v>
      </c>
      <c r="D101" s="9" t="n">
        <v>10000.42056</v>
      </c>
      <c r="E101" s="11" t="n">
        <v>9.921983645</v>
      </c>
      <c r="F101" s="10" t="n">
        <v>0.011906380374</v>
      </c>
      <c r="G101" s="11" t="n">
        <v>5.03931489800395</v>
      </c>
      <c r="H101" s="10" t="n">
        <v>-0.219721449659236</v>
      </c>
      <c r="I101" s="15"/>
      <c r="J101" s="15"/>
    </row>
    <row r="102" customFormat="false" ht="15" hidden="false" customHeight="false" outlineLevel="0" collapsed="false">
      <c r="A102" s="15" t="s">
        <v>2712</v>
      </c>
      <c r="B102" s="19" t="s">
        <v>2713</v>
      </c>
      <c r="C102" s="15" t="s">
        <v>72</v>
      </c>
      <c r="D102" s="9" t="n">
        <v>9832.9441525</v>
      </c>
      <c r="E102" s="11" t="n">
        <v>6.3317526125</v>
      </c>
      <c r="F102" s="10" t="n">
        <v>0.00663281272</v>
      </c>
      <c r="G102" s="11" t="n">
        <v>9.04593609572019</v>
      </c>
      <c r="H102" s="10" t="n">
        <v>-0.0466171463592454</v>
      </c>
      <c r="I102" s="15"/>
      <c r="J102" s="15"/>
    </row>
    <row r="103" customFormat="false" ht="15" hidden="false" customHeight="false" outlineLevel="0" collapsed="false">
      <c r="A103" s="15" t="s">
        <v>2714</v>
      </c>
      <c r="B103" s="15" t="s">
        <v>2715</v>
      </c>
      <c r="C103" s="15" t="s">
        <v>72</v>
      </c>
      <c r="D103" s="9" t="n">
        <v>9460.3922965</v>
      </c>
      <c r="E103" s="11" t="n">
        <v>15.28553055</v>
      </c>
      <c r="F103" s="10" t="n">
        <v>0.01834263666</v>
      </c>
      <c r="G103" s="11" t="n">
        <v>3.2710673559185</v>
      </c>
      <c r="H103" s="10" t="n">
        <v>-0.389476686434022</v>
      </c>
      <c r="I103" s="15"/>
      <c r="J103" s="15"/>
    </row>
    <row r="104" customFormat="false" ht="15" hidden="false" customHeight="false" outlineLevel="0" collapsed="false">
      <c r="A104" s="15" t="s">
        <v>2716</v>
      </c>
      <c r="B104" s="15" t="s">
        <v>2717</v>
      </c>
      <c r="C104" s="15" t="s">
        <v>72</v>
      </c>
      <c r="D104" s="9" t="n">
        <v>9392.9210492</v>
      </c>
      <c r="E104" s="11" t="n">
        <v>20.7772728675</v>
      </c>
      <c r="F104" s="10" t="n">
        <v>0.0170229883094</v>
      </c>
      <c r="G104" s="11" t="n">
        <v>3.52464555044477</v>
      </c>
      <c r="H104" s="10" t="n">
        <v>-0.0526157534830316</v>
      </c>
      <c r="I104" s="15"/>
      <c r="J104" s="15"/>
    </row>
    <row r="105" customFormat="false" ht="15" hidden="false" customHeight="false" outlineLevel="0" collapsed="false">
      <c r="A105" s="15" t="s">
        <v>2718</v>
      </c>
      <c r="B105" s="15" t="s">
        <v>2719</v>
      </c>
      <c r="C105" s="15" t="s">
        <v>72</v>
      </c>
      <c r="D105" s="9" t="n">
        <v>9386.011789</v>
      </c>
      <c r="E105" s="11" t="n">
        <v>12.5003819625</v>
      </c>
      <c r="F105" s="10" t="n">
        <v>0.015000458355</v>
      </c>
      <c r="G105" s="11" t="n">
        <v>3.99987777573481</v>
      </c>
      <c r="H105" s="10" t="n">
        <v>-0.0670701546385587</v>
      </c>
      <c r="I105" s="15"/>
      <c r="J105" s="15"/>
    </row>
    <row r="106" customFormat="false" ht="15" hidden="false" customHeight="false" outlineLevel="0" collapsed="false">
      <c r="A106" s="15" t="s">
        <v>2720</v>
      </c>
      <c r="B106" s="19" t="s">
        <v>2721</v>
      </c>
      <c r="C106" s="15" t="s">
        <v>72</v>
      </c>
      <c r="D106" s="9" t="n">
        <v>9213.48</v>
      </c>
      <c r="E106" s="11" t="n">
        <v>4.7064013725</v>
      </c>
      <c r="F106" s="10" t="n">
        <v>0.005647681647</v>
      </c>
      <c r="G106" s="11" t="n">
        <v>10.6238282803832</v>
      </c>
      <c r="H106" s="10" t="n">
        <v>0.237114174386394</v>
      </c>
      <c r="I106" s="15"/>
      <c r="J106" s="15"/>
    </row>
    <row r="107" customFormat="false" ht="15" hidden="false" customHeight="false" outlineLevel="0" collapsed="false">
      <c r="A107" s="15" t="s">
        <v>2722</v>
      </c>
      <c r="B107" s="19" t="s">
        <v>2723</v>
      </c>
      <c r="C107" s="15" t="s">
        <v>72</v>
      </c>
      <c r="D107" s="9" t="n">
        <v>9055.964794</v>
      </c>
      <c r="E107" s="11" t="n">
        <v>12.811632452</v>
      </c>
      <c r="F107" s="10" t="n">
        <v>0.0153739589424</v>
      </c>
      <c r="G107" s="11" t="n">
        <v>3.90270328057956</v>
      </c>
      <c r="H107" s="10" t="n">
        <v>0.273730164617264</v>
      </c>
      <c r="I107" s="15"/>
      <c r="J107" s="15"/>
    </row>
    <row r="108" customFormat="false" ht="15" hidden="false" customHeight="false" outlineLevel="0" collapsed="false">
      <c r="A108" s="15" t="s">
        <v>2724</v>
      </c>
      <c r="B108" s="19" t="s">
        <v>2725</v>
      </c>
      <c r="C108" s="15" t="s">
        <v>72</v>
      </c>
      <c r="D108" s="9" t="n">
        <v>8857.73916</v>
      </c>
      <c r="E108" s="11" t="n">
        <v>13.265355125</v>
      </c>
      <c r="F108" s="10" t="n">
        <v>0.01330375111</v>
      </c>
      <c r="G108" s="11" t="n">
        <v>4.51000620080001</v>
      </c>
      <c r="H108" s="10" t="n">
        <v>-0.206672619592808</v>
      </c>
      <c r="I108" s="15"/>
      <c r="J108" s="15"/>
    </row>
    <row r="109" customFormat="false" ht="15" hidden="false" customHeight="false" outlineLevel="0" collapsed="false">
      <c r="A109" s="15" t="s">
        <v>2726</v>
      </c>
      <c r="B109" s="19" t="s">
        <v>2727</v>
      </c>
      <c r="C109" s="15" t="s">
        <v>72</v>
      </c>
      <c r="D109" s="9" t="n">
        <v>8658.494978</v>
      </c>
      <c r="E109" s="11" t="n">
        <v>14.2852187</v>
      </c>
      <c r="F109" s="10" t="n">
        <v>0.01714226244</v>
      </c>
      <c r="G109" s="11" t="n">
        <v>3.50012142271228</v>
      </c>
      <c r="H109" s="10" t="n">
        <v>0.176867726727709</v>
      </c>
      <c r="I109" s="15"/>
      <c r="J109" s="15"/>
    </row>
    <row r="110" customFormat="false" ht="15" hidden="false" customHeight="false" outlineLevel="0" collapsed="false">
      <c r="A110" s="15" t="s">
        <v>2728</v>
      </c>
      <c r="B110" s="19" t="s">
        <v>2729</v>
      </c>
      <c r="C110" s="15" t="s">
        <v>73</v>
      </c>
      <c r="D110" s="9" t="n">
        <v>7794.05</v>
      </c>
      <c r="E110" s="11" t="n">
        <v>12.425678315</v>
      </c>
      <c r="F110" s="10" t="n">
        <v>0.014910813978</v>
      </c>
      <c r="G110" s="11" t="n">
        <v>4.02392519204695</v>
      </c>
      <c r="H110" s="10" t="n">
        <v>0.10614336271253</v>
      </c>
      <c r="I110" s="15"/>
      <c r="J110" s="15"/>
    </row>
    <row r="111" customFormat="false" ht="15" hidden="false" customHeight="false" outlineLevel="0" collapsed="false">
      <c r="A111" s="15" t="s">
        <v>2730</v>
      </c>
      <c r="B111" s="15" t="s">
        <v>2731</v>
      </c>
      <c r="C111" s="15" t="s">
        <v>72</v>
      </c>
      <c r="D111" s="9" t="n">
        <v>7677.9768</v>
      </c>
      <c r="E111" s="11" t="n">
        <v>19.262704268</v>
      </c>
      <c r="F111" s="10" t="n">
        <v>0.0184325132622</v>
      </c>
      <c r="G111" s="11" t="n">
        <v>3.25511769049115</v>
      </c>
      <c r="H111" s="10" t="n">
        <v>-0.268297332374269</v>
      </c>
      <c r="I111" s="15"/>
      <c r="J111" s="15"/>
    </row>
    <row r="112" customFormat="false" ht="15" hidden="false" customHeight="false" outlineLevel="0" collapsed="false">
      <c r="A112" s="15" t="s">
        <v>2732</v>
      </c>
      <c r="B112" s="19" t="s">
        <v>2733</v>
      </c>
      <c r="C112" s="15" t="s">
        <v>72</v>
      </c>
      <c r="D112" s="9" t="n">
        <v>7635.061423</v>
      </c>
      <c r="E112" s="11" t="n">
        <v>8.698087275</v>
      </c>
      <c r="F112" s="10" t="n">
        <v>0.01043770473</v>
      </c>
      <c r="G112" s="11" t="n">
        <v>5.74839024019795</v>
      </c>
      <c r="H112" s="10" t="n">
        <v>-0.0126608830245015</v>
      </c>
      <c r="I112" s="15"/>
      <c r="J112" s="15"/>
    </row>
    <row r="113" customFormat="false" ht="15" hidden="false" customHeight="false" outlineLevel="0" collapsed="false">
      <c r="A113" s="15" t="s">
        <v>2734</v>
      </c>
      <c r="B113" s="19" t="s">
        <v>2735</v>
      </c>
      <c r="C113" s="15" t="s">
        <v>72</v>
      </c>
      <c r="D113" s="9" t="n">
        <v>7512</v>
      </c>
      <c r="E113" s="11" t="n">
        <v>11.547665871</v>
      </c>
      <c r="F113" s="10" t="n">
        <v>0.0138571990452</v>
      </c>
      <c r="G113" s="11" t="n">
        <v>4.329879350386</v>
      </c>
      <c r="H113" s="10" t="n">
        <v>0.0173563926255547</v>
      </c>
      <c r="I113" s="15"/>
      <c r="J113" s="15"/>
    </row>
    <row r="114" customFormat="false" ht="15" hidden="false" customHeight="false" outlineLevel="0" collapsed="false">
      <c r="A114" s="15" t="s">
        <v>2736</v>
      </c>
      <c r="B114" s="19" t="s">
        <v>2737</v>
      </c>
      <c r="C114" s="15" t="s">
        <v>72</v>
      </c>
      <c r="D114" s="9" t="n">
        <v>7462.2945036</v>
      </c>
      <c r="E114" s="11" t="n">
        <v>15.4237455</v>
      </c>
      <c r="F114" s="10" t="n">
        <v>0.01206927776</v>
      </c>
      <c r="G114" s="11" t="n">
        <v>4.9712999562287</v>
      </c>
      <c r="H114" s="10" t="n">
        <v>-0.306249120285688</v>
      </c>
      <c r="I114" s="15"/>
      <c r="J114" s="15"/>
    </row>
    <row r="115" customFormat="false" ht="15" hidden="false" customHeight="false" outlineLevel="0" collapsed="false">
      <c r="A115" s="15" t="s">
        <v>2738</v>
      </c>
      <c r="B115" s="15" t="s">
        <v>2739</v>
      </c>
      <c r="C115" s="15" t="s">
        <v>72</v>
      </c>
      <c r="D115" s="9" t="n">
        <v>7450.875902</v>
      </c>
      <c r="E115" s="11" t="n">
        <v>5.0262228625</v>
      </c>
      <c r="F115" s="10" t="n">
        <v>0.006031467435</v>
      </c>
      <c r="G115" s="11" t="n">
        <v>9.94782789538513</v>
      </c>
      <c r="H115" s="10" t="n">
        <v>-0.157180811901765</v>
      </c>
      <c r="I115" s="15"/>
      <c r="J115" s="15"/>
    </row>
    <row r="116" customFormat="false" ht="15" hidden="false" customHeight="false" outlineLevel="0" collapsed="false">
      <c r="A116" s="15" t="s">
        <v>2405</v>
      </c>
      <c r="B116" s="19" t="s">
        <v>2406</v>
      </c>
      <c r="C116" s="15" t="s">
        <v>72</v>
      </c>
      <c r="D116" s="9" t="n">
        <v>7364.2732</v>
      </c>
      <c r="E116" s="11" t="n">
        <v>11.9458781125</v>
      </c>
      <c r="F116" s="10" t="n">
        <v>0.014335053735</v>
      </c>
      <c r="G116" s="11" t="n">
        <v>4.18554412903985</v>
      </c>
      <c r="H116" s="10" t="n">
        <v>-0.157780302004842</v>
      </c>
      <c r="I116" s="19" t="s">
        <v>178</v>
      </c>
      <c r="J116" s="19" t="s">
        <v>2740</v>
      </c>
    </row>
    <row r="117" customFormat="false" ht="15" hidden="false" customHeight="false" outlineLevel="0" collapsed="false">
      <c r="A117" s="15" t="s">
        <v>2741</v>
      </c>
      <c r="B117" s="19" t="s">
        <v>2742</v>
      </c>
      <c r="C117" s="15" t="s">
        <v>73</v>
      </c>
      <c r="D117" s="9" t="n">
        <v>7363.340625</v>
      </c>
      <c r="E117" s="11" t="n">
        <v>14.6895007</v>
      </c>
      <c r="F117" s="10" t="n">
        <v>0.01762740084</v>
      </c>
      <c r="G117" s="11" t="n">
        <v>3.40379166189086</v>
      </c>
      <c r="H117" s="10" t="n">
        <v>-0.249395244654431</v>
      </c>
      <c r="I117" s="15"/>
      <c r="J117" s="15"/>
    </row>
    <row r="120" customFormat="false" ht="15" hidden="false" customHeight="false" outlineLevel="0" collapsed="false">
      <c r="A120" s="14" t="s">
        <v>2743</v>
      </c>
    </row>
    <row r="121" customFormat="false" ht="23.85" hidden="false" customHeight="false" outlineLevel="0" collapsed="false">
      <c r="A121" s="7" t="s">
        <v>87</v>
      </c>
      <c r="B121" s="7" t="s">
        <v>88</v>
      </c>
      <c r="C121" s="7" t="s">
        <v>71</v>
      </c>
      <c r="D121" s="7" t="s">
        <v>92</v>
      </c>
      <c r="E121" s="7" t="s">
        <v>93</v>
      </c>
      <c r="F121" s="7" t="s">
        <v>94</v>
      </c>
      <c r="G121" s="7" t="s">
        <v>99</v>
      </c>
      <c r="H121" s="7" t="s">
        <v>89</v>
      </c>
    </row>
    <row r="122" customFormat="false" ht="15" hidden="false" customHeight="false" outlineLevel="0" collapsed="false">
      <c r="A122" s="15" t="s">
        <v>2744</v>
      </c>
      <c r="B122" s="19" t="s">
        <v>2745</v>
      </c>
      <c r="C122" s="15" t="s">
        <v>73</v>
      </c>
      <c r="D122" s="9" t="n">
        <v>7363.1674532</v>
      </c>
      <c r="E122" s="11" t="n">
        <v>22.28209236</v>
      </c>
      <c r="F122" s="10" t="n">
        <v>0.018863205609</v>
      </c>
      <c r="G122" s="10" t="n">
        <v>-0.0692011713610539</v>
      </c>
      <c r="H122" s="15"/>
    </row>
    <row r="123" customFormat="false" ht="15" hidden="false" customHeight="false" outlineLevel="0" collapsed="false">
      <c r="A123" s="15" t="s">
        <v>2746</v>
      </c>
      <c r="B123" s="15" t="s">
        <v>2747</v>
      </c>
      <c r="C123" s="15" t="s">
        <v>72</v>
      </c>
      <c r="D123" s="9" t="n">
        <v>6750.24</v>
      </c>
      <c r="E123" s="11" t="n">
        <v>7.3168792</v>
      </c>
      <c r="F123" s="10" t="n">
        <v>0.00878025504</v>
      </c>
      <c r="G123" s="10" t="n">
        <v>0.181625269836452</v>
      </c>
      <c r="H123" s="15"/>
    </row>
    <row r="124" customFormat="false" ht="15" hidden="false" customHeight="false" outlineLevel="0" collapsed="false">
      <c r="A124" s="15" t="s">
        <v>2748</v>
      </c>
      <c r="B124" s="15" t="s">
        <v>2749</v>
      </c>
      <c r="C124" s="15" t="s">
        <v>72</v>
      </c>
      <c r="D124" s="9" t="n">
        <v>6675.4734204</v>
      </c>
      <c r="E124" s="11" t="n">
        <v>8.2287580125</v>
      </c>
      <c r="F124" s="10" t="n">
        <v>0.009874509615</v>
      </c>
      <c r="G124" s="10" t="n">
        <v>-0.137966589217739</v>
      </c>
      <c r="H124" s="15"/>
    </row>
    <row r="125" customFormat="false" ht="15" hidden="false" customHeight="false" outlineLevel="0" collapsed="false">
      <c r="A125" s="15" t="s">
        <v>2750</v>
      </c>
      <c r="B125" s="19" t="s">
        <v>2751</v>
      </c>
      <c r="C125" s="15" t="s">
        <v>72</v>
      </c>
      <c r="D125" s="9" t="n">
        <v>6656.714064</v>
      </c>
      <c r="E125" s="11" t="n">
        <v>9.124999177</v>
      </c>
      <c r="F125" s="10" t="n">
        <v>0.0109499990124</v>
      </c>
      <c r="G125" s="10" t="n">
        <v>0.232797740258886</v>
      </c>
      <c r="H125" s="15"/>
    </row>
    <row r="126" customFormat="false" ht="15" hidden="false" customHeight="false" outlineLevel="0" collapsed="false">
      <c r="A126" s="15" t="s">
        <v>2752</v>
      </c>
      <c r="B126" s="19" t="s">
        <v>2753</v>
      </c>
      <c r="C126" s="15" t="s">
        <v>72</v>
      </c>
      <c r="D126" s="9" t="n">
        <v>6620</v>
      </c>
      <c r="E126" s="11" t="n">
        <v>2.981536825</v>
      </c>
      <c r="F126" s="10" t="n">
        <v>0.00357784419</v>
      </c>
      <c r="G126" s="10" t="n">
        <v>-0.0563515235946013</v>
      </c>
      <c r="H126" s="15"/>
    </row>
    <row r="127" customFormat="false" ht="15" hidden="false" customHeight="false" outlineLevel="0" collapsed="false">
      <c r="A127" s="15" t="s">
        <v>2754</v>
      </c>
      <c r="B127" s="19" t="s">
        <v>2755</v>
      </c>
      <c r="C127" s="15" t="s">
        <v>72</v>
      </c>
      <c r="D127" s="9" t="n">
        <v>6609.8043672</v>
      </c>
      <c r="E127" s="11" t="n">
        <v>5.9633765675</v>
      </c>
      <c r="F127" s="10" t="n">
        <v>0.006741082221</v>
      </c>
      <c r="G127" s="10" t="n">
        <v>0.398087501709087</v>
      </c>
      <c r="H127" s="15"/>
    </row>
    <row r="128" customFormat="false" ht="15" hidden="false" customHeight="false" outlineLevel="0" collapsed="false">
      <c r="A128" s="15" t="s">
        <v>2756</v>
      </c>
      <c r="B128" s="19" t="s">
        <v>2757</v>
      </c>
      <c r="C128" s="15" t="s">
        <v>72</v>
      </c>
      <c r="D128" s="9" t="n">
        <v>6518.9</v>
      </c>
      <c r="E128" s="11" t="n">
        <v>9.5570106625</v>
      </c>
      <c r="F128" s="10" t="n">
        <v>0.01018453046</v>
      </c>
      <c r="G128" s="10" t="n">
        <v>-0.352163359878765</v>
      </c>
      <c r="H128" s="15"/>
    </row>
    <row r="129" customFormat="false" ht="15" hidden="false" customHeight="false" outlineLevel="0" collapsed="false">
      <c r="A129" s="15" t="s">
        <v>2758</v>
      </c>
      <c r="B129" s="19" t="s">
        <v>2759</v>
      </c>
      <c r="C129" s="15" t="s">
        <v>72</v>
      </c>
      <c r="D129" s="9" t="n">
        <v>6518.6726297</v>
      </c>
      <c r="E129" s="11" t="n">
        <v>6.3248487725</v>
      </c>
      <c r="F129" s="10" t="n">
        <v>0.007589818527</v>
      </c>
      <c r="G129" s="10" t="n">
        <v>-0.0357325110396509</v>
      </c>
      <c r="H129" s="15"/>
    </row>
    <row r="130" customFormat="false" ht="15" hidden="false" customHeight="false" outlineLevel="0" collapsed="false">
      <c r="A130" s="15" t="s">
        <v>2760</v>
      </c>
      <c r="B130" s="19" t="s">
        <v>2761</v>
      </c>
      <c r="C130" s="15" t="s">
        <v>72</v>
      </c>
      <c r="D130" s="9" t="n">
        <v>6461</v>
      </c>
      <c r="E130" s="11" t="n">
        <v>7.3760455</v>
      </c>
      <c r="F130" s="10" t="n">
        <v>0.0088512546</v>
      </c>
      <c r="G130" s="10" t="n">
        <v>0.102360055908925</v>
      </c>
      <c r="H130" s="15"/>
    </row>
    <row r="131" customFormat="false" ht="15" hidden="false" customHeight="false" outlineLevel="0" collapsed="false">
      <c r="A131" s="15" t="s">
        <v>2762</v>
      </c>
      <c r="B131" s="15" t="s">
        <v>2763</v>
      </c>
      <c r="C131" s="15" t="s">
        <v>72</v>
      </c>
      <c r="D131" s="9" t="n">
        <v>6447.42</v>
      </c>
      <c r="E131" s="11" t="n">
        <v>5.639309175</v>
      </c>
      <c r="F131" s="10" t="n">
        <v>0.00676717101</v>
      </c>
      <c r="G131" s="10" t="n">
        <v>0.209267660246974</v>
      </c>
      <c r="H131" s="15"/>
    </row>
    <row r="132" customFormat="false" ht="15" hidden="false" customHeight="false" outlineLevel="0" collapsed="false">
      <c r="A132" s="15" t="s">
        <v>2764</v>
      </c>
      <c r="B132" s="19" t="s">
        <v>2765</v>
      </c>
      <c r="C132" s="15" t="s">
        <v>72</v>
      </c>
      <c r="D132" s="9" t="n">
        <v>6436.064604</v>
      </c>
      <c r="E132" s="11" t="n">
        <v>9.613663475</v>
      </c>
      <c r="F132" s="10" t="n">
        <v>0.01153639617</v>
      </c>
      <c r="G132" s="10" t="n">
        <v>-0.113661548416494</v>
      </c>
      <c r="H132" s="15"/>
    </row>
    <row r="133" customFormat="false" ht="15" hidden="false" customHeight="false" outlineLevel="0" collapsed="false">
      <c r="A133" s="15" t="s">
        <v>2766</v>
      </c>
      <c r="B133" s="19" t="s">
        <v>2767</v>
      </c>
      <c r="C133" s="15" t="s">
        <v>72</v>
      </c>
      <c r="D133" s="9" t="n">
        <v>6328.57538</v>
      </c>
      <c r="E133" s="11" t="n">
        <v>15.9576761</v>
      </c>
      <c r="F133" s="10" t="n">
        <v>0.01874572355</v>
      </c>
      <c r="G133" s="10" t="n">
        <v>-0.116748438623929</v>
      </c>
      <c r="H133" s="15"/>
    </row>
    <row r="134" customFormat="false" ht="15" hidden="false" customHeight="false" outlineLevel="0" collapsed="false">
      <c r="A134" s="15" t="s">
        <v>2768</v>
      </c>
      <c r="B134" s="15" t="s">
        <v>2769</v>
      </c>
      <c r="C134" s="15" t="s">
        <v>72</v>
      </c>
      <c r="D134" s="9" t="n">
        <v>6193.992028</v>
      </c>
      <c r="E134" s="11" t="n">
        <v>5.737549875</v>
      </c>
      <c r="F134" s="10" t="n">
        <v>0.00688505985</v>
      </c>
      <c r="G134" s="10" t="n">
        <v>0.0124348593670938</v>
      </c>
      <c r="H134" s="15"/>
    </row>
    <row r="135" customFormat="false" ht="15" hidden="false" customHeight="false" outlineLevel="0" collapsed="false">
      <c r="A135" s="15" t="s">
        <v>2770</v>
      </c>
      <c r="B135" s="19" t="s">
        <v>2771</v>
      </c>
      <c r="C135" s="15" t="s">
        <v>72</v>
      </c>
      <c r="D135" s="9" t="n">
        <v>6110.9149608</v>
      </c>
      <c r="E135" s="11" t="n">
        <v>13.2664141975</v>
      </c>
      <c r="F135" s="10" t="n">
        <v>0.015919697037</v>
      </c>
      <c r="G135" s="10" t="n">
        <v>-0.229653387183278</v>
      </c>
      <c r="H135" s="15"/>
    </row>
    <row r="136" customFormat="false" ht="15" hidden="false" customHeight="false" outlineLevel="0" collapsed="false">
      <c r="A136" s="15" t="s">
        <v>2407</v>
      </c>
      <c r="B136" s="19" t="s">
        <v>2408</v>
      </c>
      <c r="C136" s="15" t="s">
        <v>72</v>
      </c>
      <c r="D136" s="9" t="n">
        <v>5997.5021189</v>
      </c>
      <c r="E136" s="11" t="n">
        <v>7.210708395</v>
      </c>
      <c r="F136" s="10" t="n">
        <v>0.008652850074</v>
      </c>
      <c r="G136" s="10" t="n">
        <v>0.182845548327897</v>
      </c>
      <c r="H136" s="15"/>
    </row>
    <row r="137" customFormat="false" ht="15" hidden="false" customHeight="false" outlineLevel="0" collapsed="false">
      <c r="A137" s="15" t="s">
        <v>2772</v>
      </c>
      <c r="B137" s="19" t="s">
        <v>2773</v>
      </c>
      <c r="C137" s="15" t="s">
        <v>72</v>
      </c>
      <c r="D137" s="9" t="n">
        <v>5938.2069216</v>
      </c>
      <c r="E137" s="11" t="n">
        <v>4.49111979</v>
      </c>
      <c r="F137" s="10" t="n">
        <v>0.005389343748</v>
      </c>
      <c r="G137" s="10" t="n">
        <v>-0.19216714872373</v>
      </c>
      <c r="H137" s="15"/>
    </row>
    <row r="138" customFormat="false" ht="15" hidden="false" customHeight="false" outlineLevel="0" collapsed="false">
      <c r="A138" s="15" t="s">
        <v>2774</v>
      </c>
      <c r="B138" s="19" t="s">
        <v>2775</v>
      </c>
      <c r="C138" s="15" t="s">
        <v>72</v>
      </c>
      <c r="D138" s="9" t="n">
        <v>5913</v>
      </c>
      <c r="E138" s="11" t="n">
        <v>6.677449925</v>
      </c>
      <c r="F138" s="10" t="n">
        <v>0.00801293991</v>
      </c>
      <c r="G138" s="10" t="n">
        <v>-0.126197832259056</v>
      </c>
      <c r="H138" s="15"/>
    </row>
    <row r="139" customFormat="false" ht="15" hidden="false" customHeight="false" outlineLevel="0" collapsed="false">
      <c r="A139" s="15" t="s">
        <v>2776</v>
      </c>
      <c r="B139" s="19" t="s">
        <v>2777</v>
      </c>
      <c r="C139" s="15" t="s">
        <v>72</v>
      </c>
      <c r="D139" s="9" t="n">
        <v>5854.8912156</v>
      </c>
      <c r="E139" s="11" t="n">
        <v>3.43027156</v>
      </c>
      <c r="F139" s="10" t="n">
        <v>0.004116325872</v>
      </c>
      <c r="G139" s="10" t="n">
        <v>0.160246230087196</v>
      </c>
      <c r="H139" s="15"/>
    </row>
    <row r="140" customFormat="false" ht="15" hidden="false" customHeight="false" outlineLevel="0" collapsed="false">
      <c r="A140" s="15" t="s">
        <v>2778</v>
      </c>
      <c r="B140" s="19" t="s">
        <v>2779</v>
      </c>
      <c r="C140" s="15" t="s">
        <v>73</v>
      </c>
      <c r="D140" s="9" t="n">
        <v>5824.576856</v>
      </c>
      <c r="E140" s="11" t="n">
        <v>16.1113977625</v>
      </c>
      <c r="F140" s="10" t="n">
        <v>0.012923069965</v>
      </c>
      <c r="G140" s="10" t="n">
        <v>0.345233762108694</v>
      </c>
      <c r="H140" s="15"/>
    </row>
    <row r="141" customFormat="false" ht="15" hidden="false" customHeight="false" outlineLevel="0" collapsed="false">
      <c r="A141" s="15" t="s">
        <v>2780</v>
      </c>
      <c r="B141" s="15" t="s">
        <v>2781</v>
      </c>
      <c r="C141" s="15" t="s">
        <v>72</v>
      </c>
      <c r="D141" s="9" t="n">
        <v>5808.247413</v>
      </c>
      <c r="E141" s="11" t="n">
        <v>11.38261737</v>
      </c>
      <c r="F141" s="10" t="n">
        <v>0.013659140844</v>
      </c>
      <c r="G141" s="10" t="n">
        <v>-0.373030823655279</v>
      </c>
      <c r="H141" s="15"/>
    </row>
    <row r="142" customFormat="false" ht="15" hidden="false" customHeight="false" outlineLevel="0" collapsed="false">
      <c r="A142" s="15" t="s">
        <v>2782</v>
      </c>
      <c r="B142" s="19" t="s">
        <v>2783</v>
      </c>
      <c r="C142" s="15" t="s">
        <v>72</v>
      </c>
      <c r="D142" s="9" t="n">
        <v>5792.9595664</v>
      </c>
      <c r="E142" s="11" t="n">
        <v>16.4069334325</v>
      </c>
      <c r="F142" s="10" t="n">
        <v>0.019688320119</v>
      </c>
      <c r="G142" s="10" t="n">
        <v>-0.41439670220335</v>
      </c>
      <c r="H142" s="15"/>
    </row>
    <row r="143" customFormat="false" ht="15" hidden="false" customHeight="false" outlineLevel="0" collapsed="false">
      <c r="A143" s="15" t="s">
        <v>2784</v>
      </c>
      <c r="B143" s="19" t="s">
        <v>2785</v>
      </c>
      <c r="C143" s="15" t="s">
        <v>72</v>
      </c>
      <c r="D143" s="9" t="n">
        <v>5693.080712</v>
      </c>
      <c r="E143" s="11" t="n">
        <v>1.298722675</v>
      </c>
      <c r="F143" s="10" t="n">
        <v>0.00155846721</v>
      </c>
      <c r="G143" s="10" t="n">
        <v>-0.0679923594643889</v>
      </c>
      <c r="H143" s="15"/>
    </row>
    <row r="144" customFormat="false" ht="15" hidden="false" customHeight="false" outlineLevel="0" collapsed="false">
      <c r="A144" s="15" t="s">
        <v>2786</v>
      </c>
      <c r="B144" s="15" t="s">
        <v>2787</v>
      </c>
      <c r="C144" s="15" t="s">
        <v>72</v>
      </c>
      <c r="D144" s="9" t="n">
        <v>5590.4973423</v>
      </c>
      <c r="E144" s="11" t="n">
        <v>12.999076845</v>
      </c>
      <c r="F144" s="10" t="n">
        <v>0.015598892214</v>
      </c>
      <c r="G144" s="10" t="n">
        <v>0.0449659357313601</v>
      </c>
      <c r="H144" s="15"/>
    </row>
    <row r="145" customFormat="false" ht="15" hidden="false" customHeight="false" outlineLevel="0" collapsed="false">
      <c r="A145" s="15" t="s">
        <v>2788</v>
      </c>
      <c r="B145" s="15" t="s">
        <v>2789</v>
      </c>
      <c r="C145" s="15" t="s">
        <v>72</v>
      </c>
      <c r="D145" s="9" t="n">
        <v>5562.1442385</v>
      </c>
      <c r="E145" s="11" t="n">
        <v>10.7077694125</v>
      </c>
      <c r="F145" s="10" t="n">
        <v>0.011867917465</v>
      </c>
      <c r="G145" s="10" t="n">
        <v>0.365698242035939</v>
      </c>
      <c r="H145" s="15"/>
    </row>
    <row r="146" customFormat="false" ht="15" hidden="false" customHeight="false" outlineLevel="0" collapsed="false">
      <c r="A146" s="15" t="s">
        <v>2790</v>
      </c>
      <c r="B146" s="15" t="s">
        <v>2791</v>
      </c>
      <c r="C146" s="15" t="s">
        <v>72</v>
      </c>
      <c r="D146" s="9" t="n">
        <v>5554.240114</v>
      </c>
      <c r="E146" s="11" t="n">
        <v>2.6401176325</v>
      </c>
      <c r="F146" s="10" t="n">
        <v>0.003168141159</v>
      </c>
      <c r="G146" s="10" t="n">
        <v>-0.240244853202206</v>
      </c>
      <c r="H146" s="15"/>
    </row>
    <row r="147" customFormat="false" ht="15" hidden="false" customHeight="false" outlineLevel="0" collapsed="false">
      <c r="A147" s="15" t="s">
        <v>2792</v>
      </c>
      <c r="B147" s="15" t="s">
        <v>2793</v>
      </c>
      <c r="C147" s="15" t="s">
        <v>72</v>
      </c>
      <c r="D147" s="9" t="n">
        <v>5541.4249614</v>
      </c>
      <c r="E147" s="11" t="n">
        <v>8.4781510925</v>
      </c>
      <c r="F147" s="10" t="n">
        <v>0.010173781311</v>
      </c>
      <c r="G147" s="10" t="n">
        <v>0.208206394089423</v>
      </c>
      <c r="H147" s="15"/>
    </row>
    <row r="148" customFormat="false" ht="15" hidden="false" customHeight="false" outlineLevel="0" collapsed="false">
      <c r="A148" s="15" t="s">
        <v>2794</v>
      </c>
      <c r="B148" s="19" t="s">
        <v>2795</v>
      </c>
      <c r="C148" s="15" t="s">
        <v>72</v>
      </c>
      <c r="D148" s="9" t="n">
        <v>5532.905</v>
      </c>
      <c r="E148" s="11" t="n">
        <v>16.8112911</v>
      </c>
      <c r="F148" s="10" t="n">
        <v>0.01932638863</v>
      </c>
      <c r="G148" s="10" t="n">
        <v>-0.187159834824884</v>
      </c>
      <c r="H148" s="15"/>
    </row>
    <row r="149" customFormat="false" ht="15" hidden="false" customHeight="false" outlineLevel="0" collapsed="false">
      <c r="A149" s="15" t="s">
        <v>2796</v>
      </c>
      <c r="B149" s="19" t="s">
        <v>2797</v>
      </c>
      <c r="C149" s="15" t="s">
        <v>73</v>
      </c>
      <c r="D149" s="9" t="n">
        <v>5473.1922927</v>
      </c>
      <c r="E149" s="11" t="n">
        <v>8.908259915</v>
      </c>
      <c r="F149" s="10" t="n">
        <v>0.010689911898</v>
      </c>
      <c r="G149" s="10" t="n">
        <v>-0.132748165678338</v>
      </c>
      <c r="H149" s="15"/>
    </row>
    <row r="150" customFormat="false" ht="15" hidden="false" customHeight="false" outlineLevel="0" collapsed="false">
      <c r="A150" s="15" t="s">
        <v>2798</v>
      </c>
      <c r="B150" s="19" t="s">
        <v>2799</v>
      </c>
      <c r="C150" s="15" t="s">
        <v>72</v>
      </c>
      <c r="D150" s="9" t="n">
        <v>5423.450378</v>
      </c>
      <c r="E150" s="11" t="n">
        <v>1.34973215</v>
      </c>
      <c r="F150" s="10" t="n">
        <v>0.00161967858</v>
      </c>
      <c r="G150" s="10" t="n">
        <v>-0.0663256189286959</v>
      </c>
      <c r="H150" s="15"/>
    </row>
    <row r="151" customFormat="false" ht="15" hidden="false" customHeight="false" outlineLevel="0" collapsed="false">
      <c r="A151" s="15" t="s">
        <v>2800</v>
      </c>
      <c r="B151" s="19" t="s">
        <v>2801</v>
      </c>
      <c r="C151" s="15" t="s">
        <v>72</v>
      </c>
      <c r="D151" s="9" t="n">
        <v>5377.649916</v>
      </c>
      <c r="E151" s="11" t="n">
        <v>9.4882934875</v>
      </c>
      <c r="F151" s="10" t="n">
        <v>0.011385952185</v>
      </c>
      <c r="G151" s="10" t="n">
        <v>-0.00535951251227818</v>
      </c>
      <c r="H151" s="15"/>
    </row>
    <row r="152" customFormat="false" ht="15" hidden="false" customHeight="false" outlineLevel="0" collapsed="false">
      <c r="A152" s="15" t="s">
        <v>2802</v>
      </c>
      <c r="B152" s="15" t="s">
        <v>2803</v>
      </c>
      <c r="C152" s="15" t="s">
        <v>72</v>
      </c>
      <c r="D152" s="9" t="n">
        <v>5373.0539136</v>
      </c>
      <c r="E152" s="11" t="n">
        <v>11.9279834165</v>
      </c>
      <c r="F152" s="10" t="n">
        <v>0.0143135800998</v>
      </c>
      <c r="G152" s="10" t="n">
        <v>-0.241205961330179</v>
      </c>
      <c r="H152" s="15"/>
    </row>
    <row r="153" customFormat="false" ht="15" hidden="false" customHeight="false" outlineLevel="0" collapsed="false">
      <c r="A153" s="15" t="s">
        <v>2387</v>
      </c>
      <c r="B153" s="15" t="s">
        <v>2386</v>
      </c>
      <c r="C153" s="15" t="s">
        <v>72</v>
      </c>
      <c r="D153" s="9" t="n">
        <v>5363.443728</v>
      </c>
      <c r="E153" s="11" t="n">
        <v>7.205001625</v>
      </c>
      <c r="F153" s="10" t="n">
        <v>0.00864600195</v>
      </c>
      <c r="G153" s="10" t="n">
        <v>-0.168113304303044</v>
      </c>
      <c r="H153" s="19" t="s">
        <v>2804</v>
      </c>
    </row>
    <row r="154" customFormat="false" ht="15" hidden="false" customHeight="false" outlineLevel="0" collapsed="false">
      <c r="A154" s="15" t="s">
        <v>2805</v>
      </c>
      <c r="B154" s="19" t="s">
        <v>2806</v>
      </c>
      <c r="C154" s="15" t="s">
        <v>73</v>
      </c>
      <c r="D154" s="9" t="n">
        <v>5229</v>
      </c>
      <c r="E154" s="11" t="n">
        <v>16.2976718</v>
      </c>
      <c r="F154" s="10" t="n">
        <v>0.01955720616</v>
      </c>
      <c r="G154" s="10" t="n">
        <v>0.701521935216721</v>
      </c>
      <c r="H154" s="15"/>
    </row>
    <row r="155" customFormat="false" ht="15" hidden="false" customHeight="false" outlineLevel="0" collapsed="false">
      <c r="A155" s="15" t="s">
        <v>2807</v>
      </c>
      <c r="B155" s="19" t="s">
        <v>2808</v>
      </c>
      <c r="C155" s="15" t="s">
        <v>72</v>
      </c>
      <c r="D155" s="9" t="n">
        <v>5205.46056</v>
      </c>
      <c r="E155" s="11" t="n">
        <v>3.745847075</v>
      </c>
      <c r="F155" s="10" t="n">
        <v>0.004003912745</v>
      </c>
      <c r="G155" s="10" t="n">
        <v>-0.0352419464457855</v>
      </c>
      <c r="H155" s="15"/>
    </row>
    <row r="156" customFormat="false" ht="15" hidden="false" customHeight="false" outlineLevel="0" collapsed="false">
      <c r="A156" s="15" t="s">
        <v>2809</v>
      </c>
      <c r="B156" s="19" t="s">
        <v>2810</v>
      </c>
      <c r="C156" s="15" t="s">
        <v>72</v>
      </c>
      <c r="D156" s="9" t="n">
        <v>5181.6675924</v>
      </c>
      <c r="E156" s="11" t="n">
        <v>6.5612163475</v>
      </c>
      <c r="F156" s="10" t="n">
        <v>0.007873459617</v>
      </c>
      <c r="G156" s="10" t="n">
        <v>0.0110567036105882</v>
      </c>
      <c r="H156" s="15"/>
    </row>
    <row r="157" customFormat="false" ht="15" hidden="false" customHeight="false" outlineLevel="0" collapsed="false">
      <c r="A157" s="15" t="s">
        <v>2811</v>
      </c>
      <c r="B157" s="19" t="s">
        <v>2812</v>
      </c>
      <c r="C157" s="15" t="s">
        <v>72</v>
      </c>
      <c r="D157" s="9" t="n">
        <v>5026.482934</v>
      </c>
      <c r="E157" s="11" t="n">
        <v>8.9176254375</v>
      </c>
      <c r="F157" s="10" t="n">
        <v>0.010701150525</v>
      </c>
      <c r="G157" s="10" t="n">
        <v>-0.334172774619054</v>
      </c>
      <c r="H157" s="15"/>
    </row>
    <row r="158" customFormat="false" ht="15" hidden="false" customHeight="false" outlineLevel="0" collapsed="false">
      <c r="A158" s="15" t="s">
        <v>2813</v>
      </c>
      <c r="B158" s="19" t="s">
        <v>2814</v>
      </c>
      <c r="C158" s="15" t="s">
        <v>72</v>
      </c>
      <c r="D158" s="9" t="n">
        <v>4984.6338065</v>
      </c>
      <c r="E158" s="11" t="n">
        <v>5.487770763</v>
      </c>
      <c r="F158" s="10" t="n">
        <v>0.0065853249156</v>
      </c>
      <c r="G158" s="10" t="n">
        <v>-0.0453116256144329</v>
      </c>
      <c r="H158" s="15"/>
    </row>
    <row r="159" customFormat="false" ht="15" hidden="false" customHeight="false" outlineLevel="0" collapsed="false">
      <c r="A159" s="15" t="s">
        <v>2381</v>
      </c>
      <c r="B159" s="19" t="s">
        <v>2380</v>
      </c>
      <c r="C159" s="15" t="s">
        <v>72</v>
      </c>
      <c r="D159" s="9" t="n">
        <v>4974.200136</v>
      </c>
      <c r="E159" s="11" t="n">
        <v>6.921898185</v>
      </c>
      <c r="F159" s="10" t="n">
        <v>0.008306277822</v>
      </c>
      <c r="G159" s="10" t="n">
        <v>-0.0288719390084711</v>
      </c>
      <c r="H159" s="15"/>
    </row>
    <row r="160" customFormat="false" ht="15" hidden="false" customHeight="false" outlineLevel="0" collapsed="false">
      <c r="A160" s="15" t="s">
        <v>2815</v>
      </c>
      <c r="B160" s="19" t="s">
        <v>2816</v>
      </c>
      <c r="C160" s="15" t="s">
        <v>72</v>
      </c>
      <c r="D160" s="9" t="n">
        <v>4950.550605</v>
      </c>
      <c r="E160" s="11" t="n">
        <v>10.332782625</v>
      </c>
      <c r="F160" s="10" t="n">
        <v>0.01239933915</v>
      </c>
      <c r="G160" s="10" t="n">
        <v>0.0622654539089744</v>
      </c>
      <c r="H160" s="15"/>
    </row>
    <row r="161" customFormat="false" ht="15" hidden="false" customHeight="false" outlineLevel="0" collapsed="false">
      <c r="A161" s="15" t="s">
        <v>2817</v>
      </c>
      <c r="B161" s="19" t="s">
        <v>2818</v>
      </c>
      <c r="C161" s="15" t="s">
        <v>72</v>
      </c>
      <c r="D161" s="9" t="n">
        <v>4890.530304</v>
      </c>
      <c r="E161" s="11" t="n">
        <v>3.3870116315</v>
      </c>
      <c r="F161" s="10" t="n">
        <v>0.0040644139578</v>
      </c>
      <c r="G161" s="10" t="n">
        <v>-0.121941976566359</v>
      </c>
      <c r="H161" s="15"/>
    </row>
    <row r="162" customFormat="false" ht="15" hidden="false" customHeight="false" outlineLevel="0" collapsed="false">
      <c r="A162" s="15" t="s">
        <v>2819</v>
      </c>
      <c r="B162" s="19" t="s">
        <v>2820</v>
      </c>
      <c r="C162" s="15" t="s">
        <v>72</v>
      </c>
      <c r="D162" s="9" t="n">
        <v>4888.574826</v>
      </c>
      <c r="E162" s="11" t="n">
        <v>3.835789825</v>
      </c>
      <c r="F162" s="10" t="n">
        <v>0.00460294779</v>
      </c>
      <c r="G162" s="10" t="n">
        <v>-0.000824966005556704</v>
      </c>
      <c r="H162" s="15"/>
    </row>
    <row r="163" customFormat="false" ht="15" hidden="false" customHeight="false" outlineLevel="0" collapsed="false">
      <c r="A163" s="15" t="s">
        <v>2821</v>
      </c>
      <c r="B163" s="19" t="s">
        <v>2822</v>
      </c>
      <c r="C163" s="15" t="s">
        <v>73</v>
      </c>
      <c r="D163" s="9" t="n">
        <v>4882.8304625</v>
      </c>
      <c r="E163" s="11" t="n">
        <v>14.152909625</v>
      </c>
      <c r="F163" s="10" t="n">
        <v>0.01698349155</v>
      </c>
      <c r="G163" s="10" t="n">
        <v>-0.188921528924723</v>
      </c>
      <c r="H163" s="15"/>
    </row>
    <row r="164" customFormat="false" ht="15" hidden="false" customHeight="false" outlineLevel="0" collapsed="false">
      <c r="A164" s="15" t="s">
        <v>2823</v>
      </c>
      <c r="B164" s="19" t="s">
        <v>2824</v>
      </c>
      <c r="C164" s="15" t="s">
        <v>72</v>
      </c>
      <c r="D164" s="9" t="n">
        <v>4835.3440408</v>
      </c>
      <c r="E164" s="11" t="n">
        <v>7.2289591325</v>
      </c>
      <c r="F164" s="10" t="n">
        <v>0.008674750959</v>
      </c>
      <c r="G164" s="10" t="n">
        <v>-0.0125785875505931</v>
      </c>
      <c r="H164" s="15"/>
    </row>
    <row r="165" customFormat="false" ht="15" hidden="false" customHeight="false" outlineLevel="0" collapsed="false">
      <c r="A165" s="15" t="s">
        <v>2359</v>
      </c>
      <c r="B165" s="19" t="s">
        <v>2358</v>
      </c>
      <c r="C165" s="15" t="s">
        <v>72</v>
      </c>
      <c r="D165" s="9" t="n">
        <v>4782.69699</v>
      </c>
      <c r="E165" s="11" t="n">
        <v>7.0589084025</v>
      </c>
      <c r="F165" s="10" t="n">
        <v>0.008470690083</v>
      </c>
      <c r="G165" s="10" t="n">
        <v>0.0358281805684302</v>
      </c>
      <c r="H165" s="15"/>
    </row>
    <row r="166" customFormat="false" ht="15" hidden="false" customHeight="false" outlineLevel="0" collapsed="false">
      <c r="A166" s="15" t="s">
        <v>2825</v>
      </c>
      <c r="B166" s="19" t="s">
        <v>2826</v>
      </c>
      <c r="C166" s="15" t="s">
        <v>73</v>
      </c>
      <c r="D166" s="9" t="n">
        <v>4758.458672</v>
      </c>
      <c r="E166" s="11" t="n">
        <v>1.15842765</v>
      </c>
      <c r="F166" s="10" t="n">
        <v>0.00139011318</v>
      </c>
      <c r="G166" s="10" t="n">
        <v>0.055258588861453</v>
      </c>
      <c r="H166" s="15"/>
    </row>
    <row r="167" customFormat="false" ht="15" hidden="false" customHeight="false" outlineLevel="0" collapsed="false">
      <c r="A167" s="15" t="s">
        <v>2827</v>
      </c>
      <c r="B167" s="19" t="s">
        <v>2828</v>
      </c>
      <c r="C167" s="15" t="s">
        <v>73</v>
      </c>
      <c r="D167" s="9" t="n">
        <v>4736.3287923</v>
      </c>
      <c r="E167" s="11" t="n">
        <v>7.937799115</v>
      </c>
      <c r="F167" s="10" t="n">
        <v>0.009525358938</v>
      </c>
      <c r="G167" s="10" t="n">
        <v>0.0356079843242805</v>
      </c>
      <c r="H167" s="15"/>
    </row>
    <row r="168" customFormat="false" ht="15" hidden="false" customHeight="false" outlineLevel="0" collapsed="false">
      <c r="A168" s="15" t="s">
        <v>2829</v>
      </c>
      <c r="B168" s="19" t="s">
        <v>2830</v>
      </c>
      <c r="C168" s="15" t="s">
        <v>72</v>
      </c>
      <c r="D168" s="9" t="n">
        <v>4735.54651</v>
      </c>
      <c r="E168" s="11" t="n">
        <v>4.149290825</v>
      </c>
      <c r="F168" s="10" t="n">
        <v>0.00497914899</v>
      </c>
      <c r="G168" s="10" t="n">
        <v>0.0589743743813254</v>
      </c>
      <c r="H168" s="15"/>
    </row>
    <row r="169" customFormat="false" ht="15" hidden="false" customHeight="false" outlineLevel="0" collapsed="false">
      <c r="A169" s="15" t="s">
        <v>2831</v>
      </c>
      <c r="B169" s="19" t="s">
        <v>2832</v>
      </c>
      <c r="C169" s="15" t="s">
        <v>73</v>
      </c>
      <c r="D169" s="9" t="n">
        <v>4701.8803404</v>
      </c>
      <c r="E169" s="11" t="n">
        <v>6.353914985</v>
      </c>
      <c r="F169" s="10" t="n">
        <v>0.007624697982</v>
      </c>
      <c r="G169" s="10" t="n">
        <v>-0.292154488577291</v>
      </c>
      <c r="H169" s="15"/>
    </row>
    <row r="170" customFormat="false" ht="15" hidden="false" customHeight="false" outlineLevel="0" collapsed="false">
      <c r="A170" s="15" t="s">
        <v>2833</v>
      </c>
      <c r="B170" s="19" t="s">
        <v>2834</v>
      </c>
      <c r="C170" s="15" t="s">
        <v>72</v>
      </c>
      <c r="D170" s="9" t="n">
        <v>4698.18</v>
      </c>
      <c r="E170" s="11" t="n">
        <v>2.04093005</v>
      </c>
      <c r="F170" s="10" t="n">
        <v>0.00244911606</v>
      </c>
      <c r="G170" s="10" t="n">
        <v>0.0954987514260954</v>
      </c>
      <c r="H170" s="15"/>
    </row>
    <row r="171" customFormat="false" ht="15" hidden="false" customHeight="false" outlineLevel="0" collapsed="false">
      <c r="A171" s="15" t="s">
        <v>2835</v>
      </c>
      <c r="B171" s="19" t="s">
        <v>2836</v>
      </c>
      <c r="C171" s="15" t="s">
        <v>73</v>
      </c>
      <c r="D171" s="9" t="n">
        <v>4656</v>
      </c>
      <c r="E171" s="11" t="n">
        <v>12.4775160675</v>
      </c>
      <c r="F171" s="10" t="n">
        <v>0.014973019281</v>
      </c>
      <c r="G171" s="10" t="n">
        <v>-0.145171085449377</v>
      </c>
      <c r="H171" s="15"/>
    </row>
    <row r="172" customFormat="false" ht="15" hidden="false" customHeight="false" outlineLevel="0" collapsed="false">
      <c r="A172" s="15" t="s">
        <v>2837</v>
      </c>
      <c r="B172" s="19" t="s">
        <v>2838</v>
      </c>
      <c r="C172" s="15" t="s">
        <v>72</v>
      </c>
      <c r="D172" s="9" t="n">
        <v>4644</v>
      </c>
      <c r="E172" s="11" t="n">
        <v>3.2933642075</v>
      </c>
      <c r="F172" s="10" t="n">
        <v>0.003952037049</v>
      </c>
      <c r="G172" s="10" t="n">
        <v>-0.196544578380607</v>
      </c>
      <c r="H172" s="15"/>
    </row>
    <row r="173" customFormat="false" ht="15" hidden="false" customHeight="false" outlineLevel="0" collapsed="false">
      <c r="A173" s="15" t="s">
        <v>2839</v>
      </c>
      <c r="B173" s="19" t="s">
        <v>2840</v>
      </c>
      <c r="C173" s="15" t="s">
        <v>72</v>
      </c>
      <c r="D173" s="9" t="n">
        <v>4632.278685</v>
      </c>
      <c r="E173" s="11" t="n">
        <v>12.811054295</v>
      </c>
      <c r="F173" s="10" t="n">
        <v>0.015373265154</v>
      </c>
      <c r="G173" s="10" t="n">
        <v>-0.381570809293894</v>
      </c>
      <c r="H173" s="15"/>
    </row>
    <row r="174" customFormat="false" ht="15" hidden="false" customHeight="false" outlineLevel="0" collapsed="false">
      <c r="A174" s="15" t="s">
        <v>2841</v>
      </c>
      <c r="B174" s="19" t="s">
        <v>2842</v>
      </c>
      <c r="C174" s="15" t="s">
        <v>72</v>
      </c>
      <c r="D174" s="9" t="n">
        <v>4621.1043746</v>
      </c>
      <c r="E174" s="11" t="n">
        <v>10.690344345</v>
      </c>
      <c r="F174" s="10" t="n">
        <v>0.012828413214</v>
      </c>
      <c r="G174" s="10" t="n">
        <v>0.411771468061092</v>
      </c>
      <c r="H174" s="15"/>
    </row>
    <row r="175" customFormat="false" ht="15" hidden="false" customHeight="false" outlineLevel="0" collapsed="false">
      <c r="A175" s="15" t="s">
        <v>2843</v>
      </c>
      <c r="B175" s="15" t="s">
        <v>2844</v>
      </c>
      <c r="C175" s="15" t="s">
        <v>72</v>
      </c>
      <c r="D175" s="9" t="n">
        <v>4565.2388994</v>
      </c>
      <c r="E175" s="11" t="n">
        <v>7.389401745</v>
      </c>
      <c r="F175" s="10" t="n">
        <v>0.008051472337</v>
      </c>
      <c r="G175" s="10" t="n">
        <v>-0.0437914486148592</v>
      </c>
      <c r="H175" s="15"/>
    </row>
    <row r="176" customFormat="false" ht="15" hidden="false" customHeight="false" outlineLevel="0" collapsed="false">
      <c r="A176" s="15" t="s">
        <v>2845</v>
      </c>
      <c r="B176" s="19" t="s">
        <v>2846</v>
      </c>
      <c r="C176" s="15" t="s">
        <v>72</v>
      </c>
      <c r="D176" s="9" t="n">
        <v>4382.71155</v>
      </c>
      <c r="E176" s="11" t="n">
        <v>4.133103925</v>
      </c>
      <c r="F176" s="10" t="n">
        <v>0.00495972471</v>
      </c>
      <c r="G176" s="10" t="n">
        <v>0.0436094759985646</v>
      </c>
      <c r="H176" s="15"/>
    </row>
    <row r="177" customFormat="false" ht="15" hidden="false" customHeight="false" outlineLevel="0" collapsed="false">
      <c r="A177" s="15" t="s">
        <v>2847</v>
      </c>
      <c r="B177" s="19" t="s">
        <v>2848</v>
      </c>
      <c r="C177" s="15" t="s">
        <v>72</v>
      </c>
      <c r="D177" s="9" t="n">
        <v>4378.6372</v>
      </c>
      <c r="E177" s="11" t="n">
        <v>7.502866725</v>
      </c>
      <c r="F177" s="10" t="n">
        <v>0.00900344007</v>
      </c>
      <c r="G177" s="10" t="n">
        <v>-0.0378011044935325</v>
      </c>
      <c r="H177" s="15"/>
    </row>
    <row r="178" customFormat="false" ht="15" hidden="false" customHeight="false" outlineLevel="0" collapsed="false">
      <c r="A178" s="15" t="s">
        <v>2385</v>
      </c>
      <c r="B178" s="15" t="s">
        <v>2384</v>
      </c>
      <c r="C178" s="15" t="s">
        <v>72</v>
      </c>
      <c r="D178" s="9" t="n">
        <v>4378.064576</v>
      </c>
      <c r="E178" s="11" t="n">
        <v>9.575836175</v>
      </c>
      <c r="F178" s="10" t="n">
        <v>0.01149100341</v>
      </c>
      <c r="G178" s="10" t="n">
        <v>0.18585849385912</v>
      </c>
      <c r="H178" s="15"/>
    </row>
    <row r="179" customFormat="false" ht="15" hidden="false" customHeight="false" outlineLevel="0" collapsed="false">
      <c r="A179" s="15" t="s">
        <v>2849</v>
      </c>
      <c r="B179" s="19" t="s">
        <v>2850</v>
      </c>
      <c r="C179" s="15" t="s">
        <v>72</v>
      </c>
      <c r="D179" s="9" t="n">
        <v>4321.9397</v>
      </c>
      <c r="E179" s="11" t="n">
        <v>0.69513675</v>
      </c>
      <c r="F179" s="10" t="n">
        <v>0.0008341641</v>
      </c>
      <c r="G179" s="10" t="n">
        <v>-0.00798613648906144</v>
      </c>
      <c r="H179" s="15"/>
    </row>
    <row r="180" customFormat="false" ht="15" hidden="false" customHeight="false" outlineLevel="0" collapsed="false">
      <c r="A180" s="15" t="s">
        <v>2851</v>
      </c>
      <c r="B180" s="19" t="s">
        <v>2852</v>
      </c>
      <c r="C180" s="15" t="s">
        <v>72</v>
      </c>
      <c r="D180" s="9" t="n">
        <v>4251.52938</v>
      </c>
      <c r="E180" s="11" t="n">
        <v>10.898507325</v>
      </c>
      <c r="F180" s="10" t="n">
        <v>0.01307820879</v>
      </c>
      <c r="G180" s="10" t="n">
        <v>-0.367539650073288</v>
      </c>
      <c r="H180" s="15"/>
    </row>
    <row r="181" customFormat="false" ht="15" hidden="false" customHeight="false" outlineLevel="0" collapsed="false">
      <c r="A181" s="15" t="s">
        <v>2853</v>
      </c>
      <c r="B181" s="19" t="s">
        <v>2854</v>
      </c>
      <c r="C181" s="15" t="s">
        <v>73</v>
      </c>
      <c r="D181" s="9" t="n">
        <v>4227.8101086</v>
      </c>
      <c r="E181" s="11" t="n">
        <v>14.4104461825</v>
      </c>
      <c r="F181" s="10" t="n">
        <v>0.017292535419</v>
      </c>
      <c r="G181" s="10" t="n">
        <v>-0.556050415120622</v>
      </c>
      <c r="H181" s="15"/>
    </row>
    <row r="182" customFormat="false" ht="15" hidden="false" customHeight="false" outlineLevel="0" collapsed="false">
      <c r="A182" s="15" t="s">
        <v>2371</v>
      </c>
      <c r="B182" s="19" t="s">
        <v>2370</v>
      </c>
      <c r="C182" s="15" t="s">
        <v>72</v>
      </c>
      <c r="D182" s="9" t="n">
        <v>4224.32538</v>
      </c>
      <c r="E182" s="11" t="n">
        <v>16.320627075</v>
      </c>
      <c r="F182" s="10" t="n">
        <v>0.01958475249</v>
      </c>
      <c r="G182" s="10" t="n">
        <v>-0.114725137207891</v>
      </c>
      <c r="H182" s="15"/>
    </row>
    <row r="183" customFormat="false" ht="15" hidden="false" customHeight="false" outlineLevel="0" collapsed="false">
      <c r="A183" s="15" t="s">
        <v>2855</v>
      </c>
      <c r="B183" s="19" t="s">
        <v>2856</v>
      </c>
      <c r="C183" s="15" t="s">
        <v>72</v>
      </c>
      <c r="D183" s="9" t="n">
        <v>4215.1275562</v>
      </c>
      <c r="E183" s="11" t="n">
        <v>2.0715083375</v>
      </c>
      <c r="F183" s="10" t="n">
        <v>0.002485810005</v>
      </c>
      <c r="G183" s="10" t="n">
        <v>-0.0316221509304094</v>
      </c>
      <c r="H183" s="15"/>
    </row>
    <row r="184" customFormat="false" ht="15" hidden="false" customHeight="false" outlineLevel="0" collapsed="false">
      <c r="A184" s="15" t="s">
        <v>2857</v>
      </c>
      <c r="B184" s="19" t="s">
        <v>2858</v>
      </c>
      <c r="C184" s="15" t="s">
        <v>72</v>
      </c>
      <c r="D184" s="9" t="n">
        <v>4211.12219</v>
      </c>
      <c r="E184" s="11" t="n">
        <v>1.0780717025</v>
      </c>
      <c r="F184" s="10" t="n">
        <v>0.001293686043</v>
      </c>
      <c r="G184" s="10" t="n">
        <v>-0.202710333714683</v>
      </c>
      <c r="H184" s="15"/>
    </row>
    <row r="185" customFormat="false" ht="15" hidden="false" customHeight="false" outlineLevel="0" collapsed="false">
      <c r="A185" s="15" t="s">
        <v>2859</v>
      </c>
      <c r="B185" s="15" t="s">
        <v>2860</v>
      </c>
      <c r="C185" s="15" t="s">
        <v>72</v>
      </c>
      <c r="D185" s="9" t="n">
        <v>4202.192511</v>
      </c>
      <c r="E185" s="11" t="n">
        <v>5.2141356675</v>
      </c>
      <c r="F185" s="10" t="n">
        <v>0.006256962801</v>
      </c>
      <c r="G185" s="10" t="n">
        <v>-0.087881767906245</v>
      </c>
      <c r="H185" s="15"/>
    </row>
    <row r="186" customFormat="false" ht="15" hidden="false" customHeight="false" outlineLevel="0" collapsed="false">
      <c r="A186" s="15" t="s">
        <v>2861</v>
      </c>
      <c r="B186" s="19" t="s">
        <v>2862</v>
      </c>
      <c r="C186" s="15" t="s">
        <v>72</v>
      </c>
      <c r="D186" s="9" t="n">
        <v>4183.5425</v>
      </c>
      <c r="E186" s="11" t="n">
        <v>10.222824675</v>
      </c>
      <c r="F186" s="10" t="n">
        <v>0.01226738961</v>
      </c>
      <c r="G186" s="10" t="n">
        <v>0.258200512983146</v>
      </c>
      <c r="H186" s="15"/>
    </row>
    <row r="187" customFormat="false" ht="15" hidden="false" customHeight="false" outlineLevel="0" collapsed="false">
      <c r="A187" s="15" t="s">
        <v>2863</v>
      </c>
      <c r="B187" s="15" t="s">
        <v>2864</v>
      </c>
      <c r="C187" s="15" t="s">
        <v>72</v>
      </c>
      <c r="D187" s="9" t="n">
        <v>4178.174894</v>
      </c>
      <c r="E187" s="11" t="n">
        <v>4.783647725</v>
      </c>
      <c r="F187" s="10" t="n">
        <v>0.00381574367</v>
      </c>
      <c r="G187" s="10" t="n">
        <v>0.356926485568034</v>
      </c>
      <c r="H187" s="15"/>
    </row>
    <row r="188" customFormat="false" ht="15" hidden="false" customHeight="false" outlineLevel="0" collapsed="false">
      <c r="A188" s="15" t="s">
        <v>2865</v>
      </c>
      <c r="B188" s="19" t="s">
        <v>2866</v>
      </c>
      <c r="C188" s="15" t="s">
        <v>73</v>
      </c>
      <c r="D188" s="9" t="n">
        <v>4143.190905</v>
      </c>
      <c r="E188" s="11" t="n">
        <v>15.8498904</v>
      </c>
      <c r="F188" s="10" t="n">
        <v>0.01901986848</v>
      </c>
      <c r="G188" s="10" t="n">
        <v>-0.259144746613546</v>
      </c>
      <c r="H188" s="15"/>
    </row>
    <row r="189" customFormat="false" ht="15" hidden="false" customHeight="false" outlineLevel="0" collapsed="false">
      <c r="A189" s="15" t="s">
        <v>2867</v>
      </c>
      <c r="B189" s="19" t="s">
        <v>2868</v>
      </c>
      <c r="C189" s="15" t="s">
        <v>72</v>
      </c>
      <c r="D189" s="9" t="n">
        <v>4118.129404</v>
      </c>
      <c r="E189" s="11" t="n">
        <v>4.5453244625</v>
      </c>
      <c r="F189" s="10" t="n">
        <v>0.005454389355</v>
      </c>
      <c r="G189" s="10" t="n">
        <v>0.391005854932386</v>
      </c>
      <c r="H189" s="15"/>
    </row>
    <row r="190" customFormat="false" ht="15" hidden="false" customHeight="false" outlineLevel="0" collapsed="false">
      <c r="A190" s="15" t="s">
        <v>2869</v>
      </c>
      <c r="B190" s="19" t="s">
        <v>2870</v>
      </c>
      <c r="C190" s="15" t="s">
        <v>72</v>
      </c>
      <c r="D190" s="9" t="n">
        <v>4089.52</v>
      </c>
      <c r="E190" s="11" t="n">
        <v>9.7687396775</v>
      </c>
      <c r="F190" s="10" t="n">
        <v>0.011722487613</v>
      </c>
      <c r="G190" s="10" t="n">
        <v>-0.360519000949242</v>
      </c>
      <c r="H190" s="15"/>
    </row>
    <row r="191" customFormat="false" ht="15" hidden="false" customHeight="false" outlineLevel="0" collapsed="false">
      <c r="A191" s="15" t="s">
        <v>2871</v>
      </c>
      <c r="B191" s="19" t="s">
        <v>2872</v>
      </c>
      <c r="C191" s="15" t="s">
        <v>72</v>
      </c>
      <c r="D191" s="9" t="n">
        <v>4076.9293341</v>
      </c>
      <c r="E191" s="11" t="n">
        <v>15.6990638925</v>
      </c>
      <c r="F191" s="10" t="n">
        <v>0.014758159647</v>
      </c>
      <c r="G191" s="10" t="n">
        <v>-0.133976510862812</v>
      </c>
      <c r="H191" s="15"/>
    </row>
    <row r="192" customFormat="false" ht="15" hidden="false" customHeight="false" outlineLevel="0" collapsed="false">
      <c r="A192" s="15" t="s">
        <v>2873</v>
      </c>
      <c r="B192" s="19" t="s">
        <v>2874</v>
      </c>
      <c r="C192" s="15" t="s">
        <v>72</v>
      </c>
      <c r="D192" s="9" t="n">
        <v>4055.55688</v>
      </c>
      <c r="E192" s="11" t="n">
        <v>12.095973425</v>
      </c>
      <c r="F192" s="10" t="n">
        <v>0.01451516811</v>
      </c>
      <c r="G192" s="10" t="n">
        <v>0.443929639921929</v>
      </c>
      <c r="H192" s="15"/>
    </row>
    <row r="193" customFormat="false" ht="15" hidden="false" customHeight="false" outlineLevel="0" collapsed="false">
      <c r="A193" s="15" t="s">
        <v>2875</v>
      </c>
      <c r="B193" s="19" t="s">
        <v>2876</v>
      </c>
      <c r="C193" s="15" t="s">
        <v>72</v>
      </c>
      <c r="D193" s="9" t="n">
        <v>4029.6836556</v>
      </c>
      <c r="E193" s="11" t="n">
        <v>2.580339341</v>
      </c>
      <c r="F193" s="10" t="n">
        <v>0.0030964072092</v>
      </c>
      <c r="G193" s="10" t="n">
        <v>-0.0607091622083337</v>
      </c>
      <c r="H193" s="15"/>
    </row>
    <row r="194" customFormat="false" ht="15" hidden="false" customHeight="false" outlineLevel="0" collapsed="false">
      <c r="A194" s="15" t="s">
        <v>2877</v>
      </c>
      <c r="B194" s="15" t="s">
        <v>2878</v>
      </c>
      <c r="C194" s="15" t="s">
        <v>72</v>
      </c>
      <c r="D194" s="9" t="n">
        <v>4016.583768</v>
      </c>
      <c r="E194" s="11" t="n">
        <v>2.500318475</v>
      </c>
      <c r="F194" s="10" t="n">
        <v>0.00300038217</v>
      </c>
      <c r="G194" s="10" t="n">
        <v>-0.0506708063396999</v>
      </c>
      <c r="H194" s="15"/>
    </row>
    <row r="195" customFormat="false" ht="15" hidden="false" customHeight="false" outlineLevel="0" collapsed="false">
      <c r="A195" s="15" t="s">
        <v>2879</v>
      </c>
      <c r="B195" s="19" t="s">
        <v>2880</v>
      </c>
      <c r="C195" s="15" t="s">
        <v>72</v>
      </c>
      <c r="D195" s="9" t="n">
        <v>4009.8190032</v>
      </c>
      <c r="E195" s="11" t="n">
        <v>11.8296039825</v>
      </c>
      <c r="F195" s="10" t="n">
        <v>0.014195524779</v>
      </c>
      <c r="G195" s="10" t="n">
        <v>-0.272869690812893</v>
      </c>
      <c r="H195" s="15"/>
    </row>
    <row r="196" customFormat="false" ht="15" hidden="false" customHeight="false" outlineLevel="0" collapsed="false">
      <c r="A196" s="15" t="s">
        <v>2881</v>
      </c>
      <c r="B196" s="19" t="s">
        <v>2882</v>
      </c>
      <c r="C196" s="15" t="s">
        <v>73</v>
      </c>
      <c r="D196" s="9" t="n">
        <v>3991.0167798</v>
      </c>
      <c r="E196" s="11" t="n">
        <v>2.6221190925</v>
      </c>
      <c r="F196" s="10" t="n">
        <v>0.003146542911</v>
      </c>
      <c r="G196" s="10" t="n">
        <v>0.0177551660442905</v>
      </c>
      <c r="H196" s="15"/>
    </row>
    <row r="197" customFormat="false" ht="15" hidden="false" customHeight="false" outlineLevel="0" collapsed="false">
      <c r="A197" s="15" t="s">
        <v>2883</v>
      </c>
      <c r="B197" s="19" t="s">
        <v>2884</v>
      </c>
      <c r="C197" s="15" t="s">
        <v>73</v>
      </c>
      <c r="D197" s="9" t="n">
        <v>3989.400816</v>
      </c>
      <c r="E197" s="11" t="n">
        <v>11.9274741</v>
      </c>
      <c r="F197" s="10" t="n">
        <v>0.01431296892</v>
      </c>
      <c r="G197" s="10" t="n">
        <v>0.101983422965225</v>
      </c>
      <c r="H197" s="15"/>
    </row>
    <row r="198" customFormat="false" ht="15" hidden="false" customHeight="false" outlineLevel="0" collapsed="false">
      <c r="A198" s="15" t="s">
        <v>2885</v>
      </c>
      <c r="B198" s="19" t="s">
        <v>2886</v>
      </c>
      <c r="C198" s="15" t="s">
        <v>72</v>
      </c>
      <c r="D198" s="9" t="n">
        <v>3896.007329</v>
      </c>
      <c r="E198" s="11" t="n">
        <v>3.10408725</v>
      </c>
      <c r="F198" s="10" t="n">
        <v>0.0037249047</v>
      </c>
      <c r="G198" s="10" t="n">
        <v>-0.174490854989289</v>
      </c>
      <c r="H198" s="15"/>
    </row>
    <row r="199" customFormat="false" ht="15" hidden="false" customHeight="false" outlineLevel="0" collapsed="false">
      <c r="A199" s="15" t="s">
        <v>2887</v>
      </c>
      <c r="B199" s="15" t="s">
        <v>2888</v>
      </c>
      <c r="C199" s="15" t="s">
        <v>72</v>
      </c>
      <c r="D199" s="9" t="n">
        <v>3891.41631</v>
      </c>
      <c r="E199" s="11" t="n">
        <v>4.711341875</v>
      </c>
      <c r="F199" s="10" t="n">
        <v>0.004326633725</v>
      </c>
      <c r="G199" s="10" t="n">
        <v>0.0909764524569288</v>
      </c>
      <c r="H199" s="15"/>
    </row>
    <row r="200" customFormat="false" ht="15" hidden="false" customHeight="false" outlineLevel="0" collapsed="false">
      <c r="A200" s="15" t="s">
        <v>2889</v>
      </c>
      <c r="B200" s="19" t="s">
        <v>2890</v>
      </c>
      <c r="C200" s="15" t="s">
        <v>72</v>
      </c>
      <c r="D200" s="9" t="n">
        <v>3888.2212285</v>
      </c>
      <c r="E200" s="11" t="n">
        <v>2.692895085</v>
      </c>
      <c r="F200" s="10" t="n">
        <v>0.003231474102</v>
      </c>
      <c r="G200" s="10" t="n">
        <v>-0.496319282658897</v>
      </c>
      <c r="H200" s="15"/>
    </row>
    <row r="201" customFormat="false" ht="15" hidden="false" customHeight="false" outlineLevel="0" collapsed="false">
      <c r="A201" s="15" t="s">
        <v>2891</v>
      </c>
      <c r="B201" s="19" t="s">
        <v>2892</v>
      </c>
      <c r="C201" s="15" t="s">
        <v>72</v>
      </c>
      <c r="D201" s="9" t="n">
        <v>3878.4577216</v>
      </c>
      <c r="E201" s="11" t="n">
        <v>5.4090473475</v>
      </c>
      <c r="F201" s="10" t="n">
        <v>0.006490856817</v>
      </c>
      <c r="G201" s="10" t="n">
        <v>-0.102463967159419</v>
      </c>
      <c r="H201" s="15"/>
    </row>
    <row r="202" customFormat="false" ht="15" hidden="false" customHeight="false" outlineLevel="0" collapsed="false">
      <c r="A202" s="15" t="s">
        <v>2893</v>
      </c>
      <c r="B202" s="19" t="s">
        <v>2894</v>
      </c>
      <c r="C202" s="15" t="s">
        <v>73</v>
      </c>
      <c r="D202" s="9" t="n">
        <v>3857.91424</v>
      </c>
      <c r="E202" s="11" t="n">
        <v>4.9659928</v>
      </c>
      <c r="F202" s="10" t="n">
        <v>0.00595919136</v>
      </c>
      <c r="G202" s="10" t="n">
        <v>0.644780292071005</v>
      </c>
      <c r="H202" s="15"/>
    </row>
    <row r="203" customFormat="false" ht="15" hidden="false" customHeight="false" outlineLevel="0" collapsed="false">
      <c r="A203" s="15" t="s">
        <v>2895</v>
      </c>
      <c r="B203" s="19" t="s">
        <v>2896</v>
      </c>
      <c r="C203" s="15" t="s">
        <v>72</v>
      </c>
      <c r="D203" s="9" t="n">
        <v>3838.304183</v>
      </c>
      <c r="E203" s="11" t="n">
        <v>3.796583215</v>
      </c>
      <c r="F203" s="10" t="n">
        <v>0.004555899858</v>
      </c>
      <c r="G203" s="10" t="n">
        <v>-0.210793870564304</v>
      </c>
      <c r="H203" s="15"/>
    </row>
    <row r="204" customFormat="false" ht="15" hidden="false" customHeight="false" outlineLevel="0" collapsed="false">
      <c r="A204" s="15" t="s">
        <v>2897</v>
      </c>
      <c r="B204" s="15" t="s">
        <v>2898</v>
      </c>
      <c r="C204" s="15" t="s">
        <v>72</v>
      </c>
      <c r="D204" s="9" t="n">
        <v>3831.35</v>
      </c>
      <c r="E204" s="11" t="n">
        <v>3.95358064</v>
      </c>
      <c r="F204" s="10" t="n">
        <v>0.004744296768</v>
      </c>
      <c r="G204" s="10" t="n">
        <v>0.0570127306475439</v>
      </c>
      <c r="H204" s="15"/>
    </row>
    <row r="205" customFormat="false" ht="15" hidden="false" customHeight="false" outlineLevel="0" collapsed="false">
      <c r="A205" s="15" t="s">
        <v>2899</v>
      </c>
      <c r="B205" s="19" t="s">
        <v>2900</v>
      </c>
      <c r="C205" s="15" t="s">
        <v>73</v>
      </c>
      <c r="D205" s="9" t="n">
        <v>3822.5685189</v>
      </c>
      <c r="E205" s="11" t="n">
        <v>8.9009343525</v>
      </c>
      <c r="F205" s="10" t="n">
        <v>0.010681121223</v>
      </c>
      <c r="G205" s="10" t="n">
        <v>-0.475752427083953</v>
      </c>
      <c r="H205" s="15"/>
    </row>
    <row r="206" customFormat="false" ht="15" hidden="false" customHeight="false" outlineLevel="0" collapsed="false">
      <c r="A206" s="15" t="s">
        <v>2901</v>
      </c>
      <c r="B206" s="19" t="s">
        <v>2902</v>
      </c>
      <c r="C206" s="15" t="s">
        <v>72</v>
      </c>
      <c r="D206" s="9" t="n">
        <v>3798.2936222</v>
      </c>
      <c r="E206" s="11" t="n">
        <v>9.17664696</v>
      </c>
      <c r="F206" s="10" t="n">
        <v>0.011011976352</v>
      </c>
      <c r="G206" s="10" t="n">
        <v>0.0212048083522649</v>
      </c>
      <c r="H206" s="15"/>
    </row>
    <row r="207" customFormat="false" ht="15" hidden="false" customHeight="false" outlineLevel="0" collapsed="false">
      <c r="A207" s="15" t="s">
        <v>2903</v>
      </c>
      <c r="B207" s="19" t="s">
        <v>2904</v>
      </c>
      <c r="C207" s="15" t="s">
        <v>73</v>
      </c>
      <c r="D207" s="9" t="n">
        <v>3797.1985545</v>
      </c>
      <c r="E207" s="11" t="n">
        <v>8.8542218025</v>
      </c>
      <c r="F207" s="10" t="n">
        <v>0.010625066163</v>
      </c>
      <c r="G207" s="10" t="n">
        <v>-0.278020044717839</v>
      </c>
      <c r="H207" s="15"/>
    </row>
    <row r="208" customFormat="false" ht="15" hidden="false" customHeight="false" outlineLevel="0" collapsed="false">
      <c r="A208" s="15" t="s">
        <v>2905</v>
      </c>
      <c r="B208" s="19" t="s">
        <v>2906</v>
      </c>
      <c r="C208" s="15" t="s">
        <v>72</v>
      </c>
      <c r="D208" s="9" t="n">
        <v>3773.78904</v>
      </c>
      <c r="E208" s="11" t="n">
        <v>8.1978457375</v>
      </c>
      <c r="F208" s="10" t="n">
        <v>0.009837414885</v>
      </c>
      <c r="G208" s="10" t="n">
        <v>0.24555001269946</v>
      </c>
      <c r="H208" s="15"/>
    </row>
    <row r="209" customFormat="false" ht="15" hidden="false" customHeight="false" outlineLevel="0" collapsed="false">
      <c r="A209" s="15" t="s">
        <v>2907</v>
      </c>
      <c r="B209" s="19" t="s">
        <v>2908</v>
      </c>
      <c r="C209" s="15" t="s">
        <v>73</v>
      </c>
      <c r="D209" s="9" t="n">
        <v>3710.4794535</v>
      </c>
      <c r="E209" s="11" t="n">
        <v>22.991315525</v>
      </c>
      <c r="F209" s="10" t="n">
        <v>0.016481198218</v>
      </c>
      <c r="G209" s="10" t="n">
        <v>0.26042048606201</v>
      </c>
      <c r="H209" s="15"/>
    </row>
    <row r="210" customFormat="false" ht="15" hidden="false" customHeight="false" outlineLevel="0" collapsed="false">
      <c r="A210" s="15" t="s">
        <v>2909</v>
      </c>
      <c r="B210" s="19" t="s">
        <v>2910</v>
      </c>
      <c r="C210" s="15" t="s">
        <v>73</v>
      </c>
      <c r="D210" s="9" t="n">
        <v>3696.38483</v>
      </c>
      <c r="E210" s="11" t="n">
        <v>14.982466675</v>
      </c>
      <c r="F210" s="10" t="n">
        <v>0.01764735329</v>
      </c>
      <c r="G210" s="10" t="n">
        <v>0.35497205367797</v>
      </c>
      <c r="H210" s="15"/>
    </row>
    <row r="211" customFormat="false" ht="15" hidden="false" customHeight="false" outlineLevel="0" collapsed="false">
      <c r="A211" s="15" t="s">
        <v>2911</v>
      </c>
      <c r="B211" s="15" t="s">
        <v>2912</v>
      </c>
      <c r="C211" s="15" t="s">
        <v>72</v>
      </c>
      <c r="D211" s="9" t="n">
        <v>3694.6681326</v>
      </c>
      <c r="E211" s="11" t="n">
        <v>2.8703221075</v>
      </c>
      <c r="F211" s="10" t="n">
        <v>0.003444386529</v>
      </c>
      <c r="G211" s="10" t="n">
        <v>-0.0151133427504518</v>
      </c>
      <c r="H211" s="15"/>
    </row>
    <row r="212" customFormat="false" ht="15" hidden="false" customHeight="false" outlineLevel="0" collapsed="false">
      <c r="A212" s="15" t="s">
        <v>2913</v>
      </c>
      <c r="B212" s="19" t="s">
        <v>2914</v>
      </c>
      <c r="C212" s="15" t="s">
        <v>72</v>
      </c>
      <c r="D212" s="9" t="n">
        <v>3690.995152</v>
      </c>
      <c r="E212" s="11" t="n">
        <v>3.488251539</v>
      </c>
      <c r="F212" s="10" t="n">
        <v>0.0034770563898</v>
      </c>
      <c r="G212" s="10" t="n">
        <v>0.10028263250177</v>
      </c>
      <c r="H212" s="15"/>
    </row>
    <row r="213" customFormat="false" ht="15" hidden="false" customHeight="false" outlineLevel="0" collapsed="false">
      <c r="A213" s="15" t="s">
        <v>2915</v>
      </c>
      <c r="B213" s="19" t="s">
        <v>2916</v>
      </c>
      <c r="C213" s="15" t="s">
        <v>73</v>
      </c>
      <c r="D213" s="9" t="n">
        <v>3672.257415</v>
      </c>
      <c r="E213" s="11" t="n">
        <v>12.9589306375</v>
      </c>
      <c r="F213" s="10" t="n">
        <v>0.015550716765</v>
      </c>
      <c r="G213" s="10" t="n">
        <v>-0.465658707933124</v>
      </c>
      <c r="H213" s="15"/>
    </row>
    <row r="214" customFormat="false" ht="15" hidden="false" customHeight="false" outlineLevel="0" collapsed="false">
      <c r="A214" s="15" t="s">
        <v>2917</v>
      </c>
      <c r="B214" s="19" t="s">
        <v>2918</v>
      </c>
      <c r="C214" s="15" t="s">
        <v>73</v>
      </c>
      <c r="D214" s="9" t="n">
        <v>3662.130056</v>
      </c>
      <c r="E214" s="11" t="n">
        <v>6.1260544</v>
      </c>
      <c r="F214" s="10" t="n">
        <v>0.00735126528</v>
      </c>
      <c r="G214" s="10" t="n">
        <v>-0.464728989919158</v>
      </c>
      <c r="H214" s="15"/>
    </row>
    <row r="215" customFormat="false" ht="15" hidden="false" customHeight="false" outlineLevel="0" collapsed="false">
      <c r="A215" s="15" t="s">
        <v>2919</v>
      </c>
      <c r="B215" s="19" t="s">
        <v>2920</v>
      </c>
      <c r="C215" s="15" t="s">
        <v>72</v>
      </c>
      <c r="D215" s="9" t="n">
        <v>3659.572032</v>
      </c>
      <c r="E215" s="11" t="n">
        <v>3.453214345</v>
      </c>
      <c r="F215" s="10" t="n">
        <v>0.003957933369</v>
      </c>
      <c r="G215" s="10" t="n">
        <v>-0.258123937756366</v>
      </c>
      <c r="H215" s="15"/>
    </row>
    <row r="216" customFormat="false" ht="15" hidden="false" customHeight="false" outlineLevel="0" collapsed="false">
      <c r="A216" s="15" t="s">
        <v>2921</v>
      </c>
      <c r="B216" s="19" t="s">
        <v>2922</v>
      </c>
      <c r="C216" s="15" t="s">
        <v>73</v>
      </c>
      <c r="D216" s="9" t="n">
        <v>3643.065</v>
      </c>
      <c r="E216" s="11" t="n">
        <v>0.799664575</v>
      </c>
      <c r="F216" s="10" t="n">
        <v>0.00095959749</v>
      </c>
      <c r="G216" s="10" t="n">
        <v>0.0718639236151941</v>
      </c>
      <c r="H216" s="15"/>
    </row>
    <row r="217" customFormat="false" ht="15" hidden="false" customHeight="false" outlineLevel="0" collapsed="false">
      <c r="A217" s="15" t="s">
        <v>2923</v>
      </c>
      <c r="B217" s="15" t="s">
        <v>2924</v>
      </c>
      <c r="C217" s="15" t="s">
        <v>73</v>
      </c>
      <c r="D217" s="9" t="n">
        <v>3639.566064</v>
      </c>
      <c r="E217" s="11" t="n">
        <v>3.8794210075</v>
      </c>
      <c r="F217" s="10" t="n">
        <v>0.004655305209</v>
      </c>
      <c r="G217" s="10" t="n">
        <v>0.366426823289622</v>
      </c>
      <c r="H217" s="15"/>
    </row>
    <row r="218" customFormat="false" ht="15" hidden="false" customHeight="false" outlineLevel="0" collapsed="false">
      <c r="A218" s="15" t="s">
        <v>2925</v>
      </c>
      <c r="B218" s="19" t="s">
        <v>2926</v>
      </c>
      <c r="C218" s="15" t="s">
        <v>72</v>
      </c>
      <c r="D218" s="9" t="n">
        <v>3624.5496</v>
      </c>
      <c r="E218" s="11" t="n">
        <v>12.051480965</v>
      </c>
      <c r="F218" s="10" t="n">
        <v>0.014461777158</v>
      </c>
      <c r="G218" s="10" t="n">
        <v>-0.0540381969721925</v>
      </c>
      <c r="H218" s="15"/>
    </row>
    <row r="219" customFormat="false" ht="15" hidden="false" customHeight="false" outlineLevel="0" collapsed="false">
      <c r="A219" s="15" t="s">
        <v>2927</v>
      </c>
      <c r="B219" s="19" t="s">
        <v>2928</v>
      </c>
      <c r="C219" s="15" t="s">
        <v>72</v>
      </c>
      <c r="D219" s="9" t="n">
        <v>3623.13</v>
      </c>
      <c r="E219" s="11" t="n">
        <v>3.8942989</v>
      </c>
      <c r="F219" s="10" t="n">
        <v>0.00467315868</v>
      </c>
      <c r="G219" s="10" t="n">
        <v>0.0017606752303736</v>
      </c>
      <c r="H219" s="15"/>
    </row>
    <row r="220" customFormat="false" ht="15" hidden="false" customHeight="false" outlineLevel="0" collapsed="false">
      <c r="A220" s="15" t="s">
        <v>2929</v>
      </c>
      <c r="B220" s="19" t="s">
        <v>2930</v>
      </c>
      <c r="C220" s="15" t="s">
        <v>73</v>
      </c>
      <c r="D220" s="9" t="n">
        <v>3612.277776</v>
      </c>
      <c r="E220" s="11" t="n">
        <v>15.560965775</v>
      </c>
      <c r="F220" s="10" t="n">
        <v>0.01867315893</v>
      </c>
      <c r="G220" s="10" t="n">
        <v>-0.173920477693111</v>
      </c>
      <c r="H220" s="15"/>
    </row>
    <row r="221" customFormat="false" ht="15" hidden="false" customHeight="false" outlineLevel="0" collapsed="false">
      <c r="A221" s="15" t="s">
        <v>2931</v>
      </c>
      <c r="B221" s="19" t="s">
        <v>2932</v>
      </c>
      <c r="C221" s="15" t="s">
        <v>73</v>
      </c>
      <c r="D221" s="9" t="n">
        <v>3609.790149</v>
      </c>
      <c r="E221" s="11" t="n">
        <v>20.822243505</v>
      </c>
      <c r="F221" s="10" t="n">
        <v>0.012904866708</v>
      </c>
      <c r="G221" s="10" t="n">
        <v>-0.157207190353165</v>
      </c>
      <c r="H221" s="15"/>
    </row>
    <row r="222" customFormat="false" ht="15" hidden="false" customHeight="false" outlineLevel="0" collapsed="false">
      <c r="A222" s="15" t="s">
        <v>2933</v>
      </c>
      <c r="B222" s="15" t="s">
        <v>2934</v>
      </c>
      <c r="C222" s="15" t="s">
        <v>72</v>
      </c>
      <c r="D222" s="9" t="n">
        <v>3608.8416825</v>
      </c>
      <c r="E222" s="11" t="n">
        <v>5.091710975</v>
      </c>
      <c r="F222" s="10" t="n">
        <v>0.00611005317</v>
      </c>
      <c r="G222" s="10" t="n">
        <v>-0.113680121314916</v>
      </c>
      <c r="H222" s="15"/>
    </row>
    <row r="223" customFormat="false" ht="15" hidden="false" customHeight="false" outlineLevel="0" collapsed="false">
      <c r="A223" s="15" t="s">
        <v>2935</v>
      </c>
      <c r="B223" s="19" t="s">
        <v>2936</v>
      </c>
      <c r="C223" s="15" t="s">
        <v>72</v>
      </c>
      <c r="D223" s="9" t="n">
        <v>3604</v>
      </c>
      <c r="E223" s="11" t="n">
        <v>7.5032120625</v>
      </c>
      <c r="F223" s="10" t="n">
        <v>0.007667772231</v>
      </c>
      <c r="G223" s="10" t="n">
        <v>-0.322324086204404</v>
      </c>
      <c r="H223" s="15"/>
    </row>
    <row r="224" customFormat="false" ht="15" hidden="false" customHeight="false" outlineLevel="0" collapsed="false">
      <c r="A224" s="15" t="s">
        <v>2937</v>
      </c>
      <c r="B224" s="19" t="s">
        <v>2938</v>
      </c>
      <c r="C224" s="15" t="s">
        <v>72</v>
      </c>
      <c r="D224" s="9" t="n">
        <v>3596.587931</v>
      </c>
      <c r="E224" s="11" t="n">
        <v>6.0818199435</v>
      </c>
      <c r="F224" s="10" t="n">
        <v>0.0072981839322</v>
      </c>
      <c r="G224" s="10" t="n">
        <v>-0.175827590442949</v>
      </c>
      <c r="H224" s="15"/>
    </row>
    <row r="225" customFormat="false" ht="15" hidden="false" customHeight="false" outlineLevel="0" collapsed="false">
      <c r="A225" s="15" t="s">
        <v>2939</v>
      </c>
      <c r="B225" s="19" t="s">
        <v>2940</v>
      </c>
      <c r="C225" s="15" t="s">
        <v>72</v>
      </c>
      <c r="D225" s="9" t="n">
        <v>3589.588089</v>
      </c>
      <c r="E225" s="11" t="n">
        <v>2.7917724125</v>
      </c>
      <c r="F225" s="10" t="n">
        <v>0.003350126895</v>
      </c>
      <c r="G225" s="10" t="n">
        <v>-0.262599952621078</v>
      </c>
      <c r="H225" s="15"/>
    </row>
    <row r="226" customFormat="false" ht="15" hidden="false" customHeight="false" outlineLevel="0" collapsed="false">
      <c r="A226" s="15" t="s">
        <v>2941</v>
      </c>
      <c r="B226" s="19" t="s">
        <v>2942</v>
      </c>
      <c r="C226" s="15" t="s">
        <v>73</v>
      </c>
      <c r="D226" s="9" t="n">
        <v>3538.475697</v>
      </c>
      <c r="E226" s="11" t="n">
        <v>11.5379741875</v>
      </c>
      <c r="F226" s="10" t="n">
        <v>0.013845569025</v>
      </c>
      <c r="G226" s="10" t="n">
        <v>-0.310920147925028</v>
      </c>
      <c r="H226" s="15"/>
    </row>
    <row r="227" customFormat="false" ht="15" hidden="false" customHeight="false" outlineLevel="0" collapsed="false">
      <c r="A227" s="15" t="s">
        <v>2943</v>
      </c>
      <c r="B227" s="19" t="s">
        <v>2944</v>
      </c>
      <c r="C227" s="15" t="s">
        <v>72</v>
      </c>
      <c r="D227" s="9" t="n">
        <v>3529.264681</v>
      </c>
      <c r="E227" s="11" t="n">
        <v>1.4682246</v>
      </c>
      <c r="F227" s="10" t="n">
        <v>0.00176186952</v>
      </c>
      <c r="G227" s="10" t="n">
        <v>-0.211821594367196</v>
      </c>
      <c r="H227" s="15"/>
    </row>
    <row r="228" customFormat="false" ht="15" hidden="false" customHeight="false" outlineLevel="0" collapsed="false">
      <c r="A228" s="15" t="s">
        <v>2945</v>
      </c>
      <c r="B228" s="19" t="s">
        <v>2946</v>
      </c>
      <c r="C228" s="15" t="s">
        <v>74</v>
      </c>
      <c r="D228" s="9" t="n">
        <v>3520.8995775</v>
      </c>
      <c r="E228" s="11" t="n">
        <v>10.7590005125</v>
      </c>
      <c r="F228" s="10" t="n">
        <v>0.012910800615</v>
      </c>
      <c r="G228" s="10" t="n">
        <v>-0.118226545420663</v>
      </c>
      <c r="H228" s="15"/>
    </row>
    <row r="229" customFormat="false" ht="15" hidden="false" customHeight="false" outlineLevel="0" collapsed="false">
      <c r="A229" s="15" t="s">
        <v>2377</v>
      </c>
      <c r="B229" s="19" t="s">
        <v>2376</v>
      </c>
      <c r="C229" s="15" t="s">
        <v>72</v>
      </c>
      <c r="D229" s="9" t="n">
        <v>3463.5124</v>
      </c>
      <c r="E229" s="11" t="n">
        <v>13.831122375</v>
      </c>
      <c r="F229" s="10" t="n">
        <v>0.01659734685</v>
      </c>
      <c r="G229" s="10" t="n">
        <v>0.627451126654335</v>
      </c>
      <c r="H229" s="15"/>
    </row>
    <row r="230" customFormat="false" ht="15" hidden="false" customHeight="false" outlineLevel="0" collapsed="false">
      <c r="A230" s="15" t="s">
        <v>2365</v>
      </c>
      <c r="B230" s="19" t="s">
        <v>2364</v>
      </c>
      <c r="C230" s="15" t="s">
        <v>72</v>
      </c>
      <c r="D230" s="9" t="n">
        <v>3462.29744</v>
      </c>
      <c r="E230" s="11" t="n">
        <v>15.189171225</v>
      </c>
      <c r="F230" s="10" t="n">
        <v>0.01822700547</v>
      </c>
      <c r="G230" s="10" t="n">
        <v>0.33170349525376</v>
      </c>
      <c r="H230" s="15"/>
    </row>
    <row r="231" customFormat="false" ht="15" hidden="false" customHeight="false" outlineLevel="0" collapsed="false">
      <c r="A231" s="15" t="s">
        <v>2947</v>
      </c>
      <c r="B231" s="19" t="s">
        <v>2948</v>
      </c>
      <c r="C231" s="15" t="s">
        <v>73</v>
      </c>
      <c r="D231" s="9" t="n">
        <v>3453.350226</v>
      </c>
      <c r="E231" s="11" t="n">
        <v>13.2205712625</v>
      </c>
      <c r="F231" s="10" t="n">
        <v>0.015864685515</v>
      </c>
      <c r="G231" s="10" t="n">
        <v>-0.691681396579334</v>
      </c>
      <c r="H231" s="15"/>
    </row>
    <row r="232" customFormat="false" ht="15" hidden="false" customHeight="false" outlineLevel="0" collapsed="false">
      <c r="A232" s="15" t="s">
        <v>2949</v>
      </c>
      <c r="B232" s="19" t="s">
        <v>2950</v>
      </c>
      <c r="C232" s="15" t="s">
        <v>72</v>
      </c>
      <c r="D232" s="9" t="n">
        <v>3426.1962741</v>
      </c>
      <c r="E232" s="11" t="n">
        <v>9.0893110025</v>
      </c>
      <c r="F232" s="10" t="n">
        <v>0.007171891735</v>
      </c>
      <c r="G232" s="10" t="n">
        <v>0.0500574344592391</v>
      </c>
      <c r="H232" s="15"/>
    </row>
    <row r="233" customFormat="false" ht="15" hidden="false" customHeight="false" outlineLevel="0" collapsed="false">
      <c r="A233" s="15" t="s">
        <v>2951</v>
      </c>
      <c r="B233" s="19" t="s">
        <v>2952</v>
      </c>
      <c r="C233" s="15" t="s">
        <v>72</v>
      </c>
      <c r="D233" s="9" t="n">
        <v>3419.687711</v>
      </c>
      <c r="E233" s="11" t="n">
        <v>5.4271828125</v>
      </c>
      <c r="F233" s="10" t="n">
        <v>0.006512619375</v>
      </c>
      <c r="G233" s="10" t="n">
        <v>0.199080635793122</v>
      </c>
      <c r="H233" s="15"/>
    </row>
    <row r="234" customFormat="false" ht="15" hidden="false" customHeight="false" outlineLevel="0" collapsed="false">
      <c r="A234" s="15" t="s">
        <v>2953</v>
      </c>
      <c r="B234" s="19" t="s">
        <v>2954</v>
      </c>
      <c r="C234" s="15" t="s">
        <v>73</v>
      </c>
      <c r="D234" s="9" t="n">
        <v>3406.8800007</v>
      </c>
      <c r="E234" s="11" t="n">
        <v>6.042548825</v>
      </c>
      <c r="F234" s="10" t="n">
        <v>0.00725105859</v>
      </c>
      <c r="G234" s="10" t="n">
        <v>-0.522516380937933</v>
      </c>
      <c r="H234" s="15"/>
    </row>
    <row r="235" customFormat="false" ht="15" hidden="false" customHeight="false" outlineLevel="0" collapsed="false">
      <c r="A235" s="15" t="s">
        <v>2955</v>
      </c>
      <c r="B235" s="19" t="s">
        <v>2956</v>
      </c>
      <c r="C235" s="15" t="s">
        <v>72</v>
      </c>
      <c r="D235" s="9" t="n">
        <v>3396.602811</v>
      </c>
      <c r="E235" s="11" t="n">
        <v>8.0366394825</v>
      </c>
      <c r="F235" s="10" t="n">
        <v>0.009643967379</v>
      </c>
      <c r="G235" s="10" t="n">
        <v>0.0803273700415543</v>
      </c>
      <c r="H235" s="15"/>
    </row>
    <row r="236" customFormat="false" ht="15" hidden="false" customHeight="false" outlineLevel="0" collapsed="false">
      <c r="A236" s="15" t="s">
        <v>2957</v>
      </c>
      <c r="B236" s="19" t="s">
        <v>2958</v>
      </c>
      <c r="C236" s="15" t="s">
        <v>73</v>
      </c>
      <c r="D236" s="9" t="n">
        <v>3383.3398416</v>
      </c>
      <c r="E236" s="11" t="n">
        <v>14.836034605</v>
      </c>
      <c r="F236" s="10" t="n">
        <v>0.017803241526</v>
      </c>
      <c r="G236" s="10" t="n">
        <v>-0.347878018887837</v>
      </c>
      <c r="H236" s="15"/>
    </row>
    <row r="237" customFormat="false" ht="15" hidden="false" customHeight="false" outlineLevel="0" collapsed="false">
      <c r="A237" s="15" t="s">
        <v>2959</v>
      </c>
      <c r="B237" s="19" t="s">
        <v>2960</v>
      </c>
      <c r="C237" s="15" t="s">
        <v>73</v>
      </c>
      <c r="D237" s="9" t="n">
        <v>3366.9738948</v>
      </c>
      <c r="E237" s="11" t="n">
        <v>7.016121525</v>
      </c>
      <c r="F237" s="10" t="n">
        <v>0.00841934583</v>
      </c>
      <c r="G237" s="10" t="n">
        <v>0.577060539247562</v>
      </c>
      <c r="H237" s="15"/>
    </row>
    <row r="238" customFormat="false" ht="15" hidden="false" customHeight="false" outlineLevel="0" collapsed="false">
      <c r="A238" s="15" t="s">
        <v>2961</v>
      </c>
      <c r="B238" s="15" t="s">
        <v>2962</v>
      </c>
      <c r="C238" s="15" t="s">
        <v>72</v>
      </c>
      <c r="D238" s="9" t="n">
        <v>3340.4564648</v>
      </c>
      <c r="E238" s="11" t="n">
        <v>3.975589246</v>
      </c>
      <c r="F238" s="10" t="n">
        <v>0.0047707070952</v>
      </c>
      <c r="G238" s="10" t="n">
        <v>0.00215297491627142</v>
      </c>
      <c r="H238" s="15"/>
    </row>
    <row r="239" customFormat="false" ht="15" hidden="false" customHeight="false" outlineLevel="0" collapsed="false">
      <c r="A239" s="15" t="s">
        <v>2963</v>
      </c>
      <c r="B239" s="19" t="s">
        <v>2964</v>
      </c>
      <c r="C239" s="15" t="s">
        <v>72</v>
      </c>
      <c r="D239" s="9" t="n">
        <v>3299.3244</v>
      </c>
      <c r="E239" s="11" t="n">
        <v>8.7592291375</v>
      </c>
      <c r="F239" s="10" t="n">
        <v>0.010511074965</v>
      </c>
      <c r="G239" s="10" t="n">
        <v>-0.343198250351569</v>
      </c>
      <c r="H239" s="15"/>
    </row>
    <row r="240" customFormat="false" ht="15" hidden="false" customHeight="false" outlineLevel="0" collapsed="false">
      <c r="A240" s="15" t="s">
        <v>2965</v>
      </c>
      <c r="B240" s="15" t="s">
        <v>2966</v>
      </c>
      <c r="C240" s="15" t="s">
        <v>73</v>
      </c>
      <c r="D240" s="9" t="n">
        <v>3277.788852</v>
      </c>
      <c r="E240" s="11" t="n">
        <v>16.279725442</v>
      </c>
      <c r="F240" s="10" t="n">
        <v>0.0195356705304</v>
      </c>
      <c r="G240" s="10" t="n">
        <v>0.261655163134827</v>
      </c>
      <c r="H240" s="15"/>
    </row>
    <row r="241" customFormat="false" ht="15" hidden="false" customHeight="false" outlineLevel="0" collapsed="false">
      <c r="A241" s="15" t="s">
        <v>2967</v>
      </c>
      <c r="B241" s="19" t="s">
        <v>2968</v>
      </c>
      <c r="C241" s="15" t="s">
        <v>73</v>
      </c>
      <c r="D241" s="9" t="n">
        <v>3276</v>
      </c>
      <c r="E241" s="11" t="n">
        <v>21.3450153192308</v>
      </c>
      <c r="F241" s="10" t="n">
        <v>0.0123042200782979</v>
      </c>
      <c r="G241" s="10" t="n">
        <v>0.418973761059463</v>
      </c>
      <c r="H241" s="19" t="s">
        <v>289</v>
      </c>
    </row>
    <row r="242" customFormat="false" ht="15" hidden="false" customHeight="false" outlineLevel="0" collapsed="false">
      <c r="A242" s="15" t="s">
        <v>2969</v>
      </c>
      <c r="B242" s="19" t="s">
        <v>2970</v>
      </c>
      <c r="C242" s="15" t="s">
        <v>72</v>
      </c>
      <c r="D242" s="9" t="n">
        <v>3259.1892</v>
      </c>
      <c r="E242" s="11" t="n">
        <v>13.4870921375</v>
      </c>
      <c r="F242" s="10" t="n">
        <v>0.016184510565</v>
      </c>
      <c r="G242" s="10" t="n">
        <v>-0.494848795298887</v>
      </c>
      <c r="H242" s="15"/>
    </row>
    <row r="243" customFormat="false" ht="15" hidden="false" customHeight="false" outlineLevel="0" collapsed="false">
      <c r="A243" s="15" t="s">
        <v>2971</v>
      </c>
      <c r="B243" s="19" t="s">
        <v>2972</v>
      </c>
      <c r="C243" s="15" t="s">
        <v>72</v>
      </c>
      <c r="D243" s="9" t="n">
        <v>3230.6716464</v>
      </c>
      <c r="E243" s="11" t="n">
        <v>6.494948507</v>
      </c>
      <c r="F243" s="10" t="n">
        <v>0.007260702501</v>
      </c>
      <c r="G243" s="10" t="n">
        <v>0.0867028090103303</v>
      </c>
      <c r="H243" s="15"/>
    </row>
    <row r="244" customFormat="false" ht="15" hidden="false" customHeight="false" outlineLevel="0" collapsed="false">
      <c r="A244" s="15" t="s">
        <v>2973</v>
      </c>
      <c r="B244" s="19" t="s">
        <v>2974</v>
      </c>
      <c r="C244" s="15" t="s">
        <v>72</v>
      </c>
      <c r="D244" s="9" t="n">
        <v>3229.6107221</v>
      </c>
      <c r="E244" s="11" t="n">
        <v>3.02705736</v>
      </c>
      <c r="F244" s="10" t="n">
        <v>0.003632468832</v>
      </c>
      <c r="G244" s="10" t="n">
        <v>-0.111863005093984</v>
      </c>
      <c r="H244" s="15"/>
    </row>
    <row r="245" customFormat="false" ht="15" hidden="false" customHeight="false" outlineLevel="0" collapsed="false">
      <c r="A245" s="15" t="s">
        <v>2975</v>
      </c>
      <c r="B245" s="19" t="s">
        <v>2976</v>
      </c>
      <c r="C245" s="15" t="s">
        <v>72</v>
      </c>
      <c r="D245" s="9" t="n">
        <v>3212.3993975</v>
      </c>
      <c r="E245" s="11" t="n">
        <v>6.9310632</v>
      </c>
      <c r="F245" s="10" t="n">
        <v>0.00831727584</v>
      </c>
      <c r="G245" s="10" t="n">
        <v>-0.193892498263295</v>
      </c>
      <c r="H245" s="15"/>
    </row>
    <row r="246" customFormat="false" ht="15" hidden="false" customHeight="false" outlineLevel="0" collapsed="false">
      <c r="A246" s="15" t="s">
        <v>2977</v>
      </c>
      <c r="B246" s="19" t="s">
        <v>2978</v>
      </c>
      <c r="C246" s="15" t="s">
        <v>73</v>
      </c>
      <c r="D246" s="9" t="n">
        <v>3193.7754783</v>
      </c>
      <c r="E246" s="11" t="n">
        <v>14.1005087075</v>
      </c>
      <c r="F246" s="10" t="n">
        <v>0.016920610449</v>
      </c>
      <c r="G246" s="10" t="n">
        <v>-0.23476236399407</v>
      </c>
      <c r="H246" s="15"/>
    </row>
    <row r="247" customFormat="false" ht="15" hidden="false" customHeight="false" outlineLevel="0" collapsed="false">
      <c r="A247" s="15" t="s">
        <v>2979</v>
      </c>
      <c r="B247" s="19" t="s">
        <v>2980</v>
      </c>
      <c r="C247" s="15" t="s">
        <v>72</v>
      </c>
      <c r="D247" s="9" t="n">
        <v>3178.9106085</v>
      </c>
      <c r="E247" s="11" t="n">
        <v>1.36124958</v>
      </c>
      <c r="F247" s="10" t="n">
        <v>0.001633499496</v>
      </c>
      <c r="G247" s="10" t="n">
        <v>-0.00106918462486394</v>
      </c>
      <c r="H247" s="15"/>
    </row>
    <row r="248" customFormat="false" ht="15" hidden="false" customHeight="false" outlineLevel="0" collapsed="false">
      <c r="A248" s="15" t="s">
        <v>2981</v>
      </c>
      <c r="B248" s="19" t="s">
        <v>2982</v>
      </c>
      <c r="C248" s="15" t="s">
        <v>72</v>
      </c>
      <c r="D248" s="9" t="n">
        <v>3157.3078272</v>
      </c>
      <c r="E248" s="11" t="n">
        <v>9.8873746725</v>
      </c>
      <c r="F248" s="10" t="n">
        <v>0.011864849607</v>
      </c>
      <c r="G248" s="10" t="n">
        <v>0.0819680848816511</v>
      </c>
      <c r="H248" s="15"/>
    </row>
    <row r="249" customFormat="false" ht="15" hidden="false" customHeight="false" outlineLevel="0" collapsed="false">
      <c r="A249" s="15" t="s">
        <v>2983</v>
      </c>
      <c r="B249" s="19" t="s">
        <v>2984</v>
      </c>
      <c r="C249" s="15" t="s">
        <v>72</v>
      </c>
      <c r="D249" s="9" t="n">
        <v>3149.03122875</v>
      </c>
      <c r="E249" s="11" t="n">
        <v>8.7737210555</v>
      </c>
      <c r="F249" s="10" t="n">
        <v>0.0105284652666</v>
      </c>
      <c r="G249" s="10" t="n">
        <v>0.217099759631615</v>
      </c>
      <c r="H249" s="15"/>
    </row>
    <row r="250" customFormat="false" ht="15" hidden="false" customHeight="false" outlineLevel="0" collapsed="false">
      <c r="A250" s="15" t="s">
        <v>2985</v>
      </c>
      <c r="B250" s="19" t="s">
        <v>2986</v>
      </c>
      <c r="C250" s="15" t="s">
        <v>72</v>
      </c>
      <c r="D250" s="9" t="n">
        <v>3143.4346671</v>
      </c>
      <c r="E250" s="11" t="n">
        <v>9.2312383425</v>
      </c>
      <c r="F250" s="10" t="n">
        <v>0.011077486011</v>
      </c>
      <c r="G250" s="10" t="n">
        <v>-0.0553276798953363</v>
      </c>
      <c r="H250" s="15"/>
    </row>
    <row r="251" customFormat="false" ht="15" hidden="false" customHeight="false" outlineLevel="0" collapsed="false">
      <c r="A251" s="15" t="s">
        <v>2987</v>
      </c>
      <c r="B251" s="15" t="s">
        <v>2988</v>
      </c>
      <c r="C251" s="15" t="s">
        <v>72</v>
      </c>
      <c r="D251" s="9" t="n">
        <v>3138.6845</v>
      </c>
      <c r="E251" s="11" t="n">
        <v>7.873173</v>
      </c>
      <c r="F251" s="10" t="n">
        <v>0.0094478076</v>
      </c>
      <c r="G251" s="10" t="n">
        <v>0.215980212970325</v>
      </c>
      <c r="H251" s="15"/>
    </row>
    <row r="252" customFormat="false" ht="15" hidden="false" customHeight="false" outlineLevel="0" collapsed="false">
      <c r="A252" s="15" t="s">
        <v>2989</v>
      </c>
      <c r="B252" s="19" t="s">
        <v>2990</v>
      </c>
      <c r="C252" s="15" t="s">
        <v>72</v>
      </c>
      <c r="D252" s="9" t="n">
        <v>3105.5674113</v>
      </c>
      <c r="E252" s="11" t="n">
        <v>7.26068179</v>
      </c>
      <c r="F252" s="10" t="n">
        <v>0.008712818148</v>
      </c>
      <c r="G252" s="10" t="n">
        <v>-0.115894229529574</v>
      </c>
      <c r="H252" s="15"/>
    </row>
    <row r="253" customFormat="false" ht="15" hidden="false" customHeight="false" outlineLevel="0" collapsed="false">
      <c r="A253" s="15" t="s">
        <v>2991</v>
      </c>
      <c r="B253" s="15" t="s">
        <v>2992</v>
      </c>
      <c r="C253" s="15" t="s">
        <v>72</v>
      </c>
      <c r="D253" s="9" t="n">
        <v>3090.0625756</v>
      </c>
      <c r="E253" s="11" t="n">
        <v>5.3008693225</v>
      </c>
      <c r="F253" s="10" t="n">
        <v>0.0046408235122</v>
      </c>
      <c r="G253" s="10" t="n">
        <v>0.165683017037429</v>
      </c>
      <c r="H253" s="15"/>
    </row>
    <row r="254" customFormat="false" ht="15" hidden="false" customHeight="false" outlineLevel="0" collapsed="false">
      <c r="A254" s="15" t="s">
        <v>2993</v>
      </c>
      <c r="B254" s="19" t="s">
        <v>2994</v>
      </c>
      <c r="C254" s="15" t="s">
        <v>72</v>
      </c>
      <c r="D254" s="9" t="n">
        <v>3087.75</v>
      </c>
      <c r="E254" s="11" t="n">
        <v>0.27270755</v>
      </c>
      <c r="F254" s="10" t="n">
        <v>0.00032724906</v>
      </c>
      <c r="G254" s="10" t="n">
        <v>-0.42364216854812</v>
      </c>
      <c r="H254" s="15"/>
    </row>
    <row r="255" customFormat="false" ht="15" hidden="false" customHeight="false" outlineLevel="0" collapsed="false">
      <c r="A255" s="15" t="s">
        <v>2995</v>
      </c>
      <c r="B255" s="19" t="s">
        <v>2996</v>
      </c>
      <c r="C255" s="15" t="s">
        <v>73</v>
      </c>
      <c r="D255" s="9" t="n">
        <v>3082.575783</v>
      </c>
      <c r="E255" s="11" t="n">
        <v>8.8794594375</v>
      </c>
      <c r="F255" s="10" t="n">
        <v>0.00868489064</v>
      </c>
      <c r="G255" s="10" t="n">
        <v>0.18013866310558</v>
      </c>
      <c r="H255" s="15"/>
    </row>
    <row r="256" customFormat="false" ht="15" hidden="false" customHeight="false" outlineLevel="0" collapsed="false">
      <c r="A256" s="15" t="s">
        <v>2997</v>
      </c>
      <c r="B256" s="19" t="s">
        <v>2998</v>
      </c>
      <c r="C256" s="15" t="s">
        <v>72</v>
      </c>
      <c r="D256" s="9" t="n">
        <v>3066.1934535</v>
      </c>
      <c r="E256" s="11" t="n">
        <v>8.300934755</v>
      </c>
      <c r="F256" s="10" t="n">
        <v>0.006401430681</v>
      </c>
      <c r="G256" s="10" t="n">
        <v>-0.116466763857994</v>
      </c>
      <c r="H256" s="15"/>
    </row>
    <row r="257" customFormat="false" ht="15" hidden="false" customHeight="false" outlineLevel="0" collapsed="false">
      <c r="A257" s="15" t="s">
        <v>2999</v>
      </c>
      <c r="B257" s="19" t="s">
        <v>3000</v>
      </c>
      <c r="C257" s="15" t="s">
        <v>72</v>
      </c>
      <c r="D257" s="9" t="n">
        <v>3065.9492544</v>
      </c>
      <c r="E257" s="11" t="n">
        <v>8.6034266475</v>
      </c>
      <c r="F257" s="10" t="n">
        <v>0.009969760783</v>
      </c>
      <c r="G257" s="10" t="n">
        <v>-0.608322929757619</v>
      </c>
      <c r="H257" s="15"/>
    </row>
    <row r="258" customFormat="false" ht="15" hidden="false" customHeight="false" outlineLevel="0" collapsed="false">
      <c r="A258" s="15" t="s">
        <v>3001</v>
      </c>
      <c r="B258" s="19" t="s">
        <v>3002</v>
      </c>
      <c r="C258" s="15" t="s">
        <v>72</v>
      </c>
      <c r="D258" s="9" t="n">
        <v>3021.489</v>
      </c>
      <c r="E258" s="11" t="n">
        <v>4.5710205375</v>
      </c>
      <c r="F258" s="10" t="n">
        <v>0.005485224645</v>
      </c>
      <c r="G258" s="10" t="n">
        <v>0.000858174826057878</v>
      </c>
      <c r="H258" s="15"/>
    </row>
    <row r="259" customFormat="false" ht="15" hidden="false" customHeight="false" outlineLevel="0" collapsed="false">
      <c r="A259" s="15" t="s">
        <v>3003</v>
      </c>
      <c r="B259" s="19" t="s">
        <v>3004</v>
      </c>
      <c r="C259" s="15" t="s">
        <v>73</v>
      </c>
      <c r="D259" s="9" t="n">
        <v>3006.2491893</v>
      </c>
      <c r="E259" s="11" t="n">
        <v>16.56168962</v>
      </c>
      <c r="F259" s="10" t="n">
        <v>0.019874027544</v>
      </c>
      <c r="G259" s="10" t="n">
        <v>-0.363258163022547</v>
      </c>
      <c r="H259" s="15"/>
    </row>
    <row r="260" customFormat="false" ht="15" hidden="false" customHeight="false" outlineLevel="0" collapsed="false">
      <c r="A260" s="15" t="s">
        <v>3005</v>
      </c>
      <c r="B260" s="19" t="s">
        <v>3006</v>
      </c>
      <c r="C260" s="15" t="s">
        <v>73</v>
      </c>
      <c r="D260" s="9" t="n">
        <v>3005.208086</v>
      </c>
      <c r="E260" s="11" t="n">
        <v>6.166262675</v>
      </c>
      <c r="F260" s="10" t="n">
        <v>0.00739951521</v>
      </c>
      <c r="G260" s="10" t="n">
        <v>-0.421062657824018</v>
      </c>
      <c r="H260" s="15"/>
    </row>
    <row r="261" customFormat="false" ht="15" hidden="false" customHeight="false" outlineLevel="0" collapsed="false">
      <c r="A261" s="15" t="s">
        <v>3007</v>
      </c>
      <c r="B261" s="19" t="s">
        <v>3008</v>
      </c>
      <c r="C261" s="15" t="s">
        <v>73</v>
      </c>
      <c r="D261" s="9" t="n">
        <v>2994.045538</v>
      </c>
      <c r="E261" s="11" t="n">
        <v>13.8270921125</v>
      </c>
      <c r="F261" s="10" t="n">
        <v>0.01346721186</v>
      </c>
      <c r="G261" s="10" t="n">
        <v>-0.538266832547495</v>
      </c>
      <c r="H261" s="15"/>
    </row>
    <row r="262" customFormat="false" ht="15" hidden="false" customHeight="false" outlineLevel="0" collapsed="false">
      <c r="A262" s="15" t="s">
        <v>3009</v>
      </c>
      <c r="B262" s="19" t="s">
        <v>3010</v>
      </c>
      <c r="C262" s="15" t="s">
        <v>73</v>
      </c>
      <c r="D262" s="9" t="n">
        <v>2944.62</v>
      </c>
      <c r="E262" s="11" t="n">
        <v>12.3103056175</v>
      </c>
      <c r="F262" s="10" t="n">
        <v>0.014772366741</v>
      </c>
      <c r="G262" s="10" t="n">
        <v>0.0693799612532136</v>
      </c>
      <c r="H262" s="15"/>
    </row>
    <row r="263" customFormat="false" ht="15" hidden="false" customHeight="false" outlineLevel="0" collapsed="false">
      <c r="A263" s="15" t="s">
        <v>3011</v>
      </c>
      <c r="B263" s="19" t="s">
        <v>3012</v>
      </c>
      <c r="C263" s="15" t="s">
        <v>73</v>
      </c>
      <c r="D263" s="9" t="n">
        <v>2936.021088</v>
      </c>
      <c r="E263" s="11" t="n">
        <v>3.957955795</v>
      </c>
      <c r="F263" s="10" t="n">
        <v>0.004749546954</v>
      </c>
      <c r="G263" s="10" t="n">
        <v>0.0100079902275165</v>
      </c>
      <c r="H263" s="15"/>
    </row>
    <row r="264" customFormat="false" ht="15" hidden="false" customHeight="false" outlineLevel="0" collapsed="false">
      <c r="A264" s="15" t="s">
        <v>3013</v>
      </c>
      <c r="B264" s="19" t="s">
        <v>3014</v>
      </c>
      <c r="C264" s="15" t="s">
        <v>72</v>
      </c>
      <c r="D264" s="9" t="n">
        <v>2929.1945286</v>
      </c>
      <c r="E264" s="11" t="n">
        <v>17.003703765</v>
      </c>
      <c r="F264" s="10" t="n">
        <v>0.015013760647</v>
      </c>
      <c r="G264" s="10" t="n">
        <v>0.0750858976789905</v>
      </c>
      <c r="H264" s="15"/>
    </row>
    <row r="265" customFormat="false" ht="15" hidden="false" customHeight="false" outlineLevel="0" collapsed="false">
      <c r="A265" s="15" t="s">
        <v>3015</v>
      </c>
      <c r="B265" s="19" t="s">
        <v>3016</v>
      </c>
      <c r="C265" s="15" t="s">
        <v>73</v>
      </c>
      <c r="D265" s="9" t="n">
        <v>2924.458944</v>
      </c>
      <c r="E265" s="11" t="n">
        <v>1.8840638175</v>
      </c>
      <c r="F265" s="10" t="n">
        <v>0.002260876581</v>
      </c>
      <c r="G265" s="10" t="n">
        <v>-0.307265215974593</v>
      </c>
      <c r="H265" s="15"/>
    </row>
    <row r="266" customFormat="false" ht="15" hidden="false" customHeight="false" outlineLevel="0" collapsed="false">
      <c r="A266" s="15" t="s">
        <v>3017</v>
      </c>
      <c r="B266" s="15" t="s">
        <v>3018</v>
      </c>
      <c r="C266" s="15" t="s">
        <v>72</v>
      </c>
      <c r="D266" s="9" t="n">
        <v>2921.04550716</v>
      </c>
      <c r="E266" s="11" t="n">
        <v>7.5832849935</v>
      </c>
      <c r="F266" s="10" t="n">
        <v>0.0090999419922</v>
      </c>
      <c r="G266" s="10" t="n">
        <v>-0.0144062827943747</v>
      </c>
      <c r="H266" s="15"/>
    </row>
    <row r="267" customFormat="false" ht="15" hidden="false" customHeight="false" outlineLevel="0" collapsed="false">
      <c r="A267" s="15" t="s">
        <v>3019</v>
      </c>
      <c r="B267" s="19" t="s">
        <v>3020</v>
      </c>
      <c r="C267" s="15" t="s">
        <v>72</v>
      </c>
      <c r="D267" s="9" t="n">
        <v>2915.76907</v>
      </c>
      <c r="E267" s="11" t="n">
        <v>1.0367995</v>
      </c>
      <c r="F267" s="10" t="n">
        <v>0.0012441594</v>
      </c>
      <c r="G267" s="10" t="n">
        <v>-0.24709167280192</v>
      </c>
      <c r="H267" s="15"/>
    </row>
    <row r="268" customFormat="false" ht="15" hidden="false" customHeight="false" outlineLevel="0" collapsed="false">
      <c r="A268" s="15" t="s">
        <v>3021</v>
      </c>
      <c r="B268" s="19" t="s">
        <v>3022</v>
      </c>
      <c r="C268" s="15" t="s">
        <v>73</v>
      </c>
      <c r="D268" s="9" t="n">
        <v>2849.0808309</v>
      </c>
      <c r="E268" s="11" t="n">
        <v>11.70861789</v>
      </c>
      <c r="F268" s="10" t="n">
        <v>0.014050341468</v>
      </c>
      <c r="G268" s="10" t="n">
        <v>-0.376475908933205</v>
      </c>
      <c r="H268" s="15"/>
    </row>
    <row r="269" customFormat="false" ht="15" hidden="false" customHeight="false" outlineLevel="0" collapsed="false">
      <c r="A269" s="15" t="s">
        <v>3023</v>
      </c>
      <c r="B269" s="19" t="s">
        <v>3024</v>
      </c>
      <c r="C269" s="15" t="s">
        <v>72</v>
      </c>
      <c r="D269" s="9" t="n">
        <v>2833.44402525</v>
      </c>
      <c r="E269" s="11" t="n">
        <v>4.247128434</v>
      </c>
      <c r="F269" s="10" t="n">
        <v>0.0050965541208</v>
      </c>
      <c r="G269" s="10" t="n">
        <v>-0.597927063887134</v>
      </c>
      <c r="H269" s="15"/>
    </row>
    <row r="270" customFormat="false" ht="15" hidden="false" customHeight="false" outlineLevel="0" collapsed="false">
      <c r="A270" s="15" t="s">
        <v>3025</v>
      </c>
      <c r="B270" s="19" t="s">
        <v>3026</v>
      </c>
      <c r="C270" s="15" t="s">
        <v>73</v>
      </c>
      <c r="D270" s="9" t="n">
        <v>2612.7021302</v>
      </c>
      <c r="E270" s="11" t="n">
        <v>12.7403127075</v>
      </c>
      <c r="F270" s="10" t="n">
        <v>0.014421230074</v>
      </c>
      <c r="G270" s="10" t="n">
        <v>-0.617152909511125</v>
      </c>
      <c r="H270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60"/>
    <col collapsed="false" customWidth="true" hidden="false" outlineLevel="0" max="3" min="3" style="0" width="36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14" t="s">
        <v>3027</v>
      </c>
    </row>
    <row r="3" customFormat="false" ht="15" hidden="false" customHeight="false" outlineLevel="0" collapsed="false">
      <c r="A3" s="7" t="s">
        <v>3028</v>
      </c>
      <c r="B3" s="7" t="s">
        <v>3029</v>
      </c>
      <c r="C3" s="7" t="s">
        <v>3030</v>
      </c>
      <c r="D3" s="7" t="s">
        <v>3031</v>
      </c>
    </row>
    <row r="4" customFormat="false" ht="15" hidden="false" customHeight="false" outlineLevel="0" collapsed="false">
      <c r="A4" s="15" t="s">
        <v>495</v>
      </c>
      <c r="B4" s="15" t="s">
        <v>3032</v>
      </c>
      <c r="C4" s="15" t="s">
        <v>3033</v>
      </c>
      <c r="D4" s="15" t="s">
        <v>3034</v>
      </c>
    </row>
    <row r="5" customFormat="false" ht="15" hidden="false" customHeight="false" outlineLevel="0" collapsed="false">
      <c r="A5" s="15" t="s">
        <v>496</v>
      </c>
      <c r="B5" s="15" t="s">
        <v>3035</v>
      </c>
      <c r="C5" s="15" t="s">
        <v>3036</v>
      </c>
      <c r="D5" s="15" t="s">
        <v>3037</v>
      </c>
    </row>
    <row r="6" customFormat="false" ht="15" hidden="false" customHeight="false" outlineLevel="0" collapsed="false">
      <c r="A6" s="15" t="s">
        <v>497</v>
      </c>
      <c r="B6" s="15" t="s">
        <v>3038</v>
      </c>
      <c r="C6" s="15" t="s">
        <v>3039</v>
      </c>
      <c r="D6" s="15" t="s">
        <v>3040</v>
      </c>
    </row>
    <row r="7" customFormat="false" ht="15" hidden="false" customHeight="false" outlineLevel="0" collapsed="false">
      <c r="A7" s="15" t="s">
        <v>498</v>
      </c>
      <c r="B7" s="15" t="s">
        <v>3041</v>
      </c>
      <c r="C7" s="15" t="s">
        <v>3042</v>
      </c>
      <c r="D7" s="15"/>
    </row>
    <row r="8" customFormat="false" ht="15" hidden="false" customHeight="false" outlineLevel="0" collapsed="false">
      <c r="A8" s="15" t="s">
        <v>499</v>
      </c>
      <c r="B8" s="15" t="s">
        <v>3043</v>
      </c>
      <c r="C8" s="15" t="s">
        <v>3044</v>
      </c>
      <c r="D8" s="15" t="s">
        <v>3045</v>
      </c>
    </row>
    <row r="9" customFormat="false" ht="15" hidden="false" customHeight="false" outlineLevel="0" collapsed="false">
      <c r="A9" s="15" t="s">
        <v>3046</v>
      </c>
      <c r="B9" s="15" t="s">
        <v>3047</v>
      </c>
      <c r="C9" s="15" t="s">
        <v>3048</v>
      </c>
      <c r="D9" s="15" t="s">
        <v>3049</v>
      </c>
    </row>
    <row r="10" customFormat="false" ht="15" hidden="false" customHeight="false" outlineLevel="0" collapsed="false">
      <c r="A10" s="15" t="s">
        <v>501</v>
      </c>
      <c r="B10" s="15" t="s">
        <v>3050</v>
      </c>
      <c r="C10" s="15" t="s">
        <v>3051</v>
      </c>
      <c r="D10" s="15"/>
    </row>
    <row r="11" customFormat="false" ht="15" hidden="false" customHeight="false" outlineLevel="0" collapsed="false">
      <c r="A11" s="15" t="s">
        <v>502</v>
      </c>
      <c r="B11" s="15" t="s">
        <v>3052</v>
      </c>
      <c r="C11" s="15" t="s">
        <v>3053</v>
      </c>
      <c r="D11" s="15"/>
    </row>
    <row r="12" customFormat="false" ht="15" hidden="false" customHeight="false" outlineLevel="0" collapsed="false">
      <c r="A12" s="15" t="s">
        <v>503</v>
      </c>
      <c r="B12" s="15" t="s">
        <v>3054</v>
      </c>
      <c r="C12" s="15" t="s">
        <v>3055</v>
      </c>
      <c r="D12" s="15"/>
    </row>
    <row r="13" customFormat="false" ht="15" hidden="false" customHeight="false" outlineLevel="0" collapsed="false">
      <c r="A13" s="15" t="s">
        <v>3056</v>
      </c>
      <c r="B13" s="15" t="s">
        <v>3057</v>
      </c>
      <c r="C13" s="15" t="s">
        <v>3058</v>
      </c>
      <c r="D13" s="15" t="s">
        <v>3059</v>
      </c>
    </row>
    <row r="14" customFormat="false" ht="15" hidden="false" customHeight="false" outlineLevel="0" collapsed="false">
      <c r="A14" s="15" t="s">
        <v>3060</v>
      </c>
      <c r="B14" s="15" t="s">
        <v>3061</v>
      </c>
      <c r="C14" s="15" t="s">
        <v>3062</v>
      </c>
      <c r="D14" s="19" t="s">
        <v>3063</v>
      </c>
    </row>
    <row r="15" customFormat="false" ht="15" hidden="false" customHeight="false" outlineLevel="0" collapsed="false">
      <c r="A15" s="15" t="s">
        <v>3064</v>
      </c>
      <c r="B15" s="15" t="s">
        <v>3065</v>
      </c>
      <c r="C15" s="15" t="s">
        <v>3066</v>
      </c>
      <c r="D15" s="15" t="s">
        <v>3067</v>
      </c>
    </row>
    <row r="16" customFormat="false" ht="15" hidden="false" customHeight="false" outlineLevel="0" collapsed="false">
      <c r="A16" s="15" t="s">
        <v>3068</v>
      </c>
      <c r="B16" s="15" t="s">
        <v>3069</v>
      </c>
      <c r="C16" s="15"/>
      <c r="D16" s="19" t="s">
        <v>3070</v>
      </c>
    </row>
    <row r="17" customFormat="false" ht="15" hidden="false" customHeight="false" outlineLevel="0" collapsed="false">
      <c r="A17" s="15" t="s">
        <v>3071</v>
      </c>
      <c r="B17" s="15" t="s">
        <v>3072</v>
      </c>
      <c r="C17" s="15"/>
      <c r="D17" s="19" t="s">
        <v>3073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2026-09-05T04:03:54Z</dcterms:created>
  <dc:creator>openpyxl</dc:creator>
  <dc:description/>
  <dc:language>en-US</dc:language>
  <cp:lastModifiedBy/>
  <dcterms:modified xsi:type="dcterms:W3CDTF">2026-09-05T04:03:55Z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